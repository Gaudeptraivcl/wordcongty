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Chạy" sheetId="1" state="visible" r:id="rId3"/>
    <sheet name="1. KTHH L1" sheetId="2" state="visible" r:id="rId4"/>
    <sheet name="KL L1" sheetId="3" state="visible" r:id="rId5"/>
    <sheet name="1. KTHH L2" sheetId="4" state="visible" r:id="rId6"/>
    <sheet name="KL L2" sheetId="5" state="visible" r:id="rId7"/>
    <sheet name="1. KTHH L3" sheetId="6" state="visible" r:id="rId8"/>
    <sheet name="KL L3" sheetId="7" state="visible" r:id="rId9"/>
    <sheet name="1. KTHH L4" sheetId="8" state="visible" r:id="rId10"/>
    <sheet name="KL L4" sheetId="9" state="visible" r:id="rId11"/>
  </sheets>
  <externalReferences>
    <externalReference r:id="rIdExt1"/>
  </externalReferences>
  <definedNames>
    <definedName function="false" hidden="false" localSheetId="1" name="_xlnm.Print_Area" vbProcedure="false">'1. KTHH L1'!$A$1:$P$38</definedName>
    <definedName function="false" hidden="false" localSheetId="1" name="_xlnm.Print_Titles" vbProcedure="false">'1. KTHH L1'!$19:$20</definedName>
    <definedName function="false" hidden="false" localSheetId="3" name="_xlnm.Print_Area" vbProcedure="false">'1. KTHH L2'!$A$1:$P$38</definedName>
    <definedName function="false" hidden="false" localSheetId="3" name="_xlnm.Print_Titles" vbProcedure="false">'1. KTHH L2'!$19:$20</definedName>
    <definedName function="false" hidden="false" localSheetId="5" name="_xlnm.Print_Area" vbProcedure="false">'1. KTHH L3'!$A$1:$P$38</definedName>
    <definedName function="false" hidden="false" localSheetId="5" name="_xlnm.Print_Titles" vbProcedure="false">'1. KTHH L3'!$19:$20</definedName>
    <definedName function="false" hidden="false" localSheetId="7" name="_xlnm.Print_Area" vbProcedure="false">'1. KTHH L4'!$A$1:$P$37</definedName>
    <definedName function="false" hidden="false" localSheetId="7" name="_xlnm.Print_Titles" vbProcedure="false">'1. KTHH L4'!$18:$19</definedName>
    <definedName function="false" hidden="false" localSheetId="2" name="_xlnm.Print_Area" vbProcedure="false">'KL L1'!$A$1:$G$29</definedName>
    <definedName function="false" hidden="false" localSheetId="4" name="_xlnm.Print_Area" vbProcedure="false">'KL L2'!$A$1:$G$29</definedName>
    <definedName function="false" hidden="false" localSheetId="6" name="_xlnm.Print_Area" vbProcedure="false">'KL L3'!$A$1:$G$29</definedName>
    <definedName function="false" hidden="false" localSheetId="8" name="_xlnm.Print_Area" vbProcedure="false">'KL L4'!$A$1:$G$29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<sst xmlns="http://schemas.openxmlformats.org/spreadsheetml/2006/main" count="718" uniqueCount="64">
  <si>
    <t xml:space="preserve">STT</t>
  </si>
  <si>
    <t xml:space="preserve">TC</t>
  </si>
  <si>
    <t xml:space="preserve">LT</t>
  </si>
  <si>
    <t xml:space="preserve">TL</t>
  </si>
  <si>
    <t xml:space="preserve">DT</t>
  </si>
  <si>
    <t xml:space="preserve">KCt 1</t>
  </si>
  <si>
    <t xml:space="preserve">CDt 1</t>
  </si>
  <si>
    <t xml:space="preserve">KCt 2</t>
  </si>
  <si>
    <t xml:space="preserve">CDt 2</t>
  </si>
  <si>
    <t xml:space="preserve">KC tim</t>
  </si>
  <si>
    <t xml:space="preserve">CD tim</t>
  </si>
  <si>
    <t xml:space="preserve">KCp 1</t>
  </si>
  <si>
    <t xml:space="preserve">CDp 1</t>
  </si>
  <si>
    <t xml:space="preserve">KCp 2</t>
  </si>
  <si>
    <t xml:space="preserve">CDp 2</t>
  </si>
  <si>
    <t xml:space="preserve">S bao</t>
  </si>
  <si>
    <t xml:space="preserve">S le</t>
  </si>
  <si>
    <t xml:space="preserve">D3</t>
  </si>
  <si>
    <t xml:space="preserve">-</t>
  </si>
  <si>
    <t xml:space="preserve">1</t>
  </si>
  <si>
    <t xml:space="preserve">2</t>
  </si>
  <si>
    <t xml:space="preserve">3</t>
  </si>
  <si>
    <t xml:space="preserve">D2</t>
  </si>
  <si>
    <t xml:space="preserve">4</t>
  </si>
  <si>
    <t xml:space="preserve">5</t>
  </si>
  <si>
    <t xml:space="preserve">6</t>
  </si>
  <si>
    <t xml:space="preserve">D1</t>
  </si>
  <si>
    <t xml:space="preserve">PHỤ LỤC KIỂM TRA CAO ĐỘ, KÍCH THƯỚC HÌNH HỌC</t>
  </si>
  <si>
    <t xml:space="preserve">Kèm theo BBNT số: 18.NĐXB6A/CVXD ngày 03 tháng 09 năm 2026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</si>
  <si>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</si>
  <si>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</si>
  <si>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</si>
  <si>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Nền đường tuyến XB6A</t>
  </si>
  <si>
    <t xml:space="preserve">- Đối tượng nghiệm thu:</t>
  </si>
  <si>
    <t xml:space="preserve">Đắp đất lề đường lớp 1, độ chặt K&gt;=0,95 đoạn từ Km0+000,00 - Km0+126,46</t>
  </si>
  <si>
    <t xml:space="preserve">Sơ họa:</t>
  </si>
  <si>
    <t xml:space="preserve">TT</t>
  </si>
  <si>
    <t xml:space="preserve">Tên cọc</t>
  </si>
  <si>
    <t xml:space="preserve">Lý trình</t>
  </si>
  <si>
    <t xml:space="preserve">Lề trái (H1)</t>
  </si>
  <si>
    <t xml:space="preserve">Lề trái (H2)</t>
  </si>
  <si>
    <t xml:space="preserve">Lề phải (H3)</t>
  </si>
  <si>
    <t xml:space="preserve">Lề phải (H4)</t>
  </si>
  <si>
    <t xml:space="preserve">Ghi chú</t>
  </si>
  <si>
    <t xml:space="preserve">CDTK (m)</t>
  </si>
  <si>
    <t xml:space="preserve">CDTC (m)</t>
  </si>
  <si>
    <t xml:space="preserve">Chênh CD (m)</t>
  </si>
  <si>
    <t xml:space="preserve">NHÀ THẦU THI CÔNG</t>
  </si>
  <si>
    <t xml:space="preserve">TƯ VẤN GIÁM SÁT</t>
  </si>
  <si>
    <t xml:space="preserve">Nguyễn Xuân Hưng</t>
  </si>
  <si>
    <t xml:space="preserve">Lê Quốc Huy</t>
  </si>
  <si>
    <t xml:space="preserve">PHỤ LỤC KHỐI LƯỢNG </t>
  </si>
  <si>
    <t xml:space="preserve">K/c lẻ</t>
  </si>
  <si>
    <t xml:space="preserve">Diện tích</t>
  </si>
  <si>
    <t xml:space="preserve">Khối lượng</t>
  </si>
  <si>
    <t xml:space="preserve">Tổng cộng (m3)</t>
  </si>
  <si>
    <t xml:space="preserve">                 </t>
  </si>
  <si>
    <t xml:space="preserve">Kèm theo BBNT số: 20.NĐXB6A/CVXD ngày 04 tháng 09 năm 2026</t>
  </si>
  <si>
    <t xml:space="preserve">Đắp đất lề đường lớp 2, độ chặt K&gt;=0,95 đoạn từ Km0+000,00 - Km0+126,46</t>
  </si>
  <si>
    <t xml:space="preserve">Kèm theo BBNT số: 22.NĐXB6A/CVXD ngày 05 tháng 09 năm 2026</t>
  </si>
  <si>
    <t xml:space="preserve">Đắp đất lề đường lớp 3, độ chặt K&gt;=0,95 đoạn từ Km0+000,00 - Km0+126,46</t>
  </si>
  <si>
    <t xml:space="preserve">Kèm theo BBNT số: 23.NĐXB6A/CVXD ngày 06 tháng 09 năm 2026</t>
  </si>
  <si>
    <t xml:space="preserve">Đắp đất lề đường lớp 4, độ chặt K&gt;=0,95 đoạn từ Km0+000,00 - Km0+126,46</t>
  </si>
  <si>
    <t xml:space="preserve">Lê Minh Hải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</si>
</sst>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(* #,##0.00_);_(* \(#,##0.00\);_(* \-??_);_(@_)"/>
    <numFmt numFmtId="166" formatCode="#,##0.00;\-#,##0.00;;@"/>
    <numFmt numFmtId="167" formatCode="&quot;Km&quot;0\+000.00"/>
    <numFmt numFmtId="168" formatCode="#,##0.000"/>
    <numFmt numFmtId="169" formatCode="0.00"/>
    <numFmt numFmtId="170" formatCode="_(* #,##0.000_);_(* \(#,##0.000\);_(* \-??_);_(@_)"/>
    <numFmt numFmtId="171" formatCode="_-* #,##0\ _₫_-;\-* #,##0\ _₫_-;_-* \-??\ _₫_-;_-@_-"/>
    <numFmt numFmtId="172" formatCode="0"/>
  </numFmts>
  <fonts count="32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sz val="11"/>
      <color rgb="FFFF0000"/>
      <name val="Calibri"/>
      <family val="2"/>
      <charset val="163"/>
    </font>
    <font>
      <b val="true"/>
      <sz val="12"/>
      <name val="Times New Roman"/>
      <family val="1"/>
      <charset val="1"/>
    </font>
    <font>
      <sz val="16"/>
      <name val="Times New Roman"/>
      <family val="1"/>
      <charset val="1"/>
    </font>
    <font>
      <i val="true"/>
      <sz val="12"/>
      <name val="Times New Roman"/>
      <family val="1"/>
      <charset val="1"/>
    </font>
    <font>
      <sz val="12"/>
      <name val="Times New Roman"/>
      <family val="1"/>
      <charset val="1"/>
    </font>
    <font>
      <sz val="12"/>
      <color theme="1"/>
      <name val="Calibri"/>
      <family val="2"/>
      <charset val="163"/>
    </font>
    <font>
      <sz val="14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color theme="1"/>
      <name val="Calibri"/>
      <family val="2"/>
      <charset val="1"/>
    </font>
    <font>
      <b val="true"/>
      <sz val="11"/>
      <name val="Times New Roman"/>
      <family val="1"/>
      <charset val="1"/>
    </font>
    <font>
      <sz val="10"/>
      <name val="Times New Roman"/>
      <family val="1"/>
      <charset val="1"/>
    </font>
    <font>
      <b val="true"/>
      <sz val="13"/>
      <name val="Times New Roman"/>
      <family val="1"/>
      <charset val="1"/>
    </font>
    <font>
      <sz val="13"/>
      <name val="Times New Roman"/>
      <family val="2"/>
      <charset val="1"/>
    </font>
    <font>
      <sz val="13"/>
      <name val=".VnTime"/>
      <family val="2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2"/>
      <charset val="163"/>
    </font>
    <font>
      <sz val="12"/>
      <name val=".VnTime"/>
      <family val="2"/>
      <charset val="1"/>
    </font>
    <font>
      <sz val="13"/>
      <name val=".VnTimeH"/>
      <family val="2"/>
      <charset val="1"/>
    </font>
    <font>
      <sz val="11"/>
      <name val=".VnTime"/>
      <family val="2"/>
      <charset val="1"/>
    </font>
    <font>
      <b val="true"/>
      <sz val="11"/>
      <name val=".vntime"/>
      <family val="2"/>
      <charset val="1"/>
    </font>
    <font>
      <sz val="11"/>
      <name val="Times New Roman"/>
      <family val="2"/>
      <charset val="1"/>
    </font>
    <font>
      <b val="true"/>
      <sz val="11"/>
      <color theme="1"/>
      <name val="Times New Roman"/>
      <family val="1"/>
      <charset val="1"/>
    </font>
    <font>
      <sz val="11"/>
      <color theme="1"/>
      <name val="Times New Roman"/>
      <family val="2"/>
      <charset val="163"/>
    </font>
    <font>
      <i val="true"/>
      <sz val="11"/>
      <name val="Times New Roman"/>
      <family val="1"/>
      <charset val="1"/>
    </font>
    <font>
      <sz val="12"/>
      <name val="Times New Roman"/>
      <family val="2"/>
      <charset val="1"/>
    </font>
    <font>
      <sz val="11"/>
      <name val=".VnTimeH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3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23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3" xfId="22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</cellStyles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Relationship Id="rIdExt1" Type="http://schemas.openxmlformats.org/officeDocument/2006/relationships/externalLink" Target="externalLinks/externalLink1.xml"/>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347400</xdr:colOff>
      <xdr:row>7</xdr:row>
      <xdr:rowOff>78480</xdr:rowOff>
    </xdr:from>
    <xdr:to>
      <xdr:col>15</xdr:col>
      <xdr:colOff>356760</xdr:colOff>
      <xdr:row>17</xdr:row>
      <xdr:rowOff>14040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729720" y="1726200"/>
          <a:ext cx="9834840" cy="1888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414720</xdr:colOff>
      <xdr:row>7</xdr:row>
      <xdr:rowOff>179280</xdr:rowOff>
    </xdr:from>
    <xdr:to>
      <xdr:col>14</xdr:col>
      <xdr:colOff>425520</xdr:colOff>
      <xdr:row>16</xdr:row>
      <xdr:rowOff>140040</xdr:rowOff>
    </xdr:to>
    <xdr:pic>
      <xdr:nvPicPr>
        <xdr:cNvPr id="1" name="Picture 1" descr=""/>
        <xdr:cNvPicPr/>
      </xdr:nvPicPr>
      <xdr:blipFill>
        <a:blip r:embed="rId1"/>
        <a:stretch/>
      </xdr:blipFill>
      <xdr:spPr>
        <a:xfrm>
          <a:off x="797040" y="1827000"/>
          <a:ext cx="9224640" cy="1722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493200</xdr:colOff>
      <xdr:row>7</xdr:row>
      <xdr:rowOff>111960</xdr:rowOff>
    </xdr:from>
    <xdr:to>
      <xdr:col>13</xdr:col>
      <xdr:colOff>436680</xdr:colOff>
      <xdr:row>15</xdr:row>
      <xdr:rowOff>139680</xdr:rowOff>
    </xdr:to>
    <xdr:pic>
      <xdr:nvPicPr>
        <xdr:cNvPr id="2" name="Picture 1" descr=""/>
        <xdr:cNvPicPr/>
      </xdr:nvPicPr>
      <xdr:blipFill>
        <a:blip r:embed="rId1"/>
        <a:stretch/>
      </xdr:blipFill>
      <xdr:spPr>
        <a:xfrm>
          <a:off x="875520" y="1521720"/>
          <a:ext cx="8545680" cy="1551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425880</xdr:colOff>
      <xdr:row>7</xdr:row>
      <xdr:rowOff>78480</xdr:rowOff>
    </xdr:from>
    <xdr:to>
      <xdr:col>14</xdr:col>
      <xdr:colOff>106560</xdr:colOff>
      <xdr:row>16</xdr:row>
      <xdr:rowOff>21960</xdr:rowOff>
    </xdr:to>
    <xdr:pic>
      <xdr:nvPicPr>
        <xdr:cNvPr id="3" name="Picture 2" descr=""/>
        <xdr:cNvPicPr/>
      </xdr:nvPicPr>
      <xdr:blipFill>
        <a:blip r:embed="rId1"/>
        <a:stretch/>
      </xdr:blipFill>
      <xdr:spPr>
        <a:xfrm>
          <a:off x="808200" y="1478520"/>
          <a:ext cx="8834040" cy="165816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1.%20Danh%20m%E1%BB%A5c%20nghi%E1%BB%87m%20thu%20-%20XB6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  <sheetName val="Tuyến XB6A"/>
      <sheetName val="1. PL đường đen"/>
      <sheetName val="2. Cao độ đào nền"/>
      <sheetName val="2. KL đào nền"/>
      <sheetName val="3. KTHH vải lọc"/>
      <sheetName val="3. KL vải lọc"/>
      <sheetName val="chạy VL"/>
      <sheetName val="KL tưới nhựa"/>
      <sheetName val="CĐ mặt đường"/>
      <sheetName val="KL BTN"/>
    </sheetNames>
    <sheetDataSet>
      <sheetData sheetId="0"/>
      <sheetData sheetId="1">
        <row r="3">
          <cell r="A3">
            <v>1</v>
          </cell>
          <cell r="B3" t="str">
            <v xml:space="preserve">Kiểm tra cao độ đường đen đoạn từ Km0+000,00 -:- Km0+126,46</v>
          </cell>
          <cell r="D3" t="str">
            <v xml:space="preserve">ngày 14 tháng 08 năm 2026</v>
          </cell>
          <cell r="G3" t="str">
            <v xml:space="preserve">01.NĐXB6A/CVXD </v>
          </cell>
        </row>
        <row r="4">
          <cell r="A4">
            <v>2</v>
          </cell>
          <cell r="B4" t="str">
            <v xml:space="preserve">Đào đất xử lý nền đường đoạn từ Km0+000,00 - Km0+126,46</v>
          </cell>
          <cell r="D4" t="str">
            <v xml:space="preserve">ngày 15 tháng 08 năm 2026</v>
          </cell>
          <cell r="G4" t="str">
            <v xml:space="preserve">02.NĐXB6A/CVXD </v>
          </cell>
        </row>
        <row r="5">
          <cell r="A5">
            <v>3</v>
          </cell>
          <cell r="B5" t="str">
            <v xml:space="preserve">Rải vải địa kỹ thuật đoạn từ Km0+000,00 - Km0+126,46</v>
          </cell>
          <cell r="D5" t="str">
            <v xml:space="preserve">ngày 15 tháng 08 năm 2026</v>
          </cell>
          <cell r="G5" t="str">
            <v xml:space="preserve">03.NĐXB6A/CVXD </v>
          </cell>
        </row>
        <row r="6">
          <cell r="A6">
            <v>4</v>
          </cell>
          <cell r="B6" t="str">
            <v xml:space="preserve">Đắp cát nền đường lớp 1 đoạn từ Km0+000,00 - Km0+126,46, độ chặt K&gt;=0,95</v>
          </cell>
          <cell r="D6" t="str">
            <v xml:space="preserve">ngày 16 tháng 08 năm 2026</v>
          </cell>
          <cell r="G6" t="str">
            <v xml:space="preserve">04.NĐXB6A/CVXD </v>
          </cell>
        </row>
        <row r="7">
          <cell r="A7">
            <v>5</v>
          </cell>
          <cell r="B7" t="str">
            <v xml:space="preserve">Đắp cát nền đường lớp 2 đoạn từ Km0+000,00 - Km0+126,46, độ chặt K&gt;=0,95</v>
          </cell>
          <cell r="D7" t="str">
            <v xml:space="preserve">ngày 17 tháng 08 năm 2026</v>
          </cell>
          <cell r="G7" t="str">
            <v xml:space="preserve">05.NĐXB6A/CVXD </v>
          </cell>
        </row>
        <row r="8">
          <cell r="A8">
            <v>6</v>
          </cell>
          <cell r="B8" t="str">
            <v xml:space="preserve">Đắp cát nền đường lớp 3 đoạn từ Km0+000,00 - Km0+126,46, độ chặt K&gt;=0,95</v>
          </cell>
          <cell r="D8" t="str">
            <v xml:space="preserve">ngày 24 tháng 08 năm 2026</v>
          </cell>
          <cell r="G8" t="str">
            <v xml:space="preserve">06.NĐXB6A/CVXD </v>
          </cell>
        </row>
        <row r="9">
          <cell r="A9">
            <v>7</v>
          </cell>
          <cell r="B9" t="str">
            <v xml:space="preserve">Đắp cát nền đường lớp 4 đoạn từ Km0+000,00 - Km0+126,46, độ chặt K&gt;=0,95</v>
          </cell>
          <cell r="D9" t="str">
            <v xml:space="preserve">ngày 25 tháng 08 năm 2026</v>
          </cell>
          <cell r="G9" t="str">
            <v xml:space="preserve">07.NĐXB6A/CVXD </v>
          </cell>
        </row>
        <row r="10">
          <cell r="A10">
            <v>8</v>
          </cell>
          <cell r="B10" t="str">
            <v xml:space="preserve">Đắp đất nền đường lớp 1 đoạn từ Km0+000,00 - Km0+126,46, độ chặt K&gt;=0,95</v>
          </cell>
          <cell r="D10" t="str">
            <v xml:space="preserve">ngày 26 tháng 08 năm 2026</v>
          </cell>
          <cell r="G10" t="str">
            <v xml:space="preserve">08.NĐXB6A/CVXD </v>
          </cell>
        </row>
        <row r="11">
          <cell r="A11">
            <v>9</v>
          </cell>
          <cell r="B11" t="str">
            <v xml:space="preserve">Đắp đất nền đường lớp 2 đoạn từ Km0+000,00 - Km0+126,46, độ chặt K&gt;=0,95</v>
          </cell>
          <cell r="D11" t="str">
            <v xml:space="preserve">ngày 26 tháng 08 năm 2026</v>
          </cell>
          <cell r="G11" t="str">
            <v xml:space="preserve">09.NĐXB6A/CVXD </v>
          </cell>
        </row>
        <row r="12">
          <cell r="A12">
            <v>10</v>
          </cell>
          <cell r="B12" t="str">
            <v xml:space="preserve">Đắp đất nền đường lớp 3 đoạn từ Km0+000,00 - Km0+126,46, độ chặt K&gt;=0,95</v>
          </cell>
          <cell r="D12" t="str">
            <v xml:space="preserve">ngày 27 tháng 08 năm 2026</v>
          </cell>
          <cell r="G12" t="str">
            <v xml:space="preserve">10.NĐXB6A/CVXD </v>
          </cell>
        </row>
        <row r="13">
          <cell r="A13">
            <v>11</v>
          </cell>
          <cell r="B13" t="str">
            <v xml:space="preserve">Đắp đất nền đường lớp 4 đoạn từ Km0+000,00 - Km0+126,46, độ chặt K&gt;=0,95</v>
          </cell>
          <cell r="D13" t="str">
            <v xml:space="preserve">ngày 27 tháng 08 năm 2026</v>
          </cell>
          <cell r="G13" t="str">
            <v xml:space="preserve">11.NĐXB6A/CVXD </v>
          </cell>
        </row>
        <row r="14">
          <cell r="A14">
            <v>12</v>
          </cell>
          <cell r="B14" t="str">
            <v xml:space="preserve">Đắp đất nền đường lớp 5 đoạn từ Km0+000,00 - Km0+126,46, độ chặt K&gt;=0,95</v>
          </cell>
          <cell r="D14" t="str">
            <v xml:space="preserve">ngày 28 tháng 08 năm 2026</v>
          </cell>
          <cell r="G14" t="str">
            <v xml:space="preserve">12.NĐXB6A/CVXD </v>
          </cell>
        </row>
        <row r="15">
          <cell r="A15">
            <v>13</v>
          </cell>
          <cell r="B15" t="str">
            <v xml:space="preserve">Đắp đất nền đường lớp 6 đoạn từ Km0+000,00 - Km0+126,46, độ chặt K&gt;=0,95</v>
          </cell>
          <cell r="D15" t="str">
            <v xml:space="preserve">ngày 28 tháng 08 năm 2026</v>
          </cell>
          <cell r="G15" t="str">
            <v xml:space="preserve">13.NĐXB6A/CVXD </v>
          </cell>
        </row>
        <row r="16">
          <cell r="A16">
            <v>14</v>
          </cell>
          <cell r="B16" t="str">
            <v xml:space="preserve">Đắp đất nền đường lớp 7 đoạn từ Km0+000,00 - Km0+126,46, độ chặt K&gt;=0,95</v>
          </cell>
          <cell r="D16" t="str">
            <v xml:space="preserve">ngày 29 tháng 08 năm 2026</v>
          </cell>
          <cell r="G16" t="str">
            <v xml:space="preserve">14.NĐXB6A/CVXD </v>
          </cell>
        </row>
        <row r="17">
          <cell r="A17">
            <v>15</v>
          </cell>
          <cell r="B17" t="str">
            <v xml:space="preserve">Đắp đất nền đường lớp 8 đoạn từ Km0+000,00 - Km0+126,46, độ chặt K&gt;=0,95</v>
          </cell>
          <cell r="D17" t="str">
            <v xml:space="preserve">ngày 29 tháng 08 năm 2026</v>
          </cell>
          <cell r="G17" t="str">
            <v xml:space="preserve">15.NĐXB6A/CVXD </v>
          </cell>
        </row>
        <row r="18">
          <cell r="A18">
            <v>16</v>
          </cell>
          <cell r="B18" t="str">
            <v xml:space="preserve">Đắp đất nền đường lớp 9 đoạn từ Km0+000,00 - Km0+126,46, độ chặt K&gt;=0,95</v>
          </cell>
          <cell r="D18" t="str">
            <v xml:space="preserve">ngày 30 tháng 08 năm 2026</v>
          </cell>
          <cell r="G18" t="str">
            <v xml:space="preserve">16.NĐXB6A/CVXD </v>
          </cell>
        </row>
        <row r="19">
          <cell r="A19">
            <v>17</v>
          </cell>
          <cell r="B19" t="str">
            <v xml:space="preserve">Đắp đất nền đường lớp 1, độ chặt K&gt;=0,98 đoạn từ Km0+000,00 - Km0+126,46</v>
          </cell>
          <cell r="D19" t="str">
            <v xml:space="preserve">ngày 03 tháng 09 năm 2026</v>
          </cell>
          <cell r="G19" t="str">
            <v xml:space="preserve">17.NĐXB6A/CVXD </v>
          </cell>
        </row>
        <row r="20">
          <cell r="A20">
            <v>18</v>
          </cell>
          <cell r="B20" t="str">
            <v xml:space="preserve">Đắp đất lề đường lớp 1, độ chặt K&gt;=0,95 đoạn từ Km0+000,00 - Km0+126,46</v>
          </cell>
          <cell r="D20" t="str">
            <v xml:space="preserve">ngày 03 tháng 09 năm 2026</v>
          </cell>
          <cell r="G20" t="str">
            <v xml:space="preserve">18.NĐXB6A/CVXD </v>
          </cell>
        </row>
        <row r="21">
          <cell r="A21">
            <v>19</v>
          </cell>
          <cell r="B21" t="str">
            <v xml:space="preserve">Đắp đất nền đường lớp 2, độ chặt K&gt;=0,98 đoạn từ Km0+000,00 - Km0+126,46</v>
          </cell>
          <cell r="D21" t="str">
            <v xml:space="preserve">ngày 04 tháng 09 năm 2026</v>
          </cell>
          <cell r="G21" t="str">
            <v xml:space="preserve">19.NĐXB6A/CVXD </v>
          </cell>
        </row>
        <row r="22">
          <cell r="A22">
            <v>20</v>
          </cell>
          <cell r="B22" t="str">
            <v xml:space="preserve">Đắp đất lề đường lớp 2, độ chặt K&gt;=0,95 đoạn từ Km0+000,00 - Km0+126,46</v>
          </cell>
          <cell r="D22" t="str">
            <v xml:space="preserve">ngày 04 tháng 09 năm 2026</v>
          </cell>
          <cell r="G22" t="str">
            <v xml:space="preserve">20.NĐXB6A/CVXD </v>
          </cell>
        </row>
        <row r="23">
          <cell r="A23">
            <v>21</v>
          </cell>
          <cell r="B23" t="str">
            <v xml:space="preserve">Đắp cấp phối đá dăm loại 2 đoạn từ Km0+000,00 - Km0+126,46</v>
          </cell>
          <cell r="D23" t="str">
            <v xml:space="preserve">ngày 05 tháng 09 năm 2026</v>
          </cell>
          <cell r="G23" t="str">
            <v xml:space="preserve">21.NĐXB6A/CVXD </v>
          </cell>
        </row>
        <row r="24">
          <cell r="A24">
            <v>22</v>
          </cell>
          <cell r="B24" t="str">
            <v xml:space="preserve">Đắp đất lề đường lớp 3, độ chặt K&gt;=0,95 đoạn từ Km0+000,00 - Km0+126,46</v>
          </cell>
          <cell r="D24" t="str">
            <v xml:space="preserve">ngày 05 tháng 09 năm 2026</v>
          </cell>
          <cell r="G24" t="str">
            <v xml:space="preserve">22.NĐXB6A/CVXD </v>
          </cell>
        </row>
        <row r="25">
          <cell r="A25">
            <v>23</v>
          </cell>
          <cell r="B25" t="str">
            <v xml:space="preserve">Đắp đất lề đường lớp 4, độ chặt K&gt;=0,95 đoạn từ Km0+000,00 - Km0+126,46</v>
          </cell>
          <cell r="D25" t="str">
            <v xml:space="preserve">ngày 06 tháng 09 năm 2026</v>
          </cell>
          <cell r="G25" t="str">
            <v xml:space="preserve">23.NĐXB6A/CVXD </v>
          </cell>
        </row>
        <row r="26">
          <cell r="A26">
            <v>24</v>
          </cell>
          <cell r="B26" t="str">
            <v xml:space="preserve">Đắp cấp phối đá dăm loại 1 đoạn từ Km0+000,00 - Km0+126,46</v>
          </cell>
          <cell r="D26" t="str">
            <v xml:space="preserve">ngày 06 tháng 09 năm 2026</v>
          </cell>
          <cell r="G26" t="str">
            <v xml:space="preserve">24.NĐXB6A/CVXD </v>
          </cell>
        </row>
        <row r="27">
          <cell r="A27">
            <v>25</v>
          </cell>
          <cell r="B27" t="str">
            <v xml:space="preserve">Vệ sinh, thổi bụi mặt đường </v>
          </cell>
          <cell r="D27" t="str">
            <v xml:space="preserve">ngày 08 tháng 09 năm 2026</v>
          </cell>
          <cell r="G27" t="str">
            <v xml:space="preserve">25.NĐXB6A/CVXD </v>
          </cell>
        </row>
        <row r="28">
          <cell r="A28">
            <v>26</v>
          </cell>
          <cell r="B28" t="str">
            <v xml:space="preserve">Tưới lớp thấm bám mặt đường, nhựa MC70, lượng nhựa 1kg/m2</v>
          </cell>
          <cell r="D28" t="str">
            <v xml:space="preserve">ngày 10 tháng 09 năm 2026</v>
          </cell>
          <cell r="G28" t="str">
            <v xml:space="preserve">26.NĐXB6A/CVXD </v>
          </cell>
        </row>
        <row r="29">
          <cell r="A29">
            <v>27</v>
          </cell>
          <cell r="B29" t="str">
            <v xml:space="preserve">Rải thảm mặt đường bê tông nhựa C16 - Chiều dày mặt đường đã lèn ép 6cm</v>
          </cell>
          <cell r="D29" t="str">
            <v xml:space="preserve">ngày 12 tháng 09 năm 2026</v>
          </cell>
          <cell r="G29" t="str">
            <v xml:space="preserve">27.NĐXB6A/CVXD </v>
          </cell>
        </row>
        <row r="30">
          <cell r="A30">
            <v>28</v>
          </cell>
          <cell r="B30" t="str">
            <v xml:space="preserve">Bê tông nhựa C16 - Chiều dày mặt đường đã lèn ép 6cm</v>
          </cell>
          <cell r="D30" t="str">
            <v xml:space="preserve">ngày 19 tháng 09 năm 2026</v>
          </cell>
          <cell r="G30" t="str">
            <v xml:space="preserve">28.NĐXB6A/CVXD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3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S33" activeCellId="0" sqref="S3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2" width="3.42"/>
    <col collapsed="false" customWidth="true" hidden="false" outlineLevel="0" max="7" min="7" style="2" width="9.14"/>
    <col collapsed="false" customWidth="true" hidden="false" outlineLevel="0" max="9" min="9" style="2" width="9.14"/>
    <col collapsed="false" customWidth="true" hidden="false" outlineLevel="0" max="13" min="13" style="2" width="9.14"/>
    <col collapsed="false" customWidth="true" hidden="false" outlineLevel="0" max="15" min="15" style="2" width="9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1" t="n">
        <v>1</v>
      </c>
      <c r="B2" s="2" t="s">
        <v>17</v>
      </c>
      <c r="C2" s="0" t="n">
        <v>0</v>
      </c>
      <c r="D2" s="0" t="n">
        <v>4</v>
      </c>
      <c r="E2" s="0" t="n">
        <v>1.56</v>
      </c>
      <c r="F2" s="0" t="n">
        <v>-8.62</v>
      </c>
      <c r="G2" s="2" t="n">
        <v>2.86</v>
      </c>
      <c r="H2" s="0" t="n">
        <v>-4.01</v>
      </c>
      <c r="I2" s="2" t="n">
        <v>2.58</v>
      </c>
      <c r="J2" s="1" t="s">
        <v>18</v>
      </c>
      <c r="K2" s="1" t="s">
        <v>18</v>
      </c>
      <c r="L2" s="1" t="s">
        <v>18</v>
      </c>
      <c r="M2" s="2" t="s">
        <v>18</v>
      </c>
      <c r="N2" s="1" t="s">
        <v>18</v>
      </c>
      <c r="O2" s="2" t="s">
        <v>18</v>
      </c>
      <c r="P2" s="0" t="n">
        <v>5.77</v>
      </c>
      <c r="Q2" s="0" t="n">
        <v>0</v>
      </c>
    </row>
    <row r="3" customFormat="false" ht="15" hidden="false" customHeight="false" outlineLevel="0" collapsed="false">
      <c r="D3" s="0" t="n">
        <v>3</v>
      </c>
      <c r="E3" s="0" t="n">
        <v>1.05</v>
      </c>
      <c r="F3" s="0" t="n">
        <v>-9.43</v>
      </c>
      <c r="G3" s="2" t="n">
        <v>2.52</v>
      </c>
      <c r="H3" s="0" t="n">
        <v>-3.75</v>
      </c>
      <c r="I3" s="2" t="n">
        <v>2.52</v>
      </c>
      <c r="J3" s="1" t="s">
        <v>18</v>
      </c>
      <c r="K3" s="1" t="s">
        <v>18</v>
      </c>
      <c r="L3" s="1" t="s">
        <v>18</v>
      </c>
      <c r="M3" s="2" t="s">
        <v>18</v>
      </c>
      <c r="N3" s="1" t="s">
        <v>18</v>
      </c>
      <c r="O3" s="2" t="s">
        <v>18</v>
      </c>
    </row>
    <row r="4" customFormat="false" ht="15" hidden="false" customHeight="false" outlineLevel="0" collapsed="false">
      <c r="D4" s="0" t="n">
        <v>2</v>
      </c>
      <c r="E4" s="0" t="n">
        <v>1.53</v>
      </c>
      <c r="F4" s="0" t="n">
        <v>-9.7</v>
      </c>
      <c r="G4" s="2" t="n">
        <v>2.34</v>
      </c>
      <c r="H4" s="0" t="n">
        <v>-3.75</v>
      </c>
      <c r="I4" s="2" t="n">
        <v>2.34</v>
      </c>
      <c r="J4" s="1" t="s">
        <v>18</v>
      </c>
      <c r="K4" s="1" t="s">
        <v>18</v>
      </c>
      <c r="L4" s="1" t="s">
        <v>18</v>
      </c>
      <c r="M4" s="2" t="s">
        <v>18</v>
      </c>
      <c r="N4" s="1" t="s">
        <v>18</v>
      </c>
      <c r="O4" s="2" t="s">
        <v>18</v>
      </c>
    </row>
    <row r="5" customFormat="false" ht="15" hidden="false" customHeight="false" outlineLevel="0" collapsed="false">
      <c r="D5" s="0" t="n">
        <v>1</v>
      </c>
      <c r="E5" s="0" t="n">
        <v>1.63</v>
      </c>
      <c r="F5" s="0" t="n">
        <v>-10.08</v>
      </c>
      <c r="G5" s="2" t="n">
        <v>2.09</v>
      </c>
      <c r="H5" s="0" t="n">
        <v>-3.75</v>
      </c>
      <c r="I5" s="2" t="n">
        <v>2.09</v>
      </c>
      <c r="J5" s="1" t="s">
        <v>18</v>
      </c>
      <c r="K5" s="1" t="s">
        <v>18</v>
      </c>
      <c r="L5" s="1" t="s">
        <v>18</v>
      </c>
      <c r="M5" s="2" t="s">
        <v>18</v>
      </c>
      <c r="N5" s="1" t="s">
        <v>18</v>
      </c>
      <c r="O5" s="2" t="s">
        <v>18</v>
      </c>
    </row>
    <row r="6" customFormat="false" ht="15" hidden="false" customHeight="false" outlineLevel="0" collapsed="false">
      <c r="A6" s="1" t="n">
        <v>1</v>
      </c>
      <c r="B6" s="2" t="s">
        <v>17</v>
      </c>
      <c r="C6" s="0" t="n">
        <v>0</v>
      </c>
      <c r="D6" s="0" t="n">
        <v>4</v>
      </c>
      <c r="E6" s="0" t="n">
        <v>1.56</v>
      </c>
      <c r="F6" s="1" t="s">
        <v>18</v>
      </c>
      <c r="G6" s="2" t="s">
        <v>18</v>
      </c>
      <c r="H6" s="1" t="s">
        <v>18</v>
      </c>
      <c r="I6" s="2" t="s">
        <v>18</v>
      </c>
      <c r="J6" s="1" t="s">
        <v>18</v>
      </c>
      <c r="K6" s="1" t="s">
        <v>18</v>
      </c>
      <c r="L6" s="0" t="n">
        <v>4.01</v>
      </c>
      <c r="M6" s="2" t="n">
        <v>2.77</v>
      </c>
      <c r="N6" s="0" t="n">
        <v>8.62</v>
      </c>
      <c r="O6" s="2" t="n">
        <v>2.77</v>
      </c>
      <c r="P6" s="0" t="n">
        <v>5.77</v>
      </c>
      <c r="Q6" s="0" t="n">
        <v>0</v>
      </c>
    </row>
    <row r="7" customFormat="false" ht="15" hidden="false" customHeight="false" outlineLevel="0" collapsed="false">
      <c r="D7" s="0" t="n">
        <v>3</v>
      </c>
      <c r="E7" s="0" t="n">
        <v>1.05</v>
      </c>
      <c r="F7" s="1" t="s">
        <v>18</v>
      </c>
      <c r="G7" s="2" t="s">
        <v>18</v>
      </c>
      <c r="H7" s="1" t="s">
        <v>18</v>
      </c>
      <c r="I7" s="2" t="s">
        <v>18</v>
      </c>
      <c r="J7" s="1" t="s">
        <v>18</v>
      </c>
      <c r="K7" s="1" t="s">
        <v>18</v>
      </c>
      <c r="L7" s="0" t="n">
        <v>3.75</v>
      </c>
      <c r="M7" s="2" t="n">
        <v>2.52</v>
      </c>
      <c r="N7" s="0" t="n">
        <v>9.43</v>
      </c>
      <c r="O7" s="2" t="n">
        <v>2.52</v>
      </c>
    </row>
    <row r="8" customFormat="false" ht="15" hidden="false" customHeight="false" outlineLevel="0" collapsed="false">
      <c r="D8" s="0" t="n">
        <v>2</v>
      </c>
      <c r="E8" s="0" t="n">
        <v>1.53</v>
      </c>
      <c r="F8" s="1" t="s">
        <v>18</v>
      </c>
      <c r="G8" s="2" t="s">
        <v>18</v>
      </c>
      <c r="H8" s="1" t="s">
        <v>18</v>
      </c>
      <c r="I8" s="2" t="s">
        <v>18</v>
      </c>
      <c r="J8" s="1" t="s">
        <v>18</v>
      </c>
      <c r="K8" s="1" t="s">
        <v>18</v>
      </c>
      <c r="L8" s="0" t="n">
        <v>3.75</v>
      </c>
      <c r="M8" s="2" t="n">
        <v>2.34</v>
      </c>
      <c r="N8" s="0" t="n">
        <v>9.7</v>
      </c>
      <c r="O8" s="2" t="n">
        <v>2.34</v>
      </c>
    </row>
    <row r="9" customFormat="false" ht="15" hidden="false" customHeight="false" outlineLevel="0" collapsed="false">
      <c r="D9" s="0" t="n">
        <v>1</v>
      </c>
      <c r="E9" s="0" t="n">
        <v>1.63</v>
      </c>
      <c r="F9" s="1" t="s">
        <v>18</v>
      </c>
      <c r="G9" s="2" t="s">
        <v>18</v>
      </c>
      <c r="H9" s="1" t="s">
        <v>18</v>
      </c>
      <c r="I9" s="2" t="s">
        <v>18</v>
      </c>
      <c r="J9" s="1" t="s">
        <v>18</v>
      </c>
      <c r="K9" s="1" t="s">
        <v>18</v>
      </c>
      <c r="L9" s="0" t="n">
        <v>3.75</v>
      </c>
      <c r="M9" s="2" t="n">
        <v>2.09</v>
      </c>
      <c r="N9" s="0" t="n">
        <v>10.08</v>
      </c>
      <c r="O9" s="2" t="n">
        <v>2.09</v>
      </c>
    </row>
    <row r="10" customFormat="false" ht="15" hidden="false" customHeight="false" outlineLevel="0" collapsed="false">
      <c r="A10" s="1" t="n">
        <v>2</v>
      </c>
      <c r="B10" s="2" t="s">
        <v>19</v>
      </c>
      <c r="C10" s="0" t="n">
        <v>19.63</v>
      </c>
      <c r="D10" s="0" t="n">
        <v>4</v>
      </c>
      <c r="E10" s="0" t="n">
        <v>1.56</v>
      </c>
      <c r="F10" s="0" t="n">
        <v>-8.62</v>
      </c>
      <c r="G10" s="2" t="n">
        <v>2.86</v>
      </c>
      <c r="H10" s="0" t="n">
        <v>-4.01</v>
      </c>
      <c r="I10" s="2" t="n">
        <v>2.58</v>
      </c>
      <c r="J10" s="1" t="s">
        <v>18</v>
      </c>
      <c r="K10" s="1" t="s">
        <v>18</v>
      </c>
      <c r="L10" s="1" t="s">
        <v>18</v>
      </c>
      <c r="M10" s="2" t="s">
        <v>18</v>
      </c>
      <c r="N10" s="1" t="s">
        <v>18</v>
      </c>
      <c r="O10" s="2" t="s">
        <v>18</v>
      </c>
      <c r="P10" s="0" t="n">
        <v>5.77</v>
      </c>
      <c r="Q10" s="0" t="n">
        <v>0</v>
      </c>
    </row>
    <row r="11" customFormat="false" ht="15" hidden="false" customHeight="false" outlineLevel="0" collapsed="false">
      <c r="D11" s="0" t="n">
        <v>3</v>
      </c>
      <c r="E11" s="0" t="n">
        <v>1.05</v>
      </c>
      <c r="F11" s="0" t="n">
        <v>-9.43</v>
      </c>
      <c r="G11" s="2" t="n">
        <v>2.52</v>
      </c>
      <c r="H11" s="0" t="n">
        <v>-3.75</v>
      </c>
      <c r="I11" s="2" t="n">
        <v>2.52</v>
      </c>
      <c r="J11" s="1" t="s">
        <v>18</v>
      </c>
      <c r="K11" s="1" t="s">
        <v>18</v>
      </c>
      <c r="L11" s="1" t="s">
        <v>18</v>
      </c>
      <c r="M11" s="2" t="s">
        <v>18</v>
      </c>
      <c r="N11" s="1" t="s">
        <v>18</v>
      </c>
      <c r="O11" s="2" t="s">
        <v>18</v>
      </c>
    </row>
    <row r="12" customFormat="false" ht="15" hidden="false" customHeight="false" outlineLevel="0" collapsed="false">
      <c r="D12" s="0" t="n">
        <v>2</v>
      </c>
      <c r="E12" s="0" t="n">
        <v>1.53</v>
      </c>
      <c r="F12" s="0" t="n">
        <v>-9.7</v>
      </c>
      <c r="G12" s="2" t="n">
        <v>2.34</v>
      </c>
      <c r="H12" s="0" t="n">
        <v>-3.75</v>
      </c>
      <c r="I12" s="2" t="n">
        <v>2.34</v>
      </c>
      <c r="J12" s="1" t="s">
        <v>18</v>
      </c>
      <c r="K12" s="1" t="s">
        <v>18</v>
      </c>
      <c r="L12" s="1" t="s">
        <v>18</v>
      </c>
      <c r="M12" s="2" t="s">
        <v>18</v>
      </c>
      <c r="N12" s="1" t="s">
        <v>18</v>
      </c>
      <c r="O12" s="2" t="s">
        <v>18</v>
      </c>
    </row>
    <row r="13" customFormat="false" ht="15" hidden="false" customHeight="false" outlineLevel="0" collapsed="false">
      <c r="D13" s="0" t="n">
        <v>1</v>
      </c>
      <c r="E13" s="0" t="n">
        <v>1.63</v>
      </c>
      <c r="F13" s="0" t="n">
        <v>-10.08</v>
      </c>
      <c r="G13" s="2" t="n">
        <v>2.09</v>
      </c>
      <c r="H13" s="0" t="n">
        <v>-3.75</v>
      </c>
      <c r="I13" s="2" t="n">
        <v>2.09</v>
      </c>
      <c r="J13" s="1" t="s">
        <v>18</v>
      </c>
      <c r="K13" s="1" t="s">
        <v>18</v>
      </c>
      <c r="L13" s="1" t="s">
        <v>18</v>
      </c>
      <c r="M13" s="2" t="s">
        <v>18</v>
      </c>
      <c r="N13" s="1" t="s">
        <v>18</v>
      </c>
      <c r="O13" s="2" t="s">
        <v>18</v>
      </c>
    </row>
    <row r="14" customFormat="false" ht="15" hidden="false" customHeight="false" outlineLevel="0" collapsed="false">
      <c r="A14" s="1" t="n">
        <v>2</v>
      </c>
      <c r="B14" s="2" t="s">
        <v>19</v>
      </c>
      <c r="C14" s="0" t="n">
        <v>19.63</v>
      </c>
      <c r="D14" s="0" t="n">
        <v>4</v>
      </c>
      <c r="E14" s="0" t="n">
        <v>1.56</v>
      </c>
      <c r="F14" s="1" t="s">
        <v>18</v>
      </c>
      <c r="G14" s="2" t="s">
        <v>18</v>
      </c>
      <c r="H14" s="1" t="s">
        <v>18</v>
      </c>
      <c r="I14" s="2" t="s">
        <v>18</v>
      </c>
      <c r="J14" s="1" t="s">
        <v>18</v>
      </c>
      <c r="K14" s="1" t="s">
        <v>18</v>
      </c>
      <c r="L14" s="0" t="n">
        <v>4.01</v>
      </c>
      <c r="M14" s="2" t="n">
        <v>2.77</v>
      </c>
      <c r="N14" s="0" t="n">
        <v>8.62</v>
      </c>
      <c r="O14" s="2" t="n">
        <v>2.77</v>
      </c>
      <c r="P14" s="0" t="n">
        <v>5.77</v>
      </c>
      <c r="Q14" s="0" t="n">
        <v>0</v>
      </c>
    </row>
    <row r="15" customFormat="false" ht="15" hidden="false" customHeight="false" outlineLevel="0" collapsed="false">
      <c r="D15" s="0" t="n">
        <v>3</v>
      </c>
      <c r="E15" s="0" t="n">
        <v>1.05</v>
      </c>
      <c r="F15" s="1" t="s">
        <v>18</v>
      </c>
      <c r="G15" s="2" t="s">
        <v>18</v>
      </c>
      <c r="H15" s="1" t="s">
        <v>18</v>
      </c>
      <c r="I15" s="2" t="s">
        <v>18</v>
      </c>
      <c r="J15" s="1" t="s">
        <v>18</v>
      </c>
      <c r="K15" s="1" t="s">
        <v>18</v>
      </c>
      <c r="L15" s="0" t="n">
        <v>3.75</v>
      </c>
      <c r="M15" s="2" t="n">
        <v>2.52</v>
      </c>
      <c r="N15" s="0" t="n">
        <v>9.43</v>
      </c>
      <c r="O15" s="2" t="n">
        <v>2.52</v>
      </c>
    </row>
    <row r="16" customFormat="false" ht="15" hidden="false" customHeight="false" outlineLevel="0" collapsed="false">
      <c r="D16" s="0" t="n">
        <v>2</v>
      </c>
      <c r="E16" s="0" t="n">
        <v>1.53</v>
      </c>
      <c r="F16" s="1" t="s">
        <v>18</v>
      </c>
      <c r="G16" s="2" t="s">
        <v>18</v>
      </c>
      <c r="H16" s="1" t="s">
        <v>18</v>
      </c>
      <c r="I16" s="2" t="s">
        <v>18</v>
      </c>
      <c r="J16" s="1" t="s">
        <v>18</v>
      </c>
      <c r="K16" s="1" t="s">
        <v>18</v>
      </c>
      <c r="L16" s="0" t="n">
        <v>3.75</v>
      </c>
      <c r="M16" s="2" t="n">
        <v>2.34</v>
      </c>
      <c r="N16" s="0" t="n">
        <v>9.7</v>
      </c>
      <c r="O16" s="2" t="n">
        <v>2.34</v>
      </c>
    </row>
    <row r="17" customFormat="false" ht="15" hidden="false" customHeight="false" outlineLevel="0" collapsed="false">
      <c r="D17" s="0" t="n">
        <v>1</v>
      </c>
      <c r="E17" s="0" t="n">
        <v>1.63</v>
      </c>
      <c r="F17" s="1" t="s">
        <v>18</v>
      </c>
      <c r="G17" s="2" t="s">
        <v>18</v>
      </c>
      <c r="H17" s="1" t="s">
        <v>18</v>
      </c>
      <c r="I17" s="2" t="s">
        <v>18</v>
      </c>
      <c r="J17" s="1" t="s">
        <v>18</v>
      </c>
      <c r="K17" s="1" t="s">
        <v>18</v>
      </c>
      <c r="L17" s="0" t="n">
        <v>3.75</v>
      </c>
      <c r="M17" s="2" t="n">
        <v>2.09</v>
      </c>
      <c r="N17" s="0" t="n">
        <v>10.08</v>
      </c>
      <c r="O17" s="2" t="n">
        <v>2.09</v>
      </c>
    </row>
    <row r="18" customFormat="false" ht="15" hidden="false" customHeight="false" outlineLevel="0" collapsed="false">
      <c r="A18" s="1" t="n">
        <v>3</v>
      </c>
      <c r="B18" s="2" t="s">
        <v>20</v>
      </c>
      <c r="C18" s="0" t="n">
        <v>36.8</v>
      </c>
      <c r="D18" s="0" t="n">
        <v>4</v>
      </c>
      <c r="E18" s="0" t="n">
        <v>1.56</v>
      </c>
      <c r="F18" s="0" t="n">
        <v>-8.62</v>
      </c>
      <c r="G18" s="2" t="n">
        <v>2.87</v>
      </c>
      <c r="H18" s="0" t="n">
        <v>-4.01</v>
      </c>
      <c r="I18" s="2" t="n">
        <v>2.59</v>
      </c>
      <c r="J18" s="1" t="s">
        <v>18</v>
      </c>
      <c r="K18" s="1" t="s">
        <v>18</v>
      </c>
      <c r="L18" s="1" t="s">
        <v>18</v>
      </c>
      <c r="M18" s="2" t="s">
        <v>18</v>
      </c>
      <c r="N18" s="1" t="s">
        <v>18</v>
      </c>
      <c r="O18" s="2" t="s">
        <v>18</v>
      </c>
      <c r="P18" s="0" t="n">
        <v>5.77</v>
      </c>
      <c r="Q18" s="0" t="n">
        <v>0</v>
      </c>
    </row>
    <row r="19" customFormat="false" ht="15" hidden="false" customHeight="false" outlineLevel="0" collapsed="false">
      <c r="D19" s="0" t="n">
        <v>3</v>
      </c>
      <c r="E19" s="0" t="n">
        <v>1.05</v>
      </c>
      <c r="F19" s="0" t="n">
        <v>-9.43</v>
      </c>
      <c r="G19" s="2" t="n">
        <v>2.53</v>
      </c>
      <c r="H19" s="0" t="n">
        <v>-3.75</v>
      </c>
      <c r="I19" s="2" t="n">
        <v>2.53</v>
      </c>
      <c r="J19" s="1" t="s">
        <v>18</v>
      </c>
      <c r="K19" s="1" t="s">
        <v>18</v>
      </c>
      <c r="L19" s="1" t="s">
        <v>18</v>
      </c>
      <c r="M19" s="2" t="s">
        <v>18</v>
      </c>
      <c r="N19" s="1" t="s">
        <v>18</v>
      </c>
      <c r="O19" s="2" t="s">
        <v>18</v>
      </c>
    </row>
    <row r="20" customFormat="false" ht="15" hidden="false" customHeight="false" outlineLevel="0" collapsed="false">
      <c r="D20" s="0" t="n">
        <v>2</v>
      </c>
      <c r="E20" s="0" t="n">
        <v>1.53</v>
      </c>
      <c r="F20" s="0" t="n">
        <v>-9.7</v>
      </c>
      <c r="G20" s="2" t="n">
        <v>2.35</v>
      </c>
      <c r="H20" s="0" t="n">
        <v>-3.75</v>
      </c>
      <c r="I20" s="2" t="n">
        <v>2.35</v>
      </c>
      <c r="J20" s="1" t="s">
        <v>18</v>
      </c>
      <c r="K20" s="1" t="s">
        <v>18</v>
      </c>
      <c r="L20" s="1" t="s">
        <v>18</v>
      </c>
      <c r="M20" s="2" t="s">
        <v>18</v>
      </c>
      <c r="N20" s="1" t="s">
        <v>18</v>
      </c>
      <c r="O20" s="2" t="s">
        <v>18</v>
      </c>
    </row>
    <row r="21" customFormat="false" ht="15" hidden="false" customHeight="false" outlineLevel="0" collapsed="false">
      <c r="D21" s="0" t="n">
        <v>1</v>
      </c>
      <c r="E21" s="0" t="n">
        <v>1.63</v>
      </c>
      <c r="F21" s="0" t="n">
        <v>-10.08</v>
      </c>
      <c r="G21" s="2" t="n">
        <v>2.1</v>
      </c>
      <c r="H21" s="0" t="n">
        <v>-3.75</v>
      </c>
      <c r="I21" s="2" t="n">
        <v>2.1</v>
      </c>
      <c r="J21" s="1" t="s">
        <v>18</v>
      </c>
      <c r="K21" s="1" t="s">
        <v>18</v>
      </c>
      <c r="L21" s="1" t="s">
        <v>18</v>
      </c>
      <c r="M21" s="2" t="s">
        <v>18</v>
      </c>
      <c r="N21" s="1" t="s">
        <v>18</v>
      </c>
      <c r="O21" s="2" t="s">
        <v>18</v>
      </c>
    </row>
    <row r="22" customFormat="false" ht="15" hidden="false" customHeight="false" outlineLevel="0" collapsed="false">
      <c r="A22" s="1" t="n">
        <v>3</v>
      </c>
      <c r="B22" s="2" t="s">
        <v>20</v>
      </c>
      <c r="C22" s="0" t="n">
        <v>36.8</v>
      </c>
      <c r="D22" s="0" t="n">
        <v>4</v>
      </c>
      <c r="E22" s="0" t="n">
        <v>1.56</v>
      </c>
      <c r="F22" s="1" t="s">
        <v>18</v>
      </c>
      <c r="G22" s="2" t="s">
        <v>18</v>
      </c>
      <c r="H22" s="1" t="s">
        <v>18</v>
      </c>
      <c r="I22" s="2" t="s">
        <v>18</v>
      </c>
      <c r="J22" s="1" t="s">
        <v>18</v>
      </c>
      <c r="K22" s="1" t="s">
        <v>18</v>
      </c>
      <c r="L22" s="0" t="n">
        <v>4.01</v>
      </c>
      <c r="M22" s="2" t="n">
        <v>2.78</v>
      </c>
      <c r="N22" s="0" t="n">
        <v>8.62</v>
      </c>
      <c r="O22" s="2" t="n">
        <v>2.77</v>
      </c>
      <c r="P22" s="0" t="n">
        <v>5.77</v>
      </c>
      <c r="Q22" s="0" t="n">
        <v>0</v>
      </c>
    </row>
    <row r="23" customFormat="false" ht="15" hidden="false" customHeight="false" outlineLevel="0" collapsed="false">
      <c r="D23" s="0" t="n">
        <v>3</v>
      </c>
      <c r="E23" s="0" t="n">
        <v>1.05</v>
      </c>
      <c r="F23" s="1" t="s">
        <v>18</v>
      </c>
      <c r="G23" s="2" t="s">
        <v>18</v>
      </c>
      <c r="H23" s="1" t="s">
        <v>18</v>
      </c>
      <c r="I23" s="2" t="s">
        <v>18</v>
      </c>
      <c r="J23" s="1" t="s">
        <v>18</v>
      </c>
      <c r="K23" s="1" t="s">
        <v>18</v>
      </c>
      <c r="L23" s="0" t="n">
        <v>3.75</v>
      </c>
      <c r="M23" s="2" t="n">
        <v>2.53</v>
      </c>
      <c r="N23" s="0" t="n">
        <v>9.43</v>
      </c>
      <c r="O23" s="2" t="n">
        <v>2.53</v>
      </c>
    </row>
    <row r="24" customFormat="false" ht="15" hidden="false" customHeight="false" outlineLevel="0" collapsed="false">
      <c r="D24" s="0" t="n">
        <v>2</v>
      </c>
      <c r="E24" s="0" t="n">
        <v>1.53</v>
      </c>
      <c r="F24" s="1" t="s">
        <v>18</v>
      </c>
      <c r="G24" s="2" t="s">
        <v>18</v>
      </c>
      <c r="H24" s="1" t="s">
        <v>18</v>
      </c>
      <c r="I24" s="2" t="s">
        <v>18</v>
      </c>
      <c r="J24" s="1" t="s">
        <v>18</v>
      </c>
      <c r="K24" s="1" t="s">
        <v>18</v>
      </c>
      <c r="L24" s="0" t="n">
        <v>3.75</v>
      </c>
      <c r="M24" s="2" t="n">
        <v>2.35</v>
      </c>
      <c r="N24" s="0" t="n">
        <v>9.7</v>
      </c>
      <c r="O24" s="2" t="n">
        <v>2.35</v>
      </c>
    </row>
    <row r="25" customFormat="false" ht="15" hidden="false" customHeight="false" outlineLevel="0" collapsed="false">
      <c r="D25" s="0" t="n">
        <v>1</v>
      </c>
      <c r="E25" s="0" t="n">
        <v>1.63</v>
      </c>
      <c r="F25" s="1" t="s">
        <v>18</v>
      </c>
      <c r="G25" s="2" t="s">
        <v>18</v>
      </c>
      <c r="H25" s="1" t="s">
        <v>18</v>
      </c>
      <c r="I25" s="2" t="s">
        <v>18</v>
      </c>
      <c r="J25" s="1" t="s">
        <v>18</v>
      </c>
      <c r="K25" s="1" t="s">
        <v>18</v>
      </c>
      <c r="L25" s="0" t="n">
        <v>3.75</v>
      </c>
      <c r="M25" s="2" t="n">
        <v>2.1</v>
      </c>
      <c r="N25" s="0" t="n">
        <v>10.08</v>
      </c>
      <c r="O25" s="2" t="n">
        <v>2.1</v>
      </c>
    </row>
    <row r="26" customFormat="false" ht="15" hidden="false" customHeight="false" outlineLevel="0" collapsed="false">
      <c r="A26" s="1" t="n">
        <v>4</v>
      </c>
      <c r="B26" s="2" t="s">
        <v>21</v>
      </c>
      <c r="C26" s="0" t="n">
        <v>53.98</v>
      </c>
      <c r="D26" s="0" t="n">
        <v>4</v>
      </c>
      <c r="E26" s="0" t="n">
        <v>1.56</v>
      </c>
      <c r="F26" s="0" t="n">
        <v>-8.62</v>
      </c>
      <c r="G26" s="2" t="n">
        <v>2.88</v>
      </c>
      <c r="H26" s="0" t="n">
        <v>-4.01</v>
      </c>
      <c r="I26" s="2" t="n">
        <v>2.6</v>
      </c>
      <c r="J26" s="1" t="s">
        <v>18</v>
      </c>
      <c r="K26" s="1" t="s">
        <v>18</v>
      </c>
      <c r="L26" s="1" t="s">
        <v>18</v>
      </c>
      <c r="M26" s="2" t="s">
        <v>18</v>
      </c>
      <c r="N26" s="1" t="s">
        <v>18</v>
      </c>
      <c r="O26" s="2" t="s">
        <v>18</v>
      </c>
      <c r="P26" s="0" t="n">
        <v>5.77</v>
      </c>
      <c r="Q26" s="0" t="n">
        <v>0</v>
      </c>
    </row>
    <row r="27" customFormat="false" ht="15" hidden="false" customHeight="false" outlineLevel="0" collapsed="false">
      <c r="D27" s="0" t="n">
        <v>3</v>
      </c>
      <c r="E27" s="0" t="n">
        <v>1.05</v>
      </c>
      <c r="F27" s="0" t="n">
        <v>-9.43</v>
      </c>
      <c r="G27" s="2" t="n">
        <v>2.54</v>
      </c>
      <c r="H27" s="0" t="n">
        <v>-3.75</v>
      </c>
      <c r="I27" s="2" t="n">
        <v>2.54</v>
      </c>
      <c r="J27" s="1" t="s">
        <v>18</v>
      </c>
      <c r="K27" s="1" t="s">
        <v>18</v>
      </c>
      <c r="L27" s="1" t="s">
        <v>18</v>
      </c>
      <c r="M27" s="2" t="s">
        <v>18</v>
      </c>
      <c r="N27" s="1" t="s">
        <v>18</v>
      </c>
      <c r="O27" s="2" t="s">
        <v>18</v>
      </c>
    </row>
    <row r="28" customFormat="false" ht="15" hidden="false" customHeight="false" outlineLevel="0" collapsed="false">
      <c r="D28" s="0" t="n">
        <v>2</v>
      </c>
      <c r="E28" s="0" t="n">
        <v>1.53</v>
      </c>
      <c r="F28" s="0" t="n">
        <v>-9.7</v>
      </c>
      <c r="G28" s="2" t="n">
        <v>2.36</v>
      </c>
      <c r="H28" s="0" t="n">
        <v>-3.75</v>
      </c>
      <c r="I28" s="2" t="n">
        <v>2.36</v>
      </c>
      <c r="J28" s="1" t="s">
        <v>18</v>
      </c>
      <c r="K28" s="1" t="s">
        <v>18</v>
      </c>
      <c r="L28" s="1" t="s">
        <v>18</v>
      </c>
      <c r="M28" s="2" t="s">
        <v>18</v>
      </c>
      <c r="N28" s="1" t="s">
        <v>18</v>
      </c>
      <c r="O28" s="2" t="s">
        <v>18</v>
      </c>
    </row>
    <row r="29" customFormat="false" ht="15" hidden="false" customHeight="false" outlineLevel="0" collapsed="false">
      <c r="D29" s="0" t="n">
        <v>1</v>
      </c>
      <c r="E29" s="0" t="n">
        <v>1.63</v>
      </c>
      <c r="F29" s="0" t="n">
        <v>-10.08</v>
      </c>
      <c r="G29" s="2" t="n">
        <v>2.11</v>
      </c>
      <c r="H29" s="0" t="n">
        <v>-3.75</v>
      </c>
      <c r="I29" s="2" t="n">
        <v>2.11</v>
      </c>
      <c r="J29" s="1" t="s">
        <v>18</v>
      </c>
      <c r="K29" s="1" t="s">
        <v>18</v>
      </c>
      <c r="L29" s="1" t="s">
        <v>18</v>
      </c>
      <c r="M29" s="2" t="s">
        <v>18</v>
      </c>
      <c r="N29" s="1" t="s">
        <v>18</v>
      </c>
      <c r="O29" s="2" t="s">
        <v>18</v>
      </c>
    </row>
    <row r="30" customFormat="false" ht="15" hidden="false" customHeight="false" outlineLevel="0" collapsed="false">
      <c r="A30" s="1" t="n">
        <v>4</v>
      </c>
      <c r="B30" s="2" t="s">
        <v>21</v>
      </c>
      <c r="C30" s="0" t="n">
        <v>53.98</v>
      </c>
      <c r="D30" s="0" t="n">
        <v>4</v>
      </c>
      <c r="E30" s="0" t="n">
        <v>1.56</v>
      </c>
      <c r="F30" s="1" t="s">
        <v>18</v>
      </c>
      <c r="G30" s="2" t="s">
        <v>18</v>
      </c>
      <c r="H30" s="1" t="s">
        <v>18</v>
      </c>
      <c r="I30" s="2" t="s">
        <v>18</v>
      </c>
      <c r="J30" s="1" t="s">
        <v>18</v>
      </c>
      <c r="K30" s="1" t="s">
        <v>18</v>
      </c>
      <c r="L30" s="0" t="n">
        <v>4.01</v>
      </c>
      <c r="M30" s="2" t="n">
        <v>2.79</v>
      </c>
      <c r="N30" s="0" t="n">
        <v>8.62</v>
      </c>
      <c r="O30" s="2" t="n">
        <v>2.78</v>
      </c>
      <c r="P30" s="0" t="n">
        <v>5.77</v>
      </c>
      <c r="Q30" s="0" t="n">
        <v>0</v>
      </c>
    </row>
    <row r="31" customFormat="false" ht="15" hidden="false" customHeight="false" outlineLevel="0" collapsed="false">
      <c r="D31" s="0" t="n">
        <v>3</v>
      </c>
      <c r="E31" s="0" t="n">
        <v>1.05</v>
      </c>
      <c r="F31" s="1" t="s">
        <v>18</v>
      </c>
      <c r="G31" s="2" t="s">
        <v>18</v>
      </c>
      <c r="H31" s="1" t="s">
        <v>18</v>
      </c>
      <c r="I31" s="2" t="s">
        <v>18</v>
      </c>
      <c r="J31" s="1" t="s">
        <v>18</v>
      </c>
      <c r="K31" s="1" t="s">
        <v>18</v>
      </c>
      <c r="L31" s="0" t="n">
        <v>3.75</v>
      </c>
      <c r="M31" s="2" t="n">
        <v>2.54</v>
      </c>
      <c r="N31" s="0" t="n">
        <v>9.43</v>
      </c>
      <c r="O31" s="2" t="n">
        <v>2.54</v>
      </c>
    </row>
    <row r="32" customFormat="false" ht="15" hidden="false" customHeight="false" outlineLevel="0" collapsed="false">
      <c r="D32" s="0" t="n">
        <v>2</v>
      </c>
      <c r="E32" s="0" t="n">
        <v>1.53</v>
      </c>
      <c r="F32" s="1" t="s">
        <v>18</v>
      </c>
      <c r="G32" s="2" t="s">
        <v>18</v>
      </c>
      <c r="H32" s="1" t="s">
        <v>18</v>
      </c>
      <c r="I32" s="2" t="s">
        <v>18</v>
      </c>
      <c r="J32" s="1" t="s">
        <v>18</v>
      </c>
      <c r="K32" s="1" t="s">
        <v>18</v>
      </c>
      <c r="L32" s="0" t="n">
        <v>3.75</v>
      </c>
      <c r="M32" s="2" t="n">
        <v>2.36</v>
      </c>
      <c r="N32" s="0" t="n">
        <v>9.7</v>
      </c>
      <c r="O32" s="2" t="n">
        <v>2.36</v>
      </c>
    </row>
    <row r="33" customFormat="false" ht="15" hidden="false" customHeight="false" outlineLevel="0" collapsed="false">
      <c r="D33" s="0" t="n">
        <v>1</v>
      </c>
      <c r="E33" s="0" t="n">
        <v>1.63</v>
      </c>
      <c r="F33" s="1" t="s">
        <v>18</v>
      </c>
      <c r="G33" s="2" t="s">
        <v>18</v>
      </c>
      <c r="H33" s="1" t="s">
        <v>18</v>
      </c>
      <c r="I33" s="2" t="s">
        <v>18</v>
      </c>
      <c r="J33" s="1" t="s">
        <v>18</v>
      </c>
      <c r="K33" s="1" t="s">
        <v>18</v>
      </c>
      <c r="L33" s="0" t="n">
        <v>3.75</v>
      </c>
      <c r="M33" s="2" t="n">
        <v>2.11</v>
      </c>
      <c r="N33" s="0" t="n">
        <v>10.08</v>
      </c>
      <c r="O33" s="2" t="n">
        <v>2.11</v>
      </c>
    </row>
    <row r="34" customFormat="false" ht="15" hidden="false" customHeight="false" outlineLevel="0" collapsed="false">
      <c r="A34" s="1" t="n">
        <v>5</v>
      </c>
      <c r="B34" s="2" t="s">
        <v>22</v>
      </c>
      <c r="C34" s="0" t="n">
        <v>66.95</v>
      </c>
      <c r="D34" s="0" t="n">
        <v>4</v>
      </c>
      <c r="E34" s="0" t="n">
        <v>1.56</v>
      </c>
      <c r="F34" s="0" t="n">
        <v>-8.62</v>
      </c>
      <c r="G34" s="2" t="n">
        <v>2.88</v>
      </c>
      <c r="H34" s="0" t="n">
        <v>-4.01</v>
      </c>
      <c r="I34" s="2" t="n">
        <v>2.6</v>
      </c>
      <c r="J34" s="1" t="s">
        <v>18</v>
      </c>
      <c r="K34" s="1" t="s">
        <v>18</v>
      </c>
      <c r="L34" s="1" t="s">
        <v>18</v>
      </c>
      <c r="M34" s="2" t="s">
        <v>18</v>
      </c>
      <c r="N34" s="1" t="s">
        <v>18</v>
      </c>
      <c r="O34" s="2" t="s">
        <v>18</v>
      </c>
      <c r="P34" s="0" t="n">
        <v>5.77</v>
      </c>
      <c r="Q34" s="0" t="n">
        <v>0</v>
      </c>
    </row>
    <row r="35" customFormat="false" ht="15" hidden="false" customHeight="false" outlineLevel="0" collapsed="false">
      <c r="D35" s="0" t="n">
        <v>3</v>
      </c>
      <c r="E35" s="0" t="n">
        <v>1.05</v>
      </c>
      <c r="F35" s="0" t="n">
        <v>-9.43</v>
      </c>
      <c r="G35" s="2" t="n">
        <v>2.54</v>
      </c>
      <c r="H35" s="0" t="n">
        <v>-3.75</v>
      </c>
      <c r="I35" s="2" t="n">
        <v>2.54</v>
      </c>
      <c r="J35" s="1" t="s">
        <v>18</v>
      </c>
      <c r="K35" s="1" t="s">
        <v>18</v>
      </c>
      <c r="L35" s="1" t="s">
        <v>18</v>
      </c>
      <c r="M35" s="2" t="s">
        <v>18</v>
      </c>
      <c r="N35" s="1" t="s">
        <v>18</v>
      </c>
      <c r="O35" s="2" t="s">
        <v>18</v>
      </c>
    </row>
    <row r="36" customFormat="false" ht="15" hidden="false" customHeight="false" outlineLevel="0" collapsed="false">
      <c r="D36" s="0" t="n">
        <v>2</v>
      </c>
      <c r="E36" s="0" t="n">
        <v>1.53</v>
      </c>
      <c r="F36" s="0" t="n">
        <v>-9.7</v>
      </c>
      <c r="G36" s="2" t="n">
        <v>2.36</v>
      </c>
      <c r="H36" s="0" t="n">
        <v>-3.75</v>
      </c>
      <c r="I36" s="2" t="n">
        <v>2.36</v>
      </c>
      <c r="J36" s="1" t="s">
        <v>18</v>
      </c>
      <c r="K36" s="1" t="s">
        <v>18</v>
      </c>
      <c r="L36" s="1" t="s">
        <v>18</v>
      </c>
      <c r="M36" s="2" t="s">
        <v>18</v>
      </c>
      <c r="N36" s="1" t="s">
        <v>18</v>
      </c>
      <c r="O36" s="2" t="s">
        <v>18</v>
      </c>
    </row>
    <row r="37" customFormat="false" ht="15" hidden="false" customHeight="false" outlineLevel="0" collapsed="false">
      <c r="D37" s="0" t="n">
        <v>1</v>
      </c>
      <c r="E37" s="0" t="n">
        <v>1.63</v>
      </c>
      <c r="F37" s="0" t="n">
        <v>-10.08</v>
      </c>
      <c r="G37" s="2" t="n">
        <v>2.11</v>
      </c>
      <c r="H37" s="0" t="n">
        <v>-3.75</v>
      </c>
      <c r="I37" s="2" t="n">
        <v>2.11</v>
      </c>
      <c r="J37" s="1" t="s">
        <v>18</v>
      </c>
      <c r="K37" s="1" t="s">
        <v>18</v>
      </c>
      <c r="L37" s="1" t="s">
        <v>18</v>
      </c>
      <c r="M37" s="2" t="s">
        <v>18</v>
      </c>
      <c r="N37" s="1" t="s">
        <v>18</v>
      </c>
      <c r="O37" s="2" t="s">
        <v>18</v>
      </c>
    </row>
    <row r="38" customFormat="false" ht="15" hidden="false" customHeight="false" outlineLevel="0" collapsed="false">
      <c r="A38" s="1" t="n">
        <v>5</v>
      </c>
      <c r="B38" s="2" t="s">
        <v>22</v>
      </c>
      <c r="C38" s="0" t="n">
        <v>66.95</v>
      </c>
      <c r="D38" s="0" t="n">
        <v>4</v>
      </c>
      <c r="E38" s="0" t="n">
        <v>1.56</v>
      </c>
      <c r="F38" s="1" t="s">
        <v>18</v>
      </c>
      <c r="G38" s="2" t="s">
        <v>18</v>
      </c>
      <c r="H38" s="1" t="s">
        <v>18</v>
      </c>
      <c r="I38" s="2" t="s">
        <v>18</v>
      </c>
      <c r="J38" s="1" t="s">
        <v>18</v>
      </c>
      <c r="K38" s="1" t="s">
        <v>18</v>
      </c>
      <c r="L38" s="0" t="n">
        <v>4.01</v>
      </c>
      <c r="M38" s="2" t="n">
        <v>2.79</v>
      </c>
      <c r="N38" s="0" t="n">
        <v>8.62</v>
      </c>
      <c r="O38" s="2" t="n">
        <v>2.79</v>
      </c>
      <c r="P38" s="0" t="n">
        <v>5.77</v>
      </c>
      <c r="Q38" s="0" t="n">
        <v>0</v>
      </c>
    </row>
    <row r="39" customFormat="false" ht="15" hidden="false" customHeight="false" outlineLevel="0" collapsed="false">
      <c r="D39" s="0" t="n">
        <v>3</v>
      </c>
      <c r="E39" s="0" t="n">
        <v>1.05</v>
      </c>
      <c r="F39" s="1" t="s">
        <v>18</v>
      </c>
      <c r="G39" s="2" t="s">
        <v>18</v>
      </c>
      <c r="H39" s="1" t="s">
        <v>18</v>
      </c>
      <c r="I39" s="2" t="s">
        <v>18</v>
      </c>
      <c r="J39" s="1" t="s">
        <v>18</v>
      </c>
      <c r="K39" s="1" t="s">
        <v>18</v>
      </c>
      <c r="L39" s="0" t="n">
        <v>3.75</v>
      </c>
      <c r="M39" s="2" t="n">
        <v>2.54</v>
      </c>
      <c r="N39" s="0" t="n">
        <v>9.43</v>
      </c>
      <c r="O39" s="2" t="n">
        <v>2.54</v>
      </c>
    </row>
    <row r="40" customFormat="false" ht="15" hidden="false" customHeight="false" outlineLevel="0" collapsed="false">
      <c r="D40" s="0" t="n">
        <v>2</v>
      </c>
      <c r="E40" s="0" t="n">
        <v>1.53</v>
      </c>
      <c r="F40" s="1" t="s">
        <v>18</v>
      </c>
      <c r="G40" s="2" t="s">
        <v>18</v>
      </c>
      <c r="H40" s="1" t="s">
        <v>18</v>
      </c>
      <c r="I40" s="2" t="s">
        <v>18</v>
      </c>
      <c r="J40" s="1" t="s">
        <v>18</v>
      </c>
      <c r="K40" s="1" t="s">
        <v>18</v>
      </c>
      <c r="L40" s="0" t="n">
        <v>3.75</v>
      </c>
      <c r="M40" s="2" t="n">
        <v>2.36</v>
      </c>
      <c r="N40" s="0" t="n">
        <v>9.7</v>
      </c>
      <c r="O40" s="2" t="n">
        <v>2.36</v>
      </c>
    </row>
    <row r="41" customFormat="false" ht="15" hidden="false" customHeight="false" outlineLevel="0" collapsed="false">
      <c r="D41" s="0" t="n">
        <v>1</v>
      </c>
      <c r="E41" s="0" t="n">
        <v>1.63</v>
      </c>
      <c r="F41" s="1" t="s">
        <v>18</v>
      </c>
      <c r="G41" s="2" t="s">
        <v>18</v>
      </c>
      <c r="H41" s="1" t="s">
        <v>18</v>
      </c>
      <c r="I41" s="2" t="s">
        <v>18</v>
      </c>
      <c r="J41" s="1" t="s">
        <v>18</v>
      </c>
      <c r="K41" s="1" t="s">
        <v>18</v>
      </c>
      <c r="L41" s="0" t="n">
        <v>3.75</v>
      </c>
      <c r="M41" s="2" t="n">
        <v>2.11</v>
      </c>
      <c r="N41" s="0" t="n">
        <v>10.08</v>
      </c>
      <c r="O41" s="2" t="n">
        <v>2.11</v>
      </c>
    </row>
    <row r="42" customFormat="false" ht="15" hidden="false" customHeight="false" outlineLevel="0" collapsed="false">
      <c r="A42" s="1" t="n">
        <v>6</v>
      </c>
      <c r="B42" s="2" t="s">
        <v>23</v>
      </c>
      <c r="C42" s="0" t="n">
        <v>77.63</v>
      </c>
      <c r="D42" s="0" t="n">
        <v>4</v>
      </c>
      <c r="E42" s="0" t="n">
        <v>1.56</v>
      </c>
      <c r="F42" s="0" t="n">
        <v>-8.62</v>
      </c>
      <c r="G42" s="2" t="n">
        <v>2.89</v>
      </c>
      <c r="H42" s="0" t="n">
        <v>-4.01</v>
      </c>
      <c r="I42" s="2" t="n">
        <v>2.61</v>
      </c>
      <c r="J42" s="1" t="s">
        <v>18</v>
      </c>
      <c r="K42" s="1" t="s">
        <v>18</v>
      </c>
      <c r="L42" s="1" t="s">
        <v>18</v>
      </c>
      <c r="M42" s="2" t="s">
        <v>18</v>
      </c>
      <c r="N42" s="1" t="s">
        <v>18</v>
      </c>
      <c r="O42" s="2" t="s">
        <v>18</v>
      </c>
      <c r="P42" s="0" t="n">
        <v>5.77</v>
      </c>
      <c r="Q42" s="0" t="n">
        <v>0</v>
      </c>
    </row>
    <row r="43" customFormat="false" ht="15" hidden="false" customHeight="false" outlineLevel="0" collapsed="false">
      <c r="D43" s="0" t="n">
        <v>3</v>
      </c>
      <c r="E43" s="0" t="n">
        <v>1.05</v>
      </c>
      <c r="F43" s="0" t="n">
        <v>-9.43</v>
      </c>
      <c r="G43" s="2" t="n">
        <v>2.55</v>
      </c>
      <c r="H43" s="0" t="n">
        <v>-3.75</v>
      </c>
      <c r="I43" s="2" t="n">
        <v>2.55</v>
      </c>
      <c r="J43" s="1" t="s">
        <v>18</v>
      </c>
      <c r="K43" s="1" t="s">
        <v>18</v>
      </c>
      <c r="L43" s="1" t="s">
        <v>18</v>
      </c>
      <c r="M43" s="2" t="s">
        <v>18</v>
      </c>
      <c r="N43" s="1" t="s">
        <v>18</v>
      </c>
      <c r="O43" s="2" t="s">
        <v>18</v>
      </c>
    </row>
    <row r="44" customFormat="false" ht="15" hidden="false" customHeight="false" outlineLevel="0" collapsed="false">
      <c r="D44" s="0" t="n">
        <v>2</v>
      </c>
      <c r="E44" s="0" t="n">
        <v>1.53</v>
      </c>
      <c r="F44" s="0" t="n">
        <v>-9.7</v>
      </c>
      <c r="G44" s="2" t="n">
        <v>2.37</v>
      </c>
      <c r="H44" s="0" t="n">
        <v>-3.75</v>
      </c>
      <c r="I44" s="2" t="n">
        <v>2.37</v>
      </c>
      <c r="J44" s="1" t="s">
        <v>18</v>
      </c>
      <c r="K44" s="1" t="s">
        <v>18</v>
      </c>
      <c r="L44" s="1" t="s">
        <v>18</v>
      </c>
      <c r="M44" s="2" t="s">
        <v>18</v>
      </c>
      <c r="N44" s="1" t="s">
        <v>18</v>
      </c>
      <c r="O44" s="2" t="s">
        <v>18</v>
      </c>
    </row>
    <row r="45" customFormat="false" ht="15" hidden="false" customHeight="false" outlineLevel="0" collapsed="false">
      <c r="D45" s="0" t="n">
        <v>1</v>
      </c>
      <c r="E45" s="0" t="n">
        <v>1.63</v>
      </c>
      <c r="F45" s="0" t="n">
        <v>-10.08</v>
      </c>
      <c r="G45" s="2" t="n">
        <v>2.12</v>
      </c>
      <c r="H45" s="0" t="n">
        <v>-3.75</v>
      </c>
      <c r="I45" s="2" t="n">
        <v>2.12</v>
      </c>
      <c r="J45" s="1" t="s">
        <v>18</v>
      </c>
      <c r="K45" s="1" t="s">
        <v>18</v>
      </c>
      <c r="L45" s="1" t="s">
        <v>18</v>
      </c>
      <c r="M45" s="2" t="s">
        <v>18</v>
      </c>
      <c r="N45" s="1" t="s">
        <v>18</v>
      </c>
      <c r="O45" s="2" t="s">
        <v>18</v>
      </c>
    </row>
    <row r="46" customFormat="false" ht="15" hidden="false" customHeight="false" outlineLevel="0" collapsed="false">
      <c r="A46" s="1" t="n">
        <v>6</v>
      </c>
      <c r="B46" s="2" t="s">
        <v>23</v>
      </c>
      <c r="C46" s="0" t="n">
        <v>77.63</v>
      </c>
      <c r="D46" s="0" t="n">
        <v>4</v>
      </c>
      <c r="E46" s="0" t="n">
        <v>1.56</v>
      </c>
      <c r="F46" s="1" t="s">
        <v>18</v>
      </c>
      <c r="G46" s="2" t="s">
        <v>18</v>
      </c>
      <c r="H46" s="1" t="s">
        <v>18</v>
      </c>
      <c r="I46" s="2" t="s">
        <v>18</v>
      </c>
      <c r="J46" s="1" t="s">
        <v>18</v>
      </c>
      <c r="K46" s="1" t="s">
        <v>18</v>
      </c>
      <c r="L46" s="0" t="n">
        <v>4.01</v>
      </c>
      <c r="M46" s="2" t="n">
        <v>2.8</v>
      </c>
      <c r="N46" s="0" t="n">
        <v>8.62</v>
      </c>
      <c r="O46" s="2" t="n">
        <v>2.79</v>
      </c>
      <c r="P46" s="0" t="n">
        <v>5.77</v>
      </c>
      <c r="Q46" s="0" t="n">
        <v>0</v>
      </c>
    </row>
    <row r="47" customFormat="false" ht="15" hidden="false" customHeight="false" outlineLevel="0" collapsed="false">
      <c r="D47" s="0" t="n">
        <v>3</v>
      </c>
      <c r="E47" s="0" t="n">
        <v>1.05</v>
      </c>
      <c r="F47" s="1" t="s">
        <v>18</v>
      </c>
      <c r="G47" s="2" t="s">
        <v>18</v>
      </c>
      <c r="H47" s="1" t="s">
        <v>18</v>
      </c>
      <c r="I47" s="2" t="s">
        <v>18</v>
      </c>
      <c r="J47" s="1" t="s">
        <v>18</v>
      </c>
      <c r="K47" s="1" t="s">
        <v>18</v>
      </c>
      <c r="L47" s="0" t="n">
        <v>3.75</v>
      </c>
      <c r="M47" s="2" t="n">
        <v>2.55</v>
      </c>
      <c r="N47" s="0" t="n">
        <v>9.43</v>
      </c>
      <c r="O47" s="2" t="n">
        <v>2.55</v>
      </c>
    </row>
    <row r="48" customFormat="false" ht="15" hidden="false" customHeight="false" outlineLevel="0" collapsed="false">
      <c r="D48" s="0" t="n">
        <v>2</v>
      </c>
      <c r="E48" s="0" t="n">
        <v>1.53</v>
      </c>
      <c r="F48" s="1" t="s">
        <v>18</v>
      </c>
      <c r="G48" s="2" t="s">
        <v>18</v>
      </c>
      <c r="H48" s="1" t="s">
        <v>18</v>
      </c>
      <c r="I48" s="2" t="s">
        <v>18</v>
      </c>
      <c r="J48" s="1" t="s">
        <v>18</v>
      </c>
      <c r="K48" s="1" t="s">
        <v>18</v>
      </c>
      <c r="L48" s="0" t="n">
        <v>3.75</v>
      </c>
      <c r="M48" s="2" t="n">
        <v>2.37</v>
      </c>
      <c r="N48" s="0" t="n">
        <v>9.7</v>
      </c>
      <c r="O48" s="2" t="n">
        <v>2.37</v>
      </c>
    </row>
    <row r="49" customFormat="false" ht="15" hidden="false" customHeight="false" outlineLevel="0" collapsed="false">
      <c r="D49" s="0" t="n">
        <v>1</v>
      </c>
      <c r="E49" s="0" t="n">
        <v>1.63</v>
      </c>
      <c r="F49" s="1" t="s">
        <v>18</v>
      </c>
      <c r="G49" s="2" t="s">
        <v>18</v>
      </c>
      <c r="H49" s="1" t="s">
        <v>18</v>
      </c>
      <c r="I49" s="2" t="s">
        <v>18</v>
      </c>
      <c r="J49" s="1" t="s">
        <v>18</v>
      </c>
      <c r="K49" s="1" t="s">
        <v>18</v>
      </c>
      <c r="L49" s="0" t="n">
        <v>3.75</v>
      </c>
      <c r="M49" s="2" t="n">
        <v>2.12</v>
      </c>
      <c r="N49" s="0" t="n">
        <v>10.08</v>
      </c>
      <c r="O49" s="2" t="n">
        <v>2.12</v>
      </c>
    </row>
    <row r="50" customFormat="false" ht="15" hidden="false" customHeight="false" outlineLevel="0" collapsed="false">
      <c r="A50" s="1" t="n">
        <v>7</v>
      </c>
      <c r="B50" s="2" t="s">
        <v>24</v>
      </c>
      <c r="C50" s="0" t="n">
        <v>94.8</v>
      </c>
      <c r="D50" s="0" t="n">
        <v>4</v>
      </c>
      <c r="E50" s="0" t="n">
        <v>1.56</v>
      </c>
      <c r="F50" s="0" t="n">
        <v>-8.62</v>
      </c>
      <c r="G50" s="2" t="n">
        <v>2.9</v>
      </c>
      <c r="H50" s="0" t="n">
        <v>-4.01</v>
      </c>
      <c r="I50" s="2" t="n">
        <v>2.62</v>
      </c>
      <c r="J50" s="1" t="s">
        <v>18</v>
      </c>
      <c r="K50" s="1" t="s">
        <v>18</v>
      </c>
      <c r="L50" s="1" t="s">
        <v>18</v>
      </c>
      <c r="M50" s="2" t="s">
        <v>18</v>
      </c>
      <c r="N50" s="1" t="s">
        <v>18</v>
      </c>
      <c r="O50" s="2" t="s">
        <v>18</v>
      </c>
      <c r="P50" s="0" t="n">
        <v>5.77</v>
      </c>
      <c r="Q50" s="0" t="n">
        <v>0</v>
      </c>
    </row>
    <row r="51" customFormat="false" ht="15" hidden="false" customHeight="false" outlineLevel="0" collapsed="false">
      <c r="D51" s="0" t="n">
        <v>3</v>
      </c>
      <c r="E51" s="0" t="n">
        <v>1.05</v>
      </c>
      <c r="F51" s="0" t="n">
        <v>-9.43</v>
      </c>
      <c r="G51" s="2" t="n">
        <v>2.56</v>
      </c>
      <c r="H51" s="0" t="n">
        <v>-3.75</v>
      </c>
      <c r="I51" s="2" t="n">
        <v>2.56</v>
      </c>
      <c r="J51" s="1" t="s">
        <v>18</v>
      </c>
      <c r="K51" s="1" t="s">
        <v>18</v>
      </c>
      <c r="L51" s="1" t="s">
        <v>18</v>
      </c>
      <c r="M51" s="2" t="s">
        <v>18</v>
      </c>
      <c r="N51" s="1" t="s">
        <v>18</v>
      </c>
      <c r="O51" s="2" t="s">
        <v>18</v>
      </c>
    </row>
    <row r="52" customFormat="false" ht="15" hidden="false" customHeight="false" outlineLevel="0" collapsed="false">
      <c r="D52" s="0" t="n">
        <v>2</v>
      </c>
      <c r="E52" s="0" t="n">
        <v>1.53</v>
      </c>
      <c r="F52" s="0" t="n">
        <v>-9.7</v>
      </c>
      <c r="G52" s="2" t="n">
        <v>2.38</v>
      </c>
      <c r="H52" s="0" t="n">
        <v>-3.75</v>
      </c>
      <c r="I52" s="2" t="n">
        <v>2.38</v>
      </c>
      <c r="J52" s="1" t="s">
        <v>18</v>
      </c>
      <c r="K52" s="1" t="s">
        <v>18</v>
      </c>
      <c r="L52" s="1" t="s">
        <v>18</v>
      </c>
      <c r="M52" s="2" t="s">
        <v>18</v>
      </c>
      <c r="N52" s="1" t="s">
        <v>18</v>
      </c>
      <c r="O52" s="2" t="s">
        <v>18</v>
      </c>
    </row>
    <row r="53" customFormat="false" ht="15" hidden="false" customHeight="false" outlineLevel="0" collapsed="false">
      <c r="D53" s="0" t="n">
        <v>1</v>
      </c>
      <c r="E53" s="0" t="n">
        <v>1.63</v>
      </c>
      <c r="F53" s="0" t="n">
        <v>-10.08</v>
      </c>
      <c r="G53" s="2" t="n">
        <v>2.13</v>
      </c>
      <c r="H53" s="0" t="n">
        <v>-3.75</v>
      </c>
      <c r="I53" s="2" t="n">
        <v>2.13</v>
      </c>
      <c r="J53" s="1" t="s">
        <v>18</v>
      </c>
      <c r="K53" s="1" t="s">
        <v>18</v>
      </c>
      <c r="L53" s="1" t="s">
        <v>18</v>
      </c>
      <c r="M53" s="2" t="s">
        <v>18</v>
      </c>
      <c r="N53" s="1" t="s">
        <v>18</v>
      </c>
      <c r="O53" s="2" t="s">
        <v>18</v>
      </c>
    </row>
    <row r="54" customFormat="false" ht="15" hidden="false" customHeight="false" outlineLevel="0" collapsed="false">
      <c r="A54" s="1" t="n">
        <v>7</v>
      </c>
      <c r="B54" s="2" t="s">
        <v>24</v>
      </c>
      <c r="C54" s="0" t="n">
        <v>94.8</v>
      </c>
      <c r="D54" s="0" t="n">
        <v>4</v>
      </c>
      <c r="E54" s="0" t="n">
        <v>1.56</v>
      </c>
      <c r="F54" s="1" t="s">
        <v>18</v>
      </c>
      <c r="G54" s="2" t="s">
        <v>18</v>
      </c>
      <c r="H54" s="1" t="s">
        <v>18</v>
      </c>
      <c r="I54" s="2" t="s">
        <v>18</v>
      </c>
      <c r="J54" s="1" t="s">
        <v>18</v>
      </c>
      <c r="K54" s="1" t="s">
        <v>18</v>
      </c>
      <c r="L54" s="0" t="n">
        <v>4.01</v>
      </c>
      <c r="M54" s="2" t="n">
        <v>2.81</v>
      </c>
      <c r="N54" s="0" t="n">
        <v>8.62</v>
      </c>
      <c r="O54" s="2" t="n">
        <v>2.8</v>
      </c>
      <c r="P54" s="0" t="n">
        <v>5.77</v>
      </c>
      <c r="Q54" s="0" t="n">
        <v>0</v>
      </c>
    </row>
    <row r="55" customFormat="false" ht="15" hidden="false" customHeight="false" outlineLevel="0" collapsed="false">
      <c r="D55" s="0" t="n">
        <v>3</v>
      </c>
      <c r="E55" s="0" t="n">
        <v>1.05</v>
      </c>
      <c r="F55" s="1" t="s">
        <v>18</v>
      </c>
      <c r="G55" s="2" t="s">
        <v>18</v>
      </c>
      <c r="H55" s="1" t="s">
        <v>18</v>
      </c>
      <c r="I55" s="2" t="s">
        <v>18</v>
      </c>
      <c r="J55" s="1" t="s">
        <v>18</v>
      </c>
      <c r="K55" s="1" t="s">
        <v>18</v>
      </c>
      <c r="L55" s="0" t="n">
        <v>3.75</v>
      </c>
      <c r="M55" s="2" t="n">
        <v>2.56</v>
      </c>
      <c r="N55" s="0" t="n">
        <v>9.43</v>
      </c>
      <c r="O55" s="2" t="n">
        <v>2.56</v>
      </c>
    </row>
    <row r="56" customFormat="false" ht="15" hidden="false" customHeight="false" outlineLevel="0" collapsed="false">
      <c r="D56" s="0" t="n">
        <v>2</v>
      </c>
      <c r="E56" s="0" t="n">
        <v>1.53</v>
      </c>
      <c r="F56" s="1" t="s">
        <v>18</v>
      </c>
      <c r="G56" s="2" t="s">
        <v>18</v>
      </c>
      <c r="H56" s="1" t="s">
        <v>18</v>
      </c>
      <c r="I56" s="2" t="s">
        <v>18</v>
      </c>
      <c r="J56" s="1" t="s">
        <v>18</v>
      </c>
      <c r="K56" s="1" t="s">
        <v>18</v>
      </c>
      <c r="L56" s="0" t="n">
        <v>3.75</v>
      </c>
      <c r="M56" s="2" t="n">
        <v>2.38</v>
      </c>
      <c r="N56" s="0" t="n">
        <v>9.7</v>
      </c>
      <c r="O56" s="2" t="n">
        <v>2.38</v>
      </c>
    </row>
    <row r="57" customFormat="false" ht="15" hidden="false" customHeight="false" outlineLevel="0" collapsed="false">
      <c r="D57" s="0" t="n">
        <v>1</v>
      </c>
      <c r="E57" s="0" t="n">
        <v>1.63</v>
      </c>
      <c r="F57" s="1" t="s">
        <v>18</v>
      </c>
      <c r="G57" s="2" t="s">
        <v>18</v>
      </c>
      <c r="H57" s="1" t="s">
        <v>18</v>
      </c>
      <c r="I57" s="2" t="s">
        <v>18</v>
      </c>
      <c r="J57" s="1" t="s">
        <v>18</v>
      </c>
      <c r="K57" s="1" t="s">
        <v>18</v>
      </c>
      <c r="L57" s="0" t="n">
        <v>3.75</v>
      </c>
      <c r="M57" s="2" t="n">
        <v>2.13</v>
      </c>
      <c r="N57" s="0" t="n">
        <v>10.08</v>
      </c>
      <c r="O57" s="2" t="n">
        <v>2.13</v>
      </c>
    </row>
    <row r="58" customFormat="false" ht="15" hidden="false" customHeight="false" outlineLevel="0" collapsed="false">
      <c r="A58" s="1" t="n">
        <v>8</v>
      </c>
      <c r="B58" s="2" t="s">
        <v>25</v>
      </c>
      <c r="C58" s="0" t="n">
        <v>111.97</v>
      </c>
      <c r="D58" s="0" t="n">
        <v>4</v>
      </c>
      <c r="E58" s="0" t="n">
        <v>1.56</v>
      </c>
      <c r="F58" s="0" t="n">
        <v>-8.62</v>
      </c>
      <c r="G58" s="2" t="n">
        <v>2.91</v>
      </c>
      <c r="H58" s="0" t="n">
        <v>-4.01</v>
      </c>
      <c r="I58" s="2" t="n">
        <v>2.62</v>
      </c>
      <c r="J58" s="1" t="s">
        <v>18</v>
      </c>
      <c r="K58" s="1" t="s">
        <v>18</v>
      </c>
      <c r="L58" s="1" t="s">
        <v>18</v>
      </c>
      <c r="M58" s="2" t="s">
        <v>18</v>
      </c>
      <c r="N58" s="1" t="s">
        <v>18</v>
      </c>
      <c r="O58" s="2" t="s">
        <v>18</v>
      </c>
      <c r="P58" s="0" t="n">
        <v>5.77</v>
      </c>
      <c r="Q58" s="0" t="n">
        <v>0</v>
      </c>
    </row>
    <row r="59" customFormat="false" ht="15" hidden="false" customHeight="false" outlineLevel="0" collapsed="false">
      <c r="D59" s="0" t="n">
        <v>3</v>
      </c>
      <c r="E59" s="0" t="n">
        <v>1.05</v>
      </c>
      <c r="F59" s="0" t="n">
        <v>-9.43</v>
      </c>
      <c r="G59" s="2" t="n">
        <v>2.57</v>
      </c>
      <c r="H59" s="0" t="n">
        <v>-3.75</v>
      </c>
      <c r="I59" s="2" t="n">
        <v>2.57</v>
      </c>
      <c r="J59" s="1" t="s">
        <v>18</v>
      </c>
      <c r="K59" s="1" t="s">
        <v>18</v>
      </c>
      <c r="L59" s="1" t="s">
        <v>18</v>
      </c>
      <c r="M59" s="2" t="s">
        <v>18</v>
      </c>
      <c r="N59" s="1" t="s">
        <v>18</v>
      </c>
      <c r="O59" s="2" t="s">
        <v>18</v>
      </c>
    </row>
    <row r="60" customFormat="false" ht="15" hidden="false" customHeight="false" outlineLevel="0" collapsed="false">
      <c r="D60" s="0" t="n">
        <v>2</v>
      </c>
      <c r="E60" s="0" t="n">
        <v>1.53</v>
      </c>
      <c r="F60" s="0" t="n">
        <v>-9.7</v>
      </c>
      <c r="G60" s="2" t="n">
        <v>2.39</v>
      </c>
      <c r="H60" s="0" t="n">
        <v>-3.75</v>
      </c>
      <c r="I60" s="2" t="n">
        <v>2.39</v>
      </c>
      <c r="J60" s="1" t="s">
        <v>18</v>
      </c>
      <c r="K60" s="1" t="s">
        <v>18</v>
      </c>
      <c r="L60" s="1" t="s">
        <v>18</v>
      </c>
      <c r="M60" s="2" t="s">
        <v>18</v>
      </c>
      <c r="N60" s="1" t="s">
        <v>18</v>
      </c>
      <c r="O60" s="2" t="s">
        <v>18</v>
      </c>
    </row>
    <row r="61" customFormat="false" ht="15" hidden="false" customHeight="false" outlineLevel="0" collapsed="false">
      <c r="D61" s="0" t="n">
        <v>1</v>
      </c>
      <c r="E61" s="0" t="n">
        <v>1.63</v>
      </c>
      <c r="F61" s="0" t="n">
        <v>-10.08</v>
      </c>
      <c r="G61" s="2" t="n">
        <v>2.14</v>
      </c>
      <c r="H61" s="0" t="n">
        <v>-3.75</v>
      </c>
      <c r="I61" s="2" t="n">
        <v>2.14</v>
      </c>
      <c r="J61" s="1" t="s">
        <v>18</v>
      </c>
      <c r="K61" s="1" t="s">
        <v>18</v>
      </c>
      <c r="L61" s="1" t="s">
        <v>18</v>
      </c>
      <c r="M61" s="2" t="s">
        <v>18</v>
      </c>
      <c r="N61" s="1" t="s">
        <v>18</v>
      </c>
      <c r="O61" s="2" t="s">
        <v>18</v>
      </c>
    </row>
    <row r="62" customFormat="false" ht="15" hidden="false" customHeight="false" outlineLevel="0" collapsed="false">
      <c r="A62" s="1" t="n">
        <v>8</v>
      </c>
      <c r="B62" s="2" t="s">
        <v>25</v>
      </c>
      <c r="C62" s="0" t="n">
        <v>111.97</v>
      </c>
      <c r="D62" s="0" t="n">
        <v>4</v>
      </c>
      <c r="E62" s="0" t="n">
        <v>1.56</v>
      </c>
      <c r="F62" s="1" t="s">
        <v>18</v>
      </c>
      <c r="G62" s="2" t="s">
        <v>18</v>
      </c>
      <c r="H62" s="1" t="s">
        <v>18</v>
      </c>
      <c r="I62" s="2" t="s">
        <v>18</v>
      </c>
      <c r="J62" s="1" t="s">
        <v>18</v>
      </c>
      <c r="K62" s="1" t="s">
        <v>18</v>
      </c>
      <c r="L62" s="0" t="n">
        <v>4.01</v>
      </c>
      <c r="M62" s="2" t="n">
        <v>2.81</v>
      </c>
      <c r="N62" s="0" t="n">
        <v>8.62</v>
      </c>
      <c r="O62" s="2" t="n">
        <v>2.81</v>
      </c>
      <c r="P62" s="0" t="n">
        <v>5.77</v>
      </c>
      <c r="Q62" s="0" t="n">
        <v>0</v>
      </c>
    </row>
    <row r="63" customFormat="false" ht="15" hidden="false" customHeight="false" outlineLevel="0" collapsed="false">
      <c r="D63" s="0" t="n">
        <v>3</v>
      </c>
      <c r="E63" s="0" t="n">
        <v>1.05</v>
      </c>
      <c r="F63" s="1" t="s">
        <v>18</v>
      </c>
      <c r="G63" s="2" t="s">
        <v>18</v>
      </c>
      <c r="H63" s="1" t="s">
        <v>18</v>
      </c>
      <c r="I63" s="2" t="s">
        <v>18</v>
      </c>
      <c r="J63" s="1" t="s">
        <v>18</v>
      </c>
      <c r="K63" s="1" t="s">
        <v>18</v>
      </c>
      <c r="L63" s="0" t="n">
        <v>3.75</v>
      </c>
      <c r="M63" s="2" t="n">
        <v>2.57</v>
      </c>
      <c r="N63" s="0" t="n">
        <v>9.43</v>
      </c>
      <c r="O63" s="2" t="n">
        <v>2.57</v>
      </c>
    </row>
    <row r="64" customFormat="false" ht="15" hidden="false" customHeight="false" outlineLevel="0" collapsed="false">
      <c r="D64" s="0" t="n">
        <v>2</v>
      </c>
      <c r="E64" s="0" t="n">
        <v>1.53</v>
      </c>
      <c r="F64" s="1" t="s">
        <v>18</v>
      </c>
      <c r="G64" s="2" t="s">
        <v>18</v>
      </c>
      <c r="H64" s="1" t="s">
        <v>18</v>
      </c>
      <c r="I64" s="2" t="s">
        <v>18</v>
      </c>
      <c r="J64" s="1" t="s">
        <v>18</v>
      </c>
      <c r="K64" s="1" t="s">
        <v>18</v>
      </c>
      <c r="L64" s="0" t="n">
        <v>3.75</v>
      </c>
      <c r="M64" s="2" t="n">
        <v>2.39</v>
      </c>
      <c r="N64" s="0" t="n">
        <v>9.7</v>
      </c>
      <c r="O64" s="2" t="n">
        <v>2.39</v>
      </c>
    </row>
    <row r="65" customFormat="false" ht="15" hidden="false" customHeight="false" outlineLevel="0" collapsed="false">
      <c r="D65" s="0" t="n">
        <v>1</v>
      </c>
      <c r="E65" s="0" t="n">
        <v>1.63</v>
      </c>
      <c r="F65" s="1" t="s">
        <v>18</v>
      </c>
      <c r="G65" s="2" t="s">
        <v>18</v>
      </c>
      <c r="H65" s="1" t="s">
        <v>18</v>
      </c>
      <c r="I65" s="2" t="s">
        <v>18</v>
      </c>
      <c r="J65" s="1" t="s">
        <v>18</v>
      </c>
      <c r="K65" s="1" t="s">
        <v>18</v>
      </c>
      <c r="L65" s="0" t="n">
        <v>3.75</v>
      </c>
      <c r="M65" s="2" t="n">
        <v>2.14</v>
      </c>
      <c r="N65" s="0" t="n">
        <v>10.08</v>
      </c>
      <c r="O65" s="2" t="n">
        <v>2.14</v>
      </c>
    </row>
    <row r="66" customFormat="false" ht="15" hidden="false" customHeight="false" outlineLevel="0" collapsed="false">
      <c r="A66" s="1" t="n">
        <v>9</v>
      </c>
      <c r="B66" s="2" t="s">
        <v>26</v>
      </c>
      <c r="C66" s="0" t="n">
        <v>126.46</v>
      </c>
      <c r="D66" s="0" t="n">
        <v>4</v>
      </c>
      <c r="E66" s="0" t="n">
        <v>1.56</v>
      </c>
      <c r="F66" s="0" t="n">
        <v>-8.62</v>
      </c>
      <c r="G66" s="2" t="n">
        <v>2.91</v>
      </c>
      <c r="H66" s="0" t="n">
        <v>-4.01</v>
      </c>
      <c r="I66" s="2" t="n">
        <v>2.62</v>
      </c>
      <c r="J66" s="1" t="s">
        <v>18</v>
      </c>
      <c r="K66" s="1" t="s">
        <v>18</v>
      </c>
      <c r="L66" s="1" t="s">
        <v>18</v>
      </c>
      <c r="M66" s="2" t="s">
        <v>18</v>
      </c>
      <c r="N66" s="1" t="s">
        <v>18</v>
      </c>
      <c r="O66" s="2" t="s">
        <v>18</v>
      </c>
      <c r="P66" s="0" t="n">
        <v>5.77</v>
      </c>
      <c r="Q66" s="0" t="n">
        <v>0</v>
      </c>
    </row>
    <row r="67" customFormat="false" ht="15" hidden="false" customHeight="false" outlineLevel="0" collapsed="false">
      <c r="D67" s="0" t="n">
        <v>3</v>
      </c>
      <c r="E67" s="0" t="n">
        <v>1.05</v>
      </c>
      <c r="F67" s="0" t="n">
        <v>-9.43</v>
      </c>
      <c r="G67" s="2" t="n">
        <v>2.57</v>
      </c>
      <c r="H67" s="0" t="n">
        <v>-3.75</v>
      </c>
      <c r="I67" s="2" t="n">
        <v>2.57</v>
      </c>
      <c r="J67" s="1" t="s">
        <v>18</v>
      </c>
      <c r="K67" s="1" t="s">
        <v>18</v>
      </c>
      <c r="L67" s="1" t="s">
        <v>18</v>
      </c>
      <c r="M67" s="2" t="s">
        <v>18</v>
      </c>
      <c r="N67" s="1" t="s">
        <v>18</v>
      </c>
      <c r="O67" s="2" t="s">
        <v>18</v>
      </c>
    </row>
    <row r="68" customFormat="false" ht="15" hidden="false" customHeight="false" outlineLevel="0" collapsed="false">
      <c r="D68" s="0" t="n">
        <v>2</v>
      </c>
      <c r="E68" s="0" t="n">
        <v>1.53</v>
      </c>
      <c r="F68" s="0" t="n">
        <v>-9.7</v>
      </c>
      <c r="G68" s="2" t="n">
        <v>2.39</v>
      </c>
      <c r="H68" s="0" t="n">
        <v>-3.75</v>
      </c>
      <c r="I68" s="2" t="n">
        <v>2.39</v>
      </c>
      <c r="J68" s="1" t="s">
        <v>18</v>
      </c>
      <c r="K68" s="1" t="s">
        <v>18</v>
      </c>
      <c r="L68" s="1" t="s">
        <v>18</v>
      </c>
      <c r="M68" s="2" t="s">
        <v>18</v>
      </c>
      <c r="N68" s="1" t="s">
        <v>18</v>
      </c>
      <c r="O68" s="2" t="s">
        <v>18</v>
      </c>
    </row>
    <row r="69" customFormat="false" ht="15" hidden="false" customHeight="false" outlineLevel="0" collapsed="false">
      <c r="D69" s="0" t="n">
        <v>1</v>
      </c>
      <c r="E69" s="0" t="n">
        <v>1.63</v>
      </c>
      <c r="F69" s="0" t="n">
        <v>-10.08</v>
      </c>
      <c r="G69" s="2" t="n">
        <v>2.14</v>
      </c>
      <c r="H69" s="0" t="n">
        <v>-3.75</v>
      </c>
      <c r="I69" s="2" t="n">
        <v>2.14</v>
      </c>
      <c r="J69" s="1" t="s">
        <v>18</v>
      </c>
      <c r="K69" s="1" t="s">
        <v>18</v>
      </c>
      <c r="L69" s="1" t="s">
        <v>18</v>
      </c>
      <c r="M69" s="2" t="s">
        <v>18</v>
      </c>
      <c r="N69" s="1" t="s">
        <v>18</v>
      </c>
      <c r="O69" s="2" t="s">
        <v>18</v>
      </c>
    </row>
    <row r="70" customFormat="false" ht="15" hidden="false" customHeight="false" outlineLevel="0" collapsed="false">
      <c r="A70" s="1" t="n">
        <v>9</v>
      </c>
      <c r="B70" s="2" t="s">
        <v>26</v>
      </c>
      <c r="C70" s="0" t="n">
        <v>126.46</v>
      </c>
      <c r="D70" s="0" t="n">
        <v>4</v>
      </c>
      <c r="E70" s="0" t="n">
        <v>1.56</v>
      </c>
      <c r="F70" s="1" t="s">
        <v>18</v>
      </c>
      <c r="G70" s="2" t="s">
        <v>18</v>
      </c>
      <c r="H70" s="1" t="s">
        <v>18</v>
      </c>
      <c r="I70" s="2" t="s">
        <v>18</v>
      </c>
      <c r="J70" s="1" t="s">
        <v>18</v>
      </c>
      <c r="K70" s="1" t="s">
        <v>18</v>
      </c>
      <c r="L70" s="0" t="n">
        <v>4.01</v>
      </c>
      <c r="M70" s="2" t="n">
        <v>2.81</v>
      </c>
      <c r="N70" s="0" t="n">
        <v>8.62</v>
      </c>
      <c r="O70" s="2" t="n">
        <v>2.81</v>
      </c>
      <c r="P70" s="0" t="n">
        <v>5.77</v>
      </c>
      <c r="Q70" s="0" t="n">
        <v>0</v>
      </c>
    </row>
    <row r="71" customFormat="false" ht="15" hidden="false" customHeight="false" outlineLevel="0" collapsed="false">
      <c r="D71" s="0" t="n">
        <v>3</v>
      </c>
      <c r="E71" s="0" t="n">
        <v>1.05</v>
      </c>
      <c r="F71" s="1" t="s">
        <v>18</v>
      </c>
      <c r="G71" s="2" t="s">
        <v>18</v>
      </c>
      <c r="H71" s="1" t="s">
        <v>18</v>
      </c>
      <c r="I71" s="2" t="s">
        <v>18</v>
      </c>
      <c r="J71" s="1" t="s">
        <v>18</v>
      </c>
      <c r="K71" s="1" t="s">
        <v>18</v>
      </c>
      <c r="L71" s="0" t="n">
        <v>3.75</v>
      </c>
      <c r="M71" s="2" t="n">
        <v>2.57</v>
      </c>
      <c r="N71" s="0" t="n">
        <v>9.43</v>
      </c>
      <c r="O71" s="2" t="n">
        <v>2.57</v>
      </c>
    </row>
    <row r="72" customFormat="false" ht="15" hidden="false" customHeight="false" outlineLevel="0" collapsed="false">
      <c r="D72" s="0" t="n">
        <v>2</v>
      </c>
      <c r="E72" s="0" t="n">
        <v>1.53</v>
      </c>
      <c r="F72" s="1" t="s">
        <v>18</v>
      </c>
      <c r="G72" s="2" t="s">
        <v>18</v>
      </c>
      <c r="H72" s="1" t="s">
        <v>18</v>
      </c>
      <c r="I72" s="2" t="s">
        <v>18</v>
      </c>
      <c r="J72" s="1" t="s">
        <v>18</v>
      </c>
      <c r="K72" s="1" t="s">
        <v>18</v>
      </c>
      <c r="L72" s="0" t="n">
        <v>3.75</v>
      </c>
      <c r="M72" s="2" t="n">
        <v>2.39</v>
      </c>
      <c r="N72" s="0" t="n">
        <v>9.7</v>
      </c>
      <c r="O72" s="2" t="n">
        <v>2.39</v>
      </c>
    </row>
    <row r="73" customFormat="false" ht="15" hidden="false" customHeight="false" outlineLevel="0" collapsed="false">
      <c r="D73" s="0" t="n">
        <v>1</v>
      </c>
      <c r="E73" s="0" t="n">
        <v>1.63</v>
      </c>
      <c r="F73" s="1" t="s">
        <v>18</v>
      </c>
      <c r="G73" s="2" t="s">
        <v>18</v>
      </c>
      <c r="H73" s="1" t="s">
        <v>18</v>
      </c>
      <c r="I73" s="2" t="s">
        <v>18</v>
      </c>
      <c r="J73" s="1" t="s">
        <v>18</v>
      </c>
      <c r="K73" s="1" t="s">
        <v>18</v>
      </c>
      <c r="L73" s="0" t="n">
        <v>3.75</v>
      </c>
      <c r="M73" s="2" t="n">
        <v>2.14</v>
      </c>
      <c r="N73" s="0" t="n">
        <v>10.08</v>
      </c>
      <c r="O73" s="2" t="n">
        <v>2.14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36"/>
  <sheetViews>
    <sheetView showFormulas="false" showGridLines="tru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G33" activeCellId="0" sqref="G3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8"/>
    <col collapsed="false" customWidth="true" hidden="false" outlineLevel="0" max="3" min="3" style="1" width="14.86"/>
    <col collapsed="false" customWidth="true" hidden="false" outlineLevel="0" max="4" min="4" style="1" width="11.71"/>
    <col collapsed="false" customWidth="true" hidden="false" outlineLevel="0" max="7" min="7" style="1" width="11.71"/>
    <col collapsed="false" customWidth="true" hidden="false" outlineLevel="0" max="10" min="10" style="1" width="11.85"/>
    <col collapsed="false" customWidth="true" hidden="false" outlineLevel="0" max="13" min="13" style="1" width="11.85"/>
  </cols>
  <sheetData>
    <row r="1" customFormat="false" ht="20.25" hidden="false" customHeight="true" outlineLevel="0" collapsed="false">
      <c r="A1" s="3" t="s">
        <v>27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customFormat="false" ht="15.75" hidden="false" customHeight="true" outlineLevel="0" collapsed="false">
      <c r="A2" s="5" t="str">
        <f>"Kèm theo BBNT số: "&amp;VLOOKUP(AZ2,'[1]Tuyến XB6A'!$A$2:$G$60,7,0)&amp;VLOOKUP(AZ2,'[1]Tuyến XB6A'!$A$2:$G$60,4,0)</f>
        <v xml:space="preserve">Kèm theo BBNT số: 18.NĐXB6A/CVXD ngày 03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AZ2">
        <v>18</v>
      </c>
    </row>
    <row r="3" customFormat="false" ht="18.75" hidden="false" customHeight="true" outlineLevel="0" collapsed="false">
      <c r="A3" s="6" t="s">
        <v>29</v>
      </c>
      <c r="B3" s="7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8"/>
    </row>
    <row r="4" customFormat="false" ht="18.75" hidden="false" customHeight="true" outlineLevel="0" collapsed="false">
      <c r="A4" s="6" t="s">
        <v>30</v>
      </c>
      <c r="B4" s="7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8"/>
    </row>
    <row r="5" customFormat="false" ht="18.75" hidden="false" customHeight="true" outlineLevel="0" collapsed="false">
      <c r="A5" s="6" t="s">
        <v>31</v>
      </c>
      <c r="B5" s="7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8"/>
    </row>
    <row r="6" customFormat="false" ht="18.75" hidden="false" customHeight="true" outlineLevel="0" collapsed="false">
      <c r="A6" s="6" t="s">
        <v>32</v>
      </c>
      <c r="B6" s="7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8"/>
    </row>
    <row r="7" customFormat="false" ht="18.75" hidden="false" customHeight="true" outlineLevel="0" collapsed="false">
      <c r="A7" s="9" t="s">
        <v>33</v>
      </c>
      <c r="B7" s="7"/>
      <c r="C7" s="6"/>
      <c r="D7" s="6" t="str">
        <f>VLOOKUP(AZ2,'[1]Tuyến XB6A'!$A$2:$B$60,2,0)</f>
        <v xml:space="preserve">Đắp đất lề đường lớp 1, độ chặt K&gt;=0,95 đoạn từ Km0+000,00 - Km0+126,46</v>
      </c>
      <c r="E7" s="7"/>
      <c r="F7" s="6"/>
      <c r="G7" s="6"/>
      <c r="H7" s="7"/>
      <c r="I7" s="6"/>
      <c r="J7" s="6"/>
      <c r="K7" s="6"/>
      <c r="L7" s="6"/>
      <c r="M7" s="6"/>
      <c r="N7" s="6"/>
      <c r="O7" s="6"/>
      <c r="P7" s="6"/>
      <c r="Q7" s="8"/>
    </row>
    <row r="8" customFormat="false" ht="18.75" hidden="false" customHeight="true" outlineLevel="0" collapsed="false">
      <c r="A8" s="9" t="s">
        <v>35</v>
      </c>
      <c r="B8" s="7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8"/>
    </row>
    <row r="18" customFormat="false" ht="3" hidden="false" customHeight="true" outlineLevel="0" collapsed="false"/>
    <row r="19" customFormat="false" ht="15.75" hidden="false" customHeight="true" outlineLevel="0" collapsed="false">
      <c r="A19" s="10" t="s">
        <v>36</v>
      </c>
      <c r="B19" s="10" t="s">
        <v>37</v>
      </c>
      <c r="C19" s="10" t="s">
        <v>38</v>
      </c>
      <c r="D19" s="11" t="s">
        <v>39</v>
      </c>
      <c r="E19" s="11"/>
      <c r="F19" s="11"/>
      <c r="G19" s="11" t="s">
        <v>40</v>
      </c>
      <c r="H19" s="11"/>
      <c r="I19" s="11"/>
      <c r="J19" s="11" t="s">
        <v>41</v>
      </c>
      <c r="K19" s="11"/>
      <c r="L19" s="11"/>
      <c r="M19" s="11" t="s">
        <v>42</v>
      </c>
      <c r="N19" s="11"/>
      <c r="O19" s="11"/>
      <c r="P19" s="10" t="s">
        <v>43</v>
      </c>
    </row>
    <row r="20" customFormat="false" ht="30" hidden="false" customHeight="true" outlineLevel="0" collapsed="false">
      <c r="A20" s="10"/>
      <c r="B20" s="10"/>
      <c r="C20" s="10"/>
      <c r="D20" s="11" t="s">
        <v>44</v>
      </c>
      <c r="E20" s="11" t="s">
        <v>45</v>
      </c>
      <c r="F20" s="11" t="s">
        <v>46</v>
      </c>
      <c r="G20" s="11" t="s">
        <v>44</v>
      </c>
      <c r="H20" s="11" t="s">
        <v>45</v>
      </c>
      <c r="I20" s="11" t="s">
        <v>46</v>
      </c>
      <c r="J20" s="11" t="s">
        <v>44</v>
      </c>
      <c r="K20" s="11" t="s">
        <v>45</v>
      </c>
      <c r="L20" s="11" t="s">
        <v>46</v>
      </c>
      <c r="M20" s="11" t="s">
        <v>44</v>
      </c>
      <c r="N20" s="11" t="s">
        <v>45</v>
      </c>
      <c r="O20" s="11" t="s">
        <v>46</v>
      </c>
      <c r="P20" s="10"/>
      <c r="S20" s="12"/>
    </row>
    <row r="21" customFormat="false" ht="15" hidden="false" customHeight="false" outlineLevel="0" collapsed="false">
      <c r="A21" s="13" t="n">
        <v>1</v>
      </c>
      <c r="B21" s="14" t="s">
        <v>17</v>
      </c>
      <c r="C21" s="15" t="n">
        <v>0</v>
      </c>
      <c r="D21" s="16" t="n">
        <f aca="false">Chạy!G5</f>
        <v>2.09</v>
      </c>
      <c r="E21" s="16" t="n">
        <f aca="false">D21+F21</f>
        <v>2.157</v>
      </c>
      <c r="F21" s="16" t="n">
        <f aca="false">RANDBETWEEN(-30,100)/1000</f>
        <v>0.067</v>
      </c>
      <c r="G21" s="16" t="n">
        <f aca="false">Chạy!I5</f>
        <v>2.09</v>
      </c>
      <c r="H21" s="16" t="n">
        <f aca="false">G21+I21</f>
        <v>2.105</v>
      </c>
      <c r="I21" s="16" t="n">
        <f aca="false">RANDBETWEEN(-30,100)/1000</f>
        <v>0.015</v>
      </c>
      <c r="J21" s="16" t="n">
        <f aca="false">Chạy!M9</f>
        <v>2.09</v>
      </c>
      <c r="K21" s="16" t="n">
        <f aca="false">J21+L21</f>
        <v>2.138</v>
      </c>
      <c r="L21" s="16" t="n">
        <f aca="false">RANDBETWEEN(-30,100)/1000</f>
        <v>0.048</v>
      </c>
      <c r="M21" s="16" t="n">
        <f aca="false">Chạy!O9</f>
        <v>2.09</v>
      </c>
      <c r="N21" s="16" t="n">
        <f aca="false">M21+O21</f>
        <v>2.153</v>
      </c>
      <c r="O21" s="16" t="n">
        <f aca="false">RANDBETWEEN(-30,100)/1000</f>
        <v>0.063</v>
      </c>
      <c r="P21" s="17"/>
      <c r="Q21" s="18" t="n">
        <v>19.63</v>
      </c>
    </row>
    <row r="22" customFormat="false" ht="15" hidden="false" customHeight="false" outlineLevel="0" collapsed="false">
      <c r="A22" s="13" t="n">
        <v>2</v>
      </c>
      <c r="B22" s="14" t="s">
        <v>19</v>
      </c>
      <c r="C22" s="15" t="n">
        <f aca="false">C21+Q21</f>
        <v>19.63</v>
      </c>
      <c r="D22" s="16" t="n">
        <f aca="false">Chạy!G13</f>
        <v>2.09</v>
      </c>
      <c r="E22" s="16" t="n">
        <f aca="false">D22+F22</f>
        <v>2.098</v>
      </c>
      <c r="F22" s="16" t="n">
        <f aca="false">RANDBETWEEN(-30,100)/1000</f>
        <v>0.008</v>
      </c>
      <c r="G22" s="16" t="n">
        <f aca="false">Chạy!I13</f>
        <v>2.09</v>
      </c>
      <c r="H22" s="16" t="n">
        <f aca="false">G22+I22</f>
        <v>2.169</v>
      </c>
      <c r="I22" s="16" t="n">
        <f aca="false">RANDBETWEEN(-30,100)/1000</f>
        <v>0.079</v>
      </c>
      <c r="J22" s="16" t="n">
        <f aca="false">Chạy!M17</f>
        <v>2.09</v>
      </c>
      <c r="K22" s="16" t="n">
        <f aca="false">J22+L22</f>
        <v>2.17</v>
      </c>
      <c r="L22" s="16" t="n">
        <f aca="false">RANDBETWEEN(-30,100)/1000</f>
        <v>0.08</v>
      </c>
      <c r="M22" s="16" t="n">
        <f aca="false">Chạy!O17</f>
        <v>2.09</v>
      </c>
      <c r="N22" s="16" t="n">
        <f aca="false">M22+O22</f>
        <v>2.1</v>
      </c>
      <c r="O22" s="16" t="n">
        <f aca="false">RANDBETWEEN(-30,100)/1000</f>
        <v>0.01</v>
      </c>
      <c r="P22" s="17"/>
      <c r="Q22" s="18" t="n">
        <v>17.17</v>
      </c>
    </row>
    <row r="23" customFormat="false" ht="15" hidden="false" customHeight="false" outlineLevel="0" collapsed="false">
      <c r="A23" s="13" t="n">
        <v>3</v>
      </c>
      <c r="B23" s="14" t="s">
        <v>20</v>
      </c>
      <c r="C23" s="15" t="n">
        <f aca="false">C22+Q22</f>
        <v>36.8</v>
      </c>
      <c r="D23" s="16" t="n">
        <f aca="false">Chạy!G21</f>
        <v>2.1</v>
      </c>
      <c r="E23" s="16" t="n">
        <f aca="false">D23+F23</f>
        <v>2.102</v>
      </c>
      <c r="F23" s="16" t="n">
        <f aca="false">RANDBETWEEN(-30,100)/1000</f>
        <v>0.002</v>
      </c>
      <c r="G23" s="16" t="n">
        <f aca="false">Chạy!I21</f>
        <v>2.1</v>
      </c>
      <c r="H23" s="16" t="n">
        <f aca="false">G23+I23</f>
        <v>2.077</v>
      </c>
      <c r="I23" s="16" t="n">
        <f aca="false">RANDBETWEEN(-30,100)/1000</f>
        <v>-0.023</v>
      </c>
      <c r="J23" s="16" t="n">
        <f aca="false">Chạy!M25</f>
        <v>2.1</v>
      </c>
      <c r="K23" s="16" t="n">
        <f aca="false">J23+L23</f>
        <v>2.13</v>
      </c>
      <c r="L23" s="16" t="n">
        <f aca="false">RANDBETWEEN(-30,100)/1000</f>
        <v>0.03</v>
      </c>
      <c r="M23" s="16" t="n">
        <f aca="false">Chạy!O25</f>
        <v>2.1</v>
      </c>
      <c r="N23" s="16" t="n">
        <f aca="false">M23+O23</f>
        <v>2.151</v>
      </c>
      <c r="O23" s="16" t="n">
        <f aca="false">RANDBETWEEN(-30,100)/1000</f>
        <v>0.051</v>
      </c>
      <c r="P23" s="17"/>
      <c r="Q23" s="18" t="n">
        <v>17.18</v>
      </c>
    </row>
    <row r="24" customFormat="false" ht="15" hidden="false" customHeight="false" outlineLevel="0" collapsed="false">
      <c r="A24" s="13" t="n">
        <v>4</v>
      </c>
      <c r="B24" s="14" t="s">
        <v>21</v>
      </c>
      <c r="C24" s="15" t="n">
        <f aca="false">C23+Q23</f>
        <v>53.98</v>
      </c>
      <c r="D24" s="16" t="n">
        <f aca="false">Chạy!G29</f>
        <v>2.11</v>
      </c>
      <c r="E24" s="16" t="n">
        <f aca="false">D24+F24</f>
        <v>2.129</v>
      </c>
      <c r="F24" s="16" t="n">
        <f aca="false">RANDBETWEEN(-30,100)/1000</f>
        <v>0.019</v>
      </c>
      <c r="G24" s="16" t="n">
        <f aca="false">Chạy!I29</f>
        <v>2.11</v>
      </c>
      <c r="H24" s="16" t="n">
        <f aca="false">G24+I24</f>
        <v>2.163</v>
      </c>
      <c r="I24" s="16" t="n">
        <f aca="false">RANDBETWEEN(-30,100)/1000</f>
        <v>0.053</v>
      </c>
      <c r="J24" s="16" t="n">
        <f aca="false">Chạy!M33</f>
        <v>2.11</v>
      </c>
      <c r="K24" s="16" t="n">
        <f aca="false">J24+L24</f>
        <v>2.206</v>
      </c>
      <c r="L24" s="16" t="n">
        <f aca="false">RANDBETWEEN(-30,100)/1000</f>
        <v>0.096</v>
      </c>
      <c r="M24" s="16" t="n">
        <f aca="false">Chạy!O33</f>
        <v>2.11</v>
      </c>
      <c r="N24" s="16" t="n">
        <f aca="false">M24+O24</f>
        <v>2.153</v>
      </c>
      <c r="O24" s="16" t="n">
        <f aca="false">RANDBETWEEN(-30,100)/1000</f>
        <v>0.043</v>
      </c>
      <c r="P24" s="17"/>
      <c r="Q24" s="18" t="n">
        <v>12.97</v>
      </c>
    </row>
    <row r="25" customFormat="false" ht="15" hidden="false" customHeight="false" outlineLevel="0" collapsed="false">
      <c r="A25" s="13" t="n">
        <v>5</v>
      </c>
      <c r="B25" s="14" t="s">
        <v>22</v>
      </c>
      <c r="C25" s="15" t="n">
        <f aca="false">C24+Q24</f>
        <v>66.95</v>
      </c>
      <c r="D25" s="16" t="n">
        <f aca="false">Chạy!G37</f>
        <v>2.11</v>
      </c>
      <c r="E25" s="16" t="n">
        <f aca="false">D25+F25</f>
        <v>2.187</v>
      </c>
      <c r="F25" s="16" t="n">
        <f aca="false">RANDBETWEEN(-30,100)/1000</f>
        <v>0.077</v>
      </c>
      <c r="G25" s="16" t="n">
        <f aca="false">Chạy!I37</f>
        <v>2.11</v>
      </c>
      <c r="H25" s="16" t="n">
        <f aca="false">G25+I25</f>
        <v>2.164</v>
      </c>
      <c r="I25" s="16" t="n">
        <f aca="false">RANDBETWEEN(-30,100)/1000</f>
        <v>0.054</v>
      </c>
      <c r="J25" s="16" t="n">
        <f aca="false">Chạy!M41</f>
        <v>2.11</v>
      </c>
      <c r="K25" s="16" t="n">
        <f aca="false">J25+L25</f>
        <v>2.162</v>
      </c>
      <c r="L25" s="16" t="n">
        <f aca="false">RANDBETWEEN(-30,100)/1000</f>
        <v>0.052</v>
      </c>
      <c r="M25" s="16" t="n">
        <f aca="false">Chạy!O41</f>
        <v>2.11</v>
      </c>
      <c r="N25" s="16" t="n">
        <f aca="false">M25+O25</f>
        <v>2.199</v>
      </c>
      <c r="O25" s="16" t="n">
        <f aca="false">RANDBETWEEN(-30,100)/1000</f>
        <v>0.089</v>
      </c>
      <c r="P25" s="17"/>
      <c r="Q25" s="18" t="n">
        <v>10.68</v>
      </c>
    </row>
    <row r="26" customFormat="false" ht="15" hidden="false" customHeight="false" outlineLevel="0" collapsed="false">
      <c r="A26" s="13" t="n">
        <v>6</v>
      </c>
      <c r="B26" s="14" t="s">
        <v>23</v>
      </c>
      <c r="C26" s="15" t="n">
        <f aca="false">C25+Q25</f>
        <v>77.63</v>
      </c>
      <c r="D26" s="16" t="n">
        <f aca="false">Chạy!G45</f>
        <v>2.12</v>
      </c>
      <c r="E26" s="16" t="n">
        <f aca="false">D26+F26</f>
        <v>2.135</v>
      </c>
      <c r="F26" s="16" t="n">
        <f aca="false">RANDBETWEEN(-30,100)/1000</f>
        <v>0.015</v>
      </c>
      <c r="G26" s="16" t="n">
        <f aca="false">Chạy!I45</f>
        <v>2.12</v>
      </c>
      <c r="H26" s="16" t="n">
        <f aca="false">G26+I26</f>
        <v>2.166</v>
      </c>
      <c r="I26" s="16" t="n">
        <f aca="false">RANDBETWEEN(-30,100)/1000</f>
        <v>0.046</v>
      </c>
      <c r="J26" s="16" t="n">
        <f aca="false">Chạy!M49</f>
        <v>2.12</v>
      </c>
      <c r="K26" s="16" t="n">
        <f aca="false">J26+L26</f>
        <v>2.171</v>
      </c>
      <c r="L26" s="16" t="n">
        <f aca="false">RANDBETWEEN(-30,100)/1000</f>
        <v>0.051</v>
      </c>
      <c r="M26" s="16" t="n">
        <f aca="false">Chạy!O49</f>
        <v>2.12</v>
      </c>
      <c r="N26" s="16" t="n">
        <f aca="false">M26+O26</f>
        <v>2.179</v>
      </c>
      <c r="O26" s="16" t="n">
        <f aca="false">RANDBETWEEN(-30,100)/1000</f>
        <v>0.059</v>
      </c>
      <c r="P26" s="17"/>
      <c r="Q26" s="18" t="n">
        <v>17.17</v>
      </c>
    </row>
    <row r="27" customFormat="false" ht="15" hidden="false" customHeight="false" outlineLevel="0" collapsed="false">
      <c r="A27" s="13" t="n">
        <v>7</v>
      </c>
      <c r="B27" s="14" t="s">
        <v>24</v>
      </c>
      <c r="C27" s="15" t="n">
        <f aca="false">C26+Q26</f>
        <v>94.8</v>
      </c>
      <c r="D27" s="16" t="n">
        <f aca="false">Chạy!G53</f>
        <v>2.13</v>
      </c>
      <c r="E27" s="16" t="n">
        <f aca="false">D27+F27</f>
        <v>2.126</v>
      </c>
      <c r="F27" s="16" t="n">
        <f aca="false">RANDBETWEEN(-30,100)/1000</f>
        <v>-0.004</v>
      </c>
      <c r="G27" s="16" t="n">
        <f aca="false">Chạy!I53</f>
        <v>2.13</v>
      </c>
      <c r="H27" s="16" t="n">
        <f aca="false">G27+I27</f>
        <v>2.114</v>
      </c>
      <c r="I27" s="16" t="n">
        <f aca="false">RANDBETWEEN(-30,100)/1000</f>
        <v>-0.016</v>
      </c>
      <c r="J27" s="16" t="n">
        <f aca="false">Chạy!M57</f>
        <v>2.13</v>
      </c>
      <c r="K27" s="16" t="n">
        <f aca="false">J27+L27</f>
        <v>2.179</v>
      </c>
      <c r="L27" s="16" t="n">
        <f aca="false">RANDBETWEEN(-30,100)/1000</f>
        <v>0.049</v>
      </c>
      <c r="M27" s="16" t="n">
        <f aca="false">Chạy!O57</f>
        <v>2.13</v>
      </c>
      <c r="N27" s="16" t="n">
        <f aca="false">M27+O27</f>
        <v>2.179</v>
      </c>
      <c r="O27" s="16" t="n">
        <f aca="false">RANDBETWEEN(-30,100)/1000</f>
        <v>0.049</v>
      </c>
      <c r="P27" s="17"/>
      <c r="Q27" s="18" t="n">
        <v>17.17</v>
      </c>
    </row>
    <row r="28" customFormat="false" ht="15" hidden="false" customHeight="false" outlineLevel="0" collapsed="false">
      <c r="A28" s="13" t="n">
        <v>8</v>
      </c>
      <c r="B28" s="14" t="s">
        <v>25</v>
      </c>
      <c r="C28" s="15" t="n">
        <f aca="false">C27+Q27</f>
        <v>111.97</v>
      </c>
      <c r="D28" s="16" t="n">
        <f aca="false">Chạy!G61</f>
        <v>2.14</v>
      </c>
      <c r="E28" s="16" t="n">
        <f aca="false">D28+F28</f>
        <v>2.225</v>
      </c>
      <c r="F28" s="16" t="n">
        <f aca="false">RANDBETWEEN(-30,100)/1000</f>
        <v>0.085</v>
      </c>
      <c r="G28" s="16" t="n">
        <f aca="false">Chạy!I61</f>
        <v>2.14</v>
      </c>
      <c r="H28" s="16" t="n">
        <f aca="false">G28+I28</f>
        <v>2.234</v>
      </c>
      <c r="I28" s="16" t="n">
        <f aca="false">RANDBETWEEN(-30,100)/1000</f>
        <v>0.094</v>
      </c>
      <c r="J28" s="16" t="n">
        <f aca="false">Chạy!M65</f>
        <v>2.14</v>
      </c>
      <c r="K28" s="16" t="n">
        <f aca="false">J28+L28</f>
        <v>2.216</v>
      </c>
      <c r="L28" s="16" t="n">
        <f aca="false">RANDBETWEEN(-30,100)/1000</f>
        <v>0.076</v>
      </c>
      <c r="M28" s="16" t="n">
        <f aca="false">Chạy!O65</f>
        <v>2.14</v>
      </c>
      <c r="N28" s="16" t="n">
        <f aca="false">M28+O28</f>
        <v>2.163</v>
      </c>
      <c r="O28" s="16" t="n">
        <f aca="false">RANDBETWEEN(-30,100)/1000</f>
        <v>0.023</v>
      </c>
      <c r="P28" s="17"/>
      <c r="Q28" s="18" t="n">
        <v>14.49</v>
      </c>
    </row>
    <row r="29" customFormat="false" ht="15" hidden="false" customHeight="false" outlineLevel="0" collapsed="false">
      <c r="A29" s="13" t="n">
        <v>9</v>
      </c>
      <c r="B29" s="14" t="s">
        <v>26</v>
      </c>
      <c r="C29" s="15" t="n">
        <f aca="false">C28+Q28</f>
        <v>126.46</v>
      </c>
      <c r="D29" s="16" t="n">
        <f aca="false">Chạy!G69</f>
        <v>2.14</v>
      </c>
      <c r="E29" s="16" t="n">
        <f aca="false">D29+F29</f>
        <v>2.231</v>
      </c>
      <c r="F29" s="16" t="n">
        <f aca="false">RANDBETWEEN(-30,100)/1000</f>
        <v>0.091</v>
      </c>
      <c r="G29" s="16" t="n">
        <f aca="false">Chạy!I69</f>
        <v>2.14</v>
      </c>
      <c r="H29" s="16" t="n">
        <f aca="false">G29+I29</f>
        <v>2.178</v>
      </c>
      <c r="I29" s="16" t="n">
        <f aca="false">RANDBETWEEN(-30,100)/1000</f>
        <v>0.038</v>
      </c>
      <c r="J29" s="16" t="n">
        <f aca="false">Chạy!M73</f>
        <v>2.14</v>
      </c>
      <c r="K29" s="16" t="n">
        <f aca="false">J29+L29</f>
        <v>2.162</v>
      </c>
      <c r="L29" s="16" t="n">
        <f aca="false">RANDBETWEEN(-30,100)/1000</f>
        <v>0.022</v>
      </c>
      <c r="M29" s="16" t="n">
        <f aca="false">Chạy!O73</f>
        <v>2.14</v>
      </c>
      <c r="N29" s="16" t="n">
        <f aca="false">M29+O29</f>
        <v>2.121</v>
      </c>
      <c r="O29" s="16" t="n">
        <f aca="false">RANDBETWEEN(-30,100)/1000</f>
        <v>-0.019</v>
      </c>
      <c r="P29" s="17"/>
      <c r="Q29" s="18"/>
    </row>
    <row r="31" customFormat="false" ht="15" hidden="false" customHeight="false" outlineLevel="0" collapsed="false">
      <c r="C31" s="19" t="s">
        <v>47</v>
      </c>
      <c r="D31" s="19"/>
      <c r="E31" s="19"/>
      <c r="F31" s="19"/>
      <c r="G31" s="20"/>
      <c r="H31" s="20"/>
      <c r="I31" s="20"/>
      <c r="K31" s="19" t="s">
        <v>48</v>
      </c>
      <c r="L31" s="19"/>
      <c r="M31" s="19"/>
      <c r="N31" s="19"/>
      <c r="O31" s="21"/>
    </row>
    <row r="32" customFormat="false" ht="15" hidden="false" customHeight="false" outlineLevel="0" collapsed="false">
      <c r="D32" s="22"/>
      <c r="E32" s="22"/>
      <c r="G32" s="22"/>
      <c r="H32" s="22"/>
      <c r="J32" s="22"/>
      <c r="K32" s="22"/>
      <c r="L32" s="22"/>
      <c r="M32" s="22"/>
      <c r="N32" s="22"/>
      <c r="O32" s="22"/>
    </row>
    <row r="33" customFormat="false" ht="15" hidden="false" customHeight="false" outlineLevel="0" collapsed="false">
      <c r="D33" s="22"/>
      <c r="E33" s="22"/>
      <c r="G33" s="22"/>
      <c r="H33" s="22"/>
      <c r="J33" s="22"/>
      <c r="K33" s="22"/>
      <c r="L33" s="22"/>
      <c r="M33" s="22"/>
      <c r="N33" s="22"/>
      <c r="O33" s="22"/>
    </row>
    <row r="34" customFormat="false" ht="15" hidden="false" customHeight="false" outlineLevel="0" collapsed="false">
      <c r="D34" s="22"/>
      <c r="E34" s="22"/>
      <c r="G34" s="22"/>
      <c r="H34" s="22"/>
      <c r="J34" s="22"/>
      <c r="K34" s="22"/>
      <c r="L34" s="22"/>
      <c r="M34" s="22"/>
      <c r="N34" s="22"/>
      <c r="O34" s="22"/>
    </row>
    <row r="35" customFormat="false" ht="15" hidden="false" customHeight="false" outlineLevel="0" collapsed="false">
      <c r="D35" s="22"/>
      <c r="E35" s="22"/>
      <c r="G35" s="22"/>
      <c r="H35" s="22"/>
      <c r="J35" s="22"/>
      <c r="K35" s="22"/>
      <c r="L35" s="22"/>
      <c r="M35" s="22"/>
      <c r="N35" s="22"/>
      <c r="O35" s="22"/>
    </row>
    <row r="36" customFormat="false" ht="15" hidden="false" customHeight="false" outlineLevel="0" collapsed="false">
      <c r="C36" s="19" t="s">
        <v>49</v>
      </c>
      <c r="D36" s="19"/>
      <c r="E36" s="19"/>
      <c r="F36" s="19"/>
      <c r="G36" s="20"/>
      <c r="H36" s="20"/>
      <c r="I36" s="20"/>
      <c r="J36" s="21"/>
      <c r="K36" s="19" t="s">
        <v>50</v>
      </c>
      <c r="L36" s="19"/>
      <c r="M36" s="19"/>
      <c r="N36" s="19"/>
      <c r="O36" s="21"/>
    </row>
  </sheetData>
  <mergeCells count="14">
    <mergeCell ref="A1:P1"/>
    <mergeCell ref="A2:P2"/>
    <mergeCell ref="A19:A20"/>
    <mergeCell ref="B19:B20"/>
    <mergeCell ref="C19:C20"/>
    <mergeCell ref="D19:F19"/>
    <mergeCell ref="G19:I19"/>
    <mergeCell ref="J19:L19"/>
    <mergeCell ref="M19:O19"/>
    <mergeCell ref="P19:P20"/>
    <mergeCell ref="C31:F31"/>
    <mergeCell ref="K31:N31"/>
    <mergeCell ref="C36:F36"/>
    <mergeCell ref="K36:N36"/>
  </mergeCells>
  <printOptions headings="false" gridLines="false" gridLinesSet="true" horizontalCentered="false" verticalCentered="false"/>
  <pageMargins left="0.315277777777778" right="0.157638888888889" top="0.511805555555556" bottom="0.479861111111111" header="0.511811023622047" footer="0.157638888888889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C10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51" activeCellId="0" sqref="P51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false" outlineLevel="0" max="5" min="5" style="24" width="15.42"/>
    <col collapsed="false" customWidth="true" hidden="false" outlineLevel="0" max="6" min="6" style="24" width="15.29"/>
    <col collapsed="false" customWidth="true" hidden="false" outlineLevel="0" max="7" min="7" style="24" width="10.29"/>
    <col collapsed="false" customWidth="true" hidden="false" outlineLevel="0" max="9" min="8" style="23" width="10"/>
    <col collapsed="false" customWidth="true" hidden="false" outlineLevel="0" max="10" min="10" style="23" width="11.43"/>
    <col collapsed="false" customWidth="true" hidden="false" outlineLevel="0" max="12" min="11" style="23" width="10.57"/>
    <col collapsed="false" customWidth="true" hidden="false" outlineLevel="0" max="13" min="13" style="23" width="11.29"/>
    <col collapsed="false" customWidth="true" hidden="false" outlineLevel="0" max="14" min="14" style="23" width="10.57"/>
    <col collapsed="false" customWidth="true" hidden="false" outlineLevel="0" max="15" min="15" style="23" width="6.43"/>
    <col collapsed="false" customWidth="true" hidden="false" outlineLevel="0" max="16" min="16" style="23" width="10.57"/>
    <col collapsed="false" customWidth="true" hidden="false" outlineLevel="0" max="17" min="17" style="23" width="10.29"/>
    <col collapsed="false" customWidth="false" hidden="false" outlineLevel="0" max="16384" min="18" style="23" width="9.29"/>
  </cols>
  <sheetData>
    <row r="1" s="26" customFormat="true" ht="16.5" hidden="false" customHeight="true" outlineLevel="0" collapsed="false">
      <c r="A1" s="25" t="s">
        <v>51</v>
      </c>
      <c r="B1" s="25"/>
      <c r="C1" s="25"/>
      <c r="D1" s="25"/>
      <c r="E1" s="25"/>
      <c r="F1" s="25"/>
      <c r="G1" s="25"/>
    </row>
    <row r="2" s="26" customFormat="true" ht="16.5" hidden="false" customHeight="true" outlineLevel="0" collapsed="false">
      <c r="A2" s="27" t="str">
        <f>"Kèm theo BBNT số: "&amp;VLOOKUP(AZ2,'[1]Tuyến XB6A'!$A$2:$G$60,7,0)&amp;VLOOKUP(AZ2,'[1]Tuyến XB6A'!$A$2:$G$60,4,0)</f>
        <v xml:space="preserve">Kèm theo BBNT số: 18.NĐXB6A/CVXD ngày 03 tháng 09 năm 2026</v>
      </c>
      <c r="B2" s="27"/>
      <c r="C2" s="27"/>
      <c r="D2" s="27"/>
      <c r="E2" s="27"/>
      <c r="F2" s="27"/>
      <c r="G2" s="27"/>
      <c r="AZ2">
        <v>18</v>
      </c>
    </row>
    <row r="3" s="30" customFormat="true" ht="37.5" hidden="false" customHeight="true" outlineLevel="0" collapsed="false">
      <c r="A3" s="28" t="s">
        <v>29</v>
      </c>
      <c r="B3" s="28"/>
      <c r="C3" s="28"/>
      <c r="D3" s="28"/>
      <c r="E3" s="28"/>
      <c r="F3" s="28"/>
      <c r="G3" s="28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</row>
    <row r="4" s="30" customFormat="true" ht="37.5" hidden="false" customHeight="true" outlineLevel="0" collapsed="false">
      <c r="A4" s="28" t="s">
        <v>30</v>
      </c>
      <c r="B4" s="28"/>
      <c r="C4" s="28"/>
      <c r="D4" s="28"/>
      <c r="E4" s="28"/>
      <c r="F4" s="28"/>
      <c r="G4" s="28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</row>
    <row r="5" s="30" customFormat="true" ht="16.5" hidden="false" customHeight="true" outlineLevel="0" collapsed="false">
      <c r="A5" s="28" t="s">
        <v>31</v>
      </c>
      <c r="B5" s="28"/>
      <c r="C5" s="28"/>
      <c r="D5" s="28"/>
      <c r="E5" s="28"/>
      <c r="F5" s="28"/>
      <c r="G5" s="28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</row>
    <row r="6" s="30" customFormat="true" ht="16.5" hidden="false" customHeight="true" outlineLevel="0" collapsed="false">
      <c r="A6" s="28" t="s">
        <v>32</v>
      </c>
      <c r="B6" s="28"/>
      <c r="C6" s="28"/>
      <c r="D6" s="28"/>
      <c r="E6" s="28"/>
      <c r="F6" s="28"/>
      <c r="G6" s="28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</row>
    <row r="7" s="30" customFormat="true" ht="37.5" hidden="false" customHeight="true" outlineLevel="0" collapsed="false">
      <c r="A7" s="31" t="s">
        <v>33</v>
      </c>
      <c r="B7" s="32"/>
      <c r="C7" s="33"/>
      <c r="D7" s="34" t="str">
        <f>VLOOKUP(AZ2,'[1]Tuyến XB6A'!$A$2:$B$60,2,0)</f>
        <v xml:space="preserve">Đắp đất lề đường lớp 1, độ chặt K&gt;=0,95 đoạn từ Km0+000,00 - Km0+126,46</v>
      </c>
      <c r="E7" s="34"/>
      <c r="F7" s="34"/>
      <c r="G7" s="34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</row>
    <row r="8" s="29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</row>
    <row r="9" s="39" customFormat="true" ht="22.5" hidden="false" customHeight="true" outlineLevel="0" collapsed="false">
      <c r="A9" s="36" t="s">
        <v>0</v>
      </c>
      <c r="B9" s="36" t="s">
        <v>37</v>
      </c>
      <c r="C9" s="36" t="s">
        <v>38</v>
      </c>
      <c r="D9" s="37" t="s">
        <v>52</v>
      </c>
      <c r="E9" s="38"/>
      <c r="F9" s="38"/>
      <c r="G9" s="37" t="s">
        <v>43</v>
      </c>
    </row>
    <row r="10" s="41" customFormat="true" ht="22.5" hidden="false" customHeight="true" outlineLevel="0" collapsed="false">
      <c r="A10" s="36"/>
      <c r="B10" s="36"/>
      <c r="C10" s="36"/>
      <c r="D10" s="36"/>
      <c r="E10" s="38" t="s">
        <v>53</v>
      </c>
      <c r="F10" s="38" t="s">
        <v>54</v>
      </c>
      <c r="G10" s="37"/>
      <c r="H10" s="40"/>
    </row>
    <row r="11" s="41" customFormat="true" ht="15" hidden="false" customHeight="true" outlineLevel="0" collapsed="false">
      <c r="A11" s="13" t="n">
        <v>1</v>
      </c>
      <c r="B11" s="14" t="str">
        <f aca="false">'1. KTHH L1'!B21</f>
        <v>D3</v>
      </c>
      <c r="C11" s="15" t="n">
        <f aca="false">'1. KTHH L1'!C21</f>
        <v>0</v>
      </c>
      <c r="D11" s="13" t="n">
        <f aca="false">'1. KTHH L1'!Q21</f>
        <v>19.63</v>
      </c>
      <c r="E11" s="42" t="n">
        <f aca="false">Chạy!E5+Chạy!E9</f>
        <v>3.26</v>
      </c>
      <c r="F11" s="43" t="n">
        <f aca="false">(E11+E12)*D11/2</f>
        <v>63.9938</v>
      </c>
      <c r="G11" s="44"/>
      <c r="I11" s="45"/>
      <c r="J11" s="45"/>
    </row>
    <row r="12" s="41" customFormat="true" ht="15" hidden="false" customHeight="true" outlineLevel="0" collapsed="false">
      <c r="A12" s="13" t="n">
        <v>2</v>
      </c>
      <c r="B12" s="14" t="str">
        <f aca="false">'1. KTHH L1'!B22</f>
        <v>1</v>
      </c>
      <c r="C12" s="15" t="n">
        <f aca="false">'1. KTHH L1'!C22</f>
        <v>19.63</v>
      </c>
      <c r="D12" s="13" t="n">
        <f aca="false">'1. KTHH L1'!Q22</f>
        <v>17.17</v>
      </c>
      <c r="E12" s="42" t="n">
        <f aca="false">Chạy!E13+Chạy!E17</f>
        <v>3.26</v>
      </c>
      <c r="F12" s="43" t="n">
        <f aca="false">(E12+E13)*D12/2</f>
        <v>55.9742</v>
      </c>
      <c r="G12" s="44"/>
      <c r="I12" s="45"/>
      <c r="J12" s="45"/>
    </row>
    <row r="13" s="41" customFormat="true" ht="15" hidden="false" customHeight="true" outlineLevel="0" collapsed="false">
      <c r="A13" s="13" t="n">
        <v>3</v>
      </c>
      <c r="B13" s="14" t="str">
        <f aca="false">'1. KTHH L1'!B23</f>
        <v>2</v>
      </c>
      <c r="C13" s="15" t="n">
        <f aca="false">'1. KTHH L1'!C23</f>
        <v>36.8</v>
      </c>
      <c r="D13" s="13" t="n">
        <f aca="false">'1. KTHH L1'!Q23</f>
        <v>17.18</v>
      </c>
      <c r="E13" s="42" t="n">
        <f aca="false">Chạy!E21+Chạy!E25</f>
        <v>3.26</v>
      </c>
      <c r="F13" s="43" t="n">
        <f aca="false">(E13+E14)*D13/2</f>
        <v>56.0068</v>
      </c>
      <c r="G13" s="44"/>
      <c r="I13" s="45"/>
      <c r="J13" s="45"/>
    </row>
    <row r="14" s="41" customFormat="true" ht="15" hidden="false" customHeight="true" outlineLevel="0" collapsed="false">
      <c r="A14" s="13" t="n">
        <v>4</v>
      </c>
      <c r="B14" s="14" t="str">
        <f aca="false">'1. KTHH L1'!B24</f>
        <v>3</v>
      </c>
      <c r="C14" s="15" t="n">
        <f aca="false">'1. KTHH L1'!C24</f>
        <v>53.98</v>
      </c>
      <c r="D14" s="13" t="n">
        <f aca="false">'1. KTHH L1'!Q24</f>
        <v>12.97</v>
      </c>
      <c r="E14" s="42" t="n">
        <f aca="false">Chạy!E29+Chạy!E33</f>
        <v>3.26</v>
      </c>
      <c r="F14" s="43" t="n">
        <f aca="false">(E14+E15)*D14/2</f>
        <v>42.2822</v>
      </c>
      <c r="G14" s="44"/>
      <c r="I14" s="45"/>
      <c r="J14" s="45"/>
    </row>
    <row r="15" s="41" customFormat="true" ht="15" hidden="false" customHeight="true" outlineLevel="0" collapsed="false">
      <c r="A15" s="13" t="n">
        <v>5</v>
      </c>
      <c r="B15" s="14" t="str">
        <f aca="false">'1. KTHH L1'!B25</f>
        <v>D2</v>
      </c>
      <c r="C15" s="15" t="n">
        <f aca="false">'1. KTHH L1'!C25</f>
        <v>66.95</v>
      </c>
      <c r="D15" s="13" t="n">
        <f aca="false">'1. KTHH L1'!Q25</f>
        <v>10.68</v>
      </c>
      <c r="E15" s="42" t="n">
        <f aca="false">Chạy!E37+Chạy!E41</f>
        <v>3.26</v>
      </c>
      <c r="F15" s="43" t="n">
        <f aca="false">(E15+E16)*D15/2</f>
        <v>34.8168</v>
      </c>
      <c r="G15" s="44"/>
      <c r="I15" s="45"/>
      <c r="J15" s="45"/>
    </row>
    <row r="16" s="41" customFormat="true" ht="15" hidden="false" customHeight="true" outlineLevel="0" collapsed="false">
      <c r="A16" s="13" t="n">
        <v>6</v>
      </c>
      <c r="B16" s="14" t="str">
        <f aca="false">'1. KTHH L1'!B26</f>
        <v>4</v>
      </c>
      <c r="C16" s="15" t="n">
        <f aca="false">'1. KTHH L1'!C26</f>
        <v>77.63</v>
      </c>
      <c r="D16" s="13" t="n">
        <f aca="false">'1. KTHH L1'!Q26</f>
        <v>17.17</v>
      </c>
      <c r="E16" s="42" t="n">
        <f aca="false">Chạy!E45+Chạy!E49</f>
        <v>3.26</v>
      </c>
      <c r="F16" s="43" t="n">
        <f aca="false">(E16+E17)*D16/2</f>
        <v>55.9742</v>
      </c>
      <c r="G16" s="44"/>
      <c r="I16" s="45"/>
      <c r="J16" s="45"/>
    </row>
    <row r="17" s="41" customFormat="true" ht="15" hidden="false" customHeight="true" outlineLevel="0" collapsed="false">
      <c r="A17" s="13" t="n">
        <v>7</v>
      </c>
      <c r="B17" s="14" t="str">
        <f aca="false">'1. KTHH L1'!B27</f>
        <v>5</v>
      </c>
      <c r="C17" s="15" t="n">
        <f aca="false">'1. KTHH L1'!C27</f>
        <v>94.8</v>
      </c>
      <c r="D17" s="13" t="n">
        <f aca="false">'1. KTHH L1'!Q27</f>
        <v>17.17</v>
      </c>
      <c r="E17" s="42" t="n">
        <f aca="false">Chạy!E53+Chạy!E57</f>
        <v>3.26</v>
      </c>
      <c r="F17" s="43" t="n">
        <f aca="false">(E17+E18)*D17/2</f>
        <v>55.9742</v>
      </c>
      <c r="G17" s="44"/>
      <c r="I17" s="45"/>
      <c r="J17" s="45"/>
    </row>
    <row r="18" s="41" customFormat="true" ht="15" hidden="false" customHeight="true" outlineLevel="0" collapsed="false">
      <c r="A18" s="13" t="n">
        <v>8</v>
      </c>
      <c r="B18" s="14" t="str">
        <f aca="false">'1. KTHH L1'!B28</f>
        <v>6</v>
      </c>
      <c r="C18" s="15" t="n">
        <f aca="false">'1. KTHH L1'!C28</f>
        <v>111.97</v>
      </c>
      <c r="D18" s="13" t="n">
        <f aca="false">'1. KTHH L1'!Q28</f>
        <v>14.49</v>
      </c>
      <c r="E18" s="42" t="n">
        <f aca="false">Chạy!E61+Chạy!E65</f>
        <v>3.26</v>
      </c>
      <c r="F18" s="43" t="n">
        <f aca="false">(E18+E19)*D18/2</f>
        <v>47.2374</v>
      </c>
      <c r="G18" s="44"/>
      <c r="I18" s="45"/>
      <c r="J18" s="45"/>
    </row>
    <row r="19" s="41" customFormat="true" ht="15" hidden="false" customHeight="true" outlineLevel="0" collapsed="false">
      <c r="A19" s="13" t="n">
        <v>9</v>
      </c>
      <c r="B19" s="14" t="str">
        <f aca="false">'1. KTHH L1'!B29</f>
        <v>D1</v>
      </c>
      <c r="C19" s="15" t="n">
        <f aca="false">'1. KTHH L1'!C29</f>
        <v>126.46</v>
      </c>
      <c r="D19" s="13"/>
      <c r="E19" s="42" t="n">
        <f aca="false">Chạy!E69+Chạy!E73</f>
        <v>3.26</v>
      </c>
      <c r="F19" s="43"/>
      <c r="G19" s="44"/>
      <c r="I19" s="45"/>
      <c r="J19" s="45"/>
    </row>
    <row r="20" customFormat="false" ht="15" hidden="false" customHeight="true" outlineLevel="0" collapsed="false">
      <c r="A20" s="46" t="s">
        <v>55</v>
      </c>
      <c r="B20" s="46"/>
      <c r="C20" s="46"/>
      <c r="D20" s="46"/>
      <c r="E20" s="47"/>
      <c r="F20" s="48" t="n">
        <f aca="false">SUM(F11:F19)</f>
        <v>412.2596</v>
      </c>
      <c r="G20" s="49"/>
      <c r="I20" s="50"/>
      <c r="J20" s="51"/>
      <c r="K20" s="51"/>
      <c r="L20" s="51"/>
      <c r="M20" s="52"/>
      <c r="N20" s="41"/>
      <c r="O20" s="41"/>
      <c r="P20" s="41"/>
      <c r="Q20" s="53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4"/>
      <c r="BO20" s="54"/>
      <c r="BP20" s="54"/>
      <c r="BQ20" s="54"/>
      <c r="BR20" s="54"/>
      <c r="BS20" s="54"/>
      <c r="BT20" s="54"/>
      <c r="BU20" s="54"/>
      <c r="BV20" s="54"/>
      <c r="BW20" s="54"/>
      <c r="BX20" s="54"/>
      <c r="BY20" s="54"/>
      <c r="BZ20" s="54"/>
      <c r="CA20" s="54"/>
      <c r="CB20" s="54"/>
      <c r="CC20" s="54"/>
      <c r="CD20" s="54"/>
      <c r="CE20" s="54"/>
      <c r="CF20" s="54"/>
      <c r="CG20" s="54"/>
      <c r="CH20" s="54"/>
      <c r="CI20" s="54"/>
      <c r="CJ20" s="54"/>
      <c r="CK20" s="54"/>
      <c r="CL20" s="54"/>
      <c r="CM20" s="54"/>
      <c r="CN20" s="54"/>
      <c r="CO20" s="54"/>
      <c r="CP20" s="54"/>
      <c r="CQ20" s="54"/>
      <c r="CR20" s="54"/>
      <c r="CS20" s="54"/>
      <c r="CT20" s="54"/>
      <c r="CU20" s="54"/>
      <c r="CV20" s="54"/>
      <c r="CW20" s="54"/>
      <c r="CX20" s="54"/>
      <c r="CY20" s="54"/>
      <c r="CZ20" s="54"/>
      <c r="DA20" s="54"/>
      <c r="DB20" s="54"/>
      <c r="DC20" s="54"/>
      <c r="DD20" s="54"/>
      <c r="DE20" s="54"/>
      <c r="DF20" s="54"/>
      <c r="DG20" s="54"/>
      <c r="DH20" s="54"/>
      <c r="DI20" s="54"/>
      <c r="DJ20" s="54"/>
      <c r="DK20" s="54"/>
      <c r="DL20" s="54"/>
      <c r="DM20" s="54"/>
      <c r="DN20" s="54"/>
      <c r="DO20" s="54"/>
      <c r="DP20" s="54"/>
      <c r="DQ20" s="54"/>
      <c r="DR20" s="54"/>
      <c r="DS20" s="54"/>
      <c r="DT20" s="54"/>
      <c r="DU20" s="54"/>
      <c r="DV20" s="54"/>
      <c r="DW20" s="54"/>
      <c r="DX20" s="54"/>
      <c r="DY20" s="54"/>
      <c r="DZ20" s="54"/>
      <c r="EA20" s="54"/>
      <c r="EB20" s="54"/>
      <c r="EC20" s="54"/>
      <c r="ED20" s="54"/>
      <c r="EE20" s="54"/>
      <c r="EF20" s="54"/>
      <c r="EG20" s="54"/>
      <c r="EH20" s="54"/>
      <c r="EI20" s="54"/>
      <c r="EJ20" s="54"/>
      <c r="EK20" s="54"/>
      <c r="EL20" s="54"/>
      <c r="EM20" s="54"/>
      <c r="EN20" s="54"/>
      <c r="EO20" s="54"/>
      <c r="EP20" s="54"/>
      <c r="EQ20" s="54"/>
      <c r="ER20" s="54"/>
      <c r="ES20" s="54"/>
      <c r="ET20" s="54"/>
      <c r="EU20" s="54"/>
      <c r="EV20" s="54"/>
      <c r="EW20" s="54"/>
      <c r="EX20" s="54"/>
      <c r="EY20" s="54"/>
      <c r="EZ20" s="54"/>
      <c r="FA20" s="54"/>
      <c r="FB20" s="54"/>
      <c r="FC20" s="54"/>
      <c r="FD20" s="54"/>
      <c r="FE20" s="54"/>
      <c r="FF20" s="54"/>
      <c r="FG20" s="54"/>
      <c r="FH20" s="54"/>
      <c r="FI20" s="54"/>
      <c r="FJ20" s="54"/>
      <c r="FK20" s="54"/>
      <c r="FL20" s="54"/>
      <c r="FM20" s="54"/>
      <c r="FN20" s="54"/>
      <c r="FO20" s="54"/>
      <c r="FP20" s="54"/>
      <c r="FQ20" s="54"/>
      <c r="FR20" s="54"/>
      <c r="FS20" s="54"/>
      <c r="FT20" s="54"/>
      <c r="FU20" s="54"/>
      <c r="FV20" s="54"/>
      <c r="FW20" s="54"/>
      <c r="FX20" s="54"/>
      <c r="FY20" s="54"/>
      <c r="FZ20" s="54"/>
      <c r="GA20" s="54"/>
      <c r="GB20" s="54"/>
      <c r="GC20" s="54"/>
      <c r="GD20" s="54"/>
      <c r="GE20" s="54"/>
      <c r="GF20" s="54"/>
      <c r="GG20" s="54"/>
      <c r="GH20" s="54"/>
      <c r="GI20" s="54"/>
      <c r="GJ20" s="54"/>
      <c r="GK20" s="54"/>
      <c r="GL20" s="54"/>
      <c r="GM20" s="54"/>
      <c r="GN20" s="54"/>
      <c r="GO20" s="54"/>
      <c r="GP20" s="54"/>
      <c r="GQ20" s="54"/>
      <c r="GR20" s="54"/>
      <c r="GS20" s="54"/>
      <c r="GT20" s="54"/>
      <c r="GU20" s="54"/>
      <c r="GV20" s="54"/>
      <c r="GW20" s="54"/>
      <c r="GX20" s="54"/>
      <c r="GY20" s="54"/>
    </row>
    <row r="21" customFormat="false" ht="14.25" hidden="false" customHeight="true" outlineLevel="0" collapsed="false">
      <c r="A21" s="20"/>
      <c r="B21" s="20"/>
      <c r="C21" s="20"/>
      <c r="D21" s="20"/>
      <c r="F21" s="55"/>
      <c r="G21" s="55"/>
      <c r="H21" s="55"/>
      <c r="J21" s="56"/>
      <c r="K21" s="56"/>
      <c r="L21" s="56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4"/>
      <c r="BQ21" s="54"/>
      <c r="BR21" s="54"/>
      <c r="BS21" s="54"/>
      <c r="BT21" s="54"/>
      <c r="BU21" s="54"/>
      <c r="BV21" s="54"/>
      <c r="BW21" s="54"/>
      <c r="BX21" s="54"/>
      <c r="BY21" s="54"/>
      <c r="BZ21" s="54"/>
      <c r="CA21" s="54"/>
      <c r="CB21" s="54"/>
      <c r="CC21" s="54"/>
      <c r="CD21" s="54"/>
      <c r="CE21" s="54"/>
      <c r="CF21" s="54"/>
      <c r="CG21" s="54"/>
      <c r="CH21" s="54"/>
      <c r="CI21" s="54"/>
      <c r="CJ21" s="54"/>
      <c r="CK21" s="54"/>
      <c r="CL21" s="54"/>
      <c r="CM21" s="54"/>
      <c r="CN21" s="54"/>
      <c r="CO21" s="54"/>
      <c r="CP21" s="54"/>
      <c r="CQ21" s="54"/>
      <c r="CR21" s="54"/>
      <c r="CS21" s="54"/>
      <c r="CT21" s="54"/>
      <c r="CU21" s="54"/>
      <c r="CV21" s="54"/>
      <c r="CW21" s="54"/>
      <c r="CX21" s="54"/>
      <c r="CY21" s="54"/>
      <c r="CZ21" s="54"/>
      <c r="DA21" s="54"/>
      <c r="DB21" s="54"/>
      <c r="DC21" s="54"/>
      <c r="DD21" s="54"/>
      <c r="DE21" s="54"/>
      <c r="DF21" s="54"/>
      <c r="DG21" s="54"/>
      <c r="DH21" s="54"/>
      <c r="DI21" s="54"/>
      <c r="DJ21" s="54"/>
      <c r="DK21" s="54"/>
      <c r="DL21" s="54"/>
      <c r="DM21" s="54"/>
      <c r="DN21" s="54"/>
      <c r="DO21" s="54"/>
      <c r="DP21" s="54"/>
      <c r="DQ21" s="54"/>
      <c r="DR21" s="54"/>
      <c r="DS21" s="54"/>
      <c r="DT21" s="54"/>
      <c r="DU21" s="54"/>
      <c r="DV21" s="54"/>
      <c r="DW21" s="54"/>
      <c r="DX21" s="54"/>
      <c r="DY21" s="54"/>
      <c r="DZ21" s="54"/>
      <c r="EA21" s="54"/>
      <c r="EB21" s="54"/>
      <c r="EC21" s="54"/>
      <c r="ED21" s="54"/>
      <c r="EE21" s="54"/>
      <c r="EF21" s="54"/>
      <c r="EG21" s="54"/>
      <c r="EH21" s="54"/>
      <c r="EI21" s="54"/>
      <c r="EJ21" s="54"/>
      <c r="EK21" s="54"/>
      <c r="EL21" s="54"/>
      <c r="EM21" s="54"/>
      <c r="EN21" s="54"/>
      <c r="EO21" s="54"/>
      <c r="EP21" s="54"/>
      <c r="EQ21" s="54"/>
      <c r="ER21" s="54"/>
      <c r="ES21" s="54"/>
      <c r="ET21" s="54"/>
      <c r="EU21" s="54"/>
      <c r="EV21" s="54"/>
      <c r="EW21" s="54"/>
      <c r="EX21" s="54"/>
      <c r="EY21" s="54"/>
      <c r="EZ21" s="54"/>
      <c r="FA21" s="54"/>
      <c r="FB21" s="54"/>
      <c r="FC21" s="54"/>
      <c r="FD21" s="54"/>
      <c r="FE21" s="54"/>
      <c r="FF21" s="54"/>
      <c r="FG21" s="54"/>
      <c r="FH21" s="54"/>
      <c r="FI21" s="54"/>
      <c r="FJ21" s="54"/>
      <c r="FK21" s="54"/>
      <c r="FL21" s="54"/>
      <c r="FM21" s="54"/>
      <c r="FN21" s="54"/>
      <c r="FO21" s="54"/>
      <c r="FP21" s="54"/>
      <c r="FQ21" s="54"/>
      <c r="FR21" s="54"/>
      <c r="FS21" s="54"/>
      <c r="FT21" s="54"/>
      <c r="FU21" s="54"/>
      <c r="FV21" s="54"/>
      <c r="FW21" s="54"/>
      <c r="FX21" s="54"/>
      <c r="FY21" s="54"/>
      <c r="FZ21" s="54"/>
      <c r="GA21" s="54"/>
      <c r="GB21" s="54"/>
      <c r="GC21" s="54"/>
      <c r="GD21" s="54"/>
      <c r="GE21" s="54"/>
      <c r="GF21" s="54"/>
      <c r="GG21" s="54"/>
      <c r="GH21" s="54"/>
      <c r="GI21" s="54"/>
      <c r="GJ21" s="54"/>
      <c r="GK21" s="54"/>
      <c r="GL21" s="54"/>
      <c r="GM21" s="54"/>
      <c r="GN21" s="54"/>
      <c r="GO21" s="54"/>
      <c r="GP21" s="54"/>
      <c r="GQ21" s="54"/>
      <c r="GR21" s="54"/>
      <c r="GS21" s="54"/>
      <c r="GT21" s="54"/>
      <c r="GU21" s="54"/>
      <c r="GV21" s="54"/>
      <c r="GW21" s="54"/>
      <c r="GX21" s="54"/>
      <c r="GY21" s="54"/>
    </row>
    <row r="22" customFormat="false" ht="15" hidden="false" customHeight="true" outlineLevel="0" collapsed="false">
      <c r="A22" s="19" t="s">
        <v>47</v>
      </c>
      <c r="B22" s="19"/>
      <c r="C22" s="19"/>
      <c r="D22" s="57" t="s">
        <v>56</v>
      </c>
      <c r="E22" s="19" t="s">
        <v>48</v>
      </c>
      <c r="F22" s="19"/>
      <c r="G22" s="19"/>
      <c r="Q22" s="58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54"/>
      <c r="BK22" s="54"/>
      <c r="BL22" s="54"/>
      <c r="BM22" s="54"/>
      <c r="BN22" s="54"/>
      <c r="BO22" s="54"/>
      <c r="BP22" s="54"/>
      <c r="BQ22" s="54"/>
      <c r="BR22" s="54"/>
      <c r="BS22" s="54"/>
      <c r="BT22" s="54"/>
      <c r="BU22" s="54"/>
      <c r="BV22" s="54"/>
      <c r="BW22" s="54"/>
      <c r="BX22" s="54"/>
      <c r="BY22" s="54"/>
      <c r="BZ22" s="54"/>
      <c r="CA22" s="54"/>
      <c r="CB22" s="54"/>
      <c r="CC22" s="54"/>
      <c r="CD22" s="54"/>
      <c r="CE22" s="54"/>
      <c r="CF22" s="54"/>
      <c r="CG22" s="54"/>
      <c r="CH22" s="54"/>
      <c r="CI22" s="54"/>
      <c r="CJ22" s="54"/>
      <c r="CK22" s="54"/>
      <c r="CL22" s="54"/>
      <c r="CM22" s="54"/>
      <c r="CN22" s="54"/>
      <c r="CO22" s="54"/>
      <c r="CP22" s="54"/>
      <c r="CQ22" s="54"/>
      <c r="CR22" s="54"/>
      <c r="CS22" s="54"/>
      <c r="CT22" s="54"/>
      <c r="CU22" s="54"/>
      <c r="CV22" s="54"/>
      <c r="CW22" s="54"/>
      <c r="CX22" s="54"/>
      <c r="CY22" s="54"/>
      <c r="CZ22" s="54"/>
      <c r="DA22" s="54"/>
      <c r="DB22" s="54"/>
      <c r="DC22" s="54"/>
      <c r="DD22" s="54"/>
      <c r="DE22" s="54"/>
      <c r="DF22" s="54"/>
      <c r="DG22" s="54"/>
      <c r="DH22" s="54"/>
      <c r="DI22" s="54"/>
      <c r="DJ22" s="54"/>
      <c r="DK22" s="54"/>
      <c r="DL22" s="54"/>
      <c r="DM22" s="54"/>
      <c r="DN22" s="54"/>
      <c r="DO22" s="54"/>
      <c r="DP22" s="54"/>
      <c r="DQ22" s="54"/>
      <c r="DR22" s="54"/>
      <c r="DS22" s="54"/>
      <c r="DT22" s="54"/>
      <c r="DU22" s="54"/>
      <c r="DV22" s="54"/>
      <c r="DW22" s="54"/>
      <c r="DX22" s="54"/>
      <c r="DY22" s="54"/>
      <c r="DZ22" s="54"/>
      <c r="EA22" s="54"/>
      <c r="EB22" s="54"/>
      <c r="EC22" s="54"/>
      <c r="ED22" s="54"/>
      <c r="EE22" s="54"/>
      <c r="EF22" s="54"/>
      <c r="EG22" s="54"/>
      <c r="EH22" s="54"/>
      <c r="EI22" s="54"/>
      <c r="EJ22" s="54"/>
      <c r="EK22" s="54"/>
      <c r="EL22" s="54"/>
      <c r="EM22" s="54"/>
      <c r="EN22" s="54"/>
      <c r="EO22" s="54"/>
      <c r="EP22" s="54"/>
      <c r="EQ22" s="54"/>
      <c r="ER22" s="54"/>
      <c r="ES22" s="54"/>
      <c r="ET22" s="54"/>
      <c r="EU22" s="54"/>
      <c r="EV22" s="54"/>
      <c r="EW22" s="54"/>
      <c r="EX22" s="54"/>
      <c r="EY22" s="54"/>
      <c r="EZ22" s="54"/>
      <c r="FA22" s="54"/>
      <c r="FB22" s="54"/>
      <c r="FC22" s="54"/>
      <c r="FD22" s="54"/>
      <c r="FE22" s="54"/>
      <c r="FF22" s="54"/>
      <c r="FG22" s="54"/>
      <c r="FH22" s="54"/>
      <c r="FI22" s="54"/>
      <c r="FJ22" s="54"/>
      <c r="FK22" s="54"/>
      <c r="FL22" s="54"/>
      <c r="FM22" s="54"/>
      <c r="FN22" s="54"/>
      <c r="FO22" s="54"/>
      <c r="FP22" s="54"/>
      <c r="FQ22" s="54"/>
      <c r="FR22" s="54"/>
      <c r="FS22" s="54"/>
      <c r="FT22" s="54"/>
      <c r="FU22" s="54"/>
      <c r="FV22" s="54"/>
      <c r="FW22" s="54"/>
      <c r="FX22" s="54"/>
      <c r="FY22" s="54"/>
      <c r="FZ22" s="54"/>
      <c r="GA22" s="54"/>
      <c r="GB22" s="54"/>
      <c r="GC22" s="54"/>
      <c r="GD22" s="54"/>
      <c r="GE22" s="54"/>
      <c r="GF22" s="54"/>
      <c r="GG22" s="54"/>
      <c r="GH22" s="54"/>
      <c r="GI22" s="54"/>
      <c r="GJ22" s="54"/>
      <c r="GK22" s="54"/>
      <c r="GL22" s="54"/>
      <c r="GM22" s="54"/>
      <c r="GN22" s="54"/>
      <c r="GO22" s="54"/>
      <c r="GP22" s="54"/>
      <c r="GQ22" s="54"/>
      <c r="GR22" s="54"/>
      <c r="GS22" s="54"/>
      <c r="GT22" s="54"/>
      <c r="GU22" s="54"/>
      <c r="GV22" s="54"/>
      <c r="GW22" s="54"/>
      <c r="GX22" s="54"/>
      <c r="GY22" s="54"/>
    </row>
    <row r="23" customFormat="false" ht="14.25" hidden="false" customHeight="true" outlineLevel="0" collapsed="false">
      <c r="A23" s="59"/>
      <c r="B23" s="59"/>
      <c r="C23" s="59"/>
      <c r="D23" s="60"/>
      <c r="E23" s="59"/>
      <c r="F23" s="59"/>
      <c r="G23" s="59"/>
      <c r="H23" s="54"/>
      <c r="I23" s="54"/>
      <c r="J23" s="54"/>
      <c r="K23" s="54"/>
      <c r="L23" s="54"/>
      <c r="M23" s="54"/>
      <c r="N23" s="54"/>
      <c r="O23" s="54"/>
      <c r="P23" s="54"/>
      <c r="Q23" s="54"/>
      <c r="GZ23" s="54"/>
    </row>
    <row r="24" customFormat="false" ht="15" hidden="false" customHeight="true" outlineLevel="0" collapsed="false">
      <c r="A24" s="59"/>
      <c r="B24" s="59"/>
      <c r="C24" s="61"/>
      <c r="D24" s="61"/>
      <c r="E24" s="59"/>
      <c r="F24" s="59"/>
      <c r="G24" s="61"/>
      <c r="H24" s="54"/>
      <c r="I24" s="54"/>
      <c r="J24" s="62"/>
      <c r="K24" s="54"/>
      <c r="L24" s="54"/>
      <c r="M24" s="54"/>
      <c r="N24" s="54"/>
      <c r="O24" s="54"/>
      <c r="P24" s="54"/>
      <c r="Q24" s="54"/>
      <c r="GZ24" s="54"/>
    </row>
    <row r="25" customFormat="false" ht="14.25" hidden="false" customHeight="true" outlineLevel="0" collapsed="false">
      <c r="A25" s="59"/>
      <c r="B25" s="59"/>
      <c r="C25" s="59"/>
      <c r="D25" s="60"/>
      <c r="E25" s="59"/>
      <c r="F25" s="59"/>
      <c r="G25" s="59"/>
      <c r="H25" s="54"/>
      <c r="I25" s="54"/>
      <c r="J25" s="54"/>
      <c r="K25" s="54"/>
      <c r="L25" s="54"/>
      <c r="M25" s="54"/>
      <c r="N25" s="54"/>
      <c r="O25" s="54"/>
      <c r="P25" s="54"/>
      <c r="Q25" s="54"/>
      <c r="GZ25" s="54"/>
    </row>
    <row r="26" customFormat="false" ht="14.25" hidden="false" customHeight="true" outlineLevel="0" collapsed="false">
      <c r="A26" s="59"/>
      <c r="B26" s="59"/>
      <c r="C26" s="59"/>
      <c r="D26" s="60"/>
      <c r="E26" s="59"/>
      <c r="F26" s="59"/>
      <c r="G26" s="59"/>
      <c r="H26" s="54"/>
      <c r="I26" s="54"/>
      <c r="J26" s="54"/>
      <c r="K26" s="54"/>
      <c r="L26" s="54"/>
      <c r="M26" s="54"/>
      <c r="N26" s="54"/>
      <c r="O26" s="54"/>
      <c r="P26" s="54"/>
      <c r="Q26" s="54"/>
      <c r="GZ26" s="54"/>
    </row>
    <row r="27" customFormat="false" ht="14.25" hidden="false" customHeight="true" outlineLevel="0" collapsed="false">
      <c r="A27" s="59"/>
      <c r="B27" s="59"/>
      <c r="C27" s="59"/>
      <c r="D27" s="60"/>
      <c r="E27" s="59"/>
      <c r="F27" s="59"/>
      <c r="G27" s="59"/>
      <c r="H27" s="54"/>
      <c r="I27" s="54"/>
      <c r="J27" s="54"/>
      <c r="K27" s="54"/>
      <c r="L27" s="54"/>
      <c r="M27" s="54"/>
      <c r="N27" s="54"/>
      <c r="O27" s="54"/>
      <c r="P27" s="54"/>
      <c r="Q27" s="54"/>
      <c r="GZ27" s="54"/>
    </row>
    <row r="28" customFormat="false" ht="14.25" hidden="false" customHeight="true" outlineLevel="0" collapsed="false">
      <c r="A28" s="19" t="s">
        <v>49</v>
      </c>
      <c r="B28" s="19"/>
      <c r="C28" s="19"/>
      <c r="D28" s="21"/>
      <c r="E28" s="19" t="s">
        <v>50</v>
      </c>
      <c r="F28" s="19"/>
      <c r="G28" s="19"/>
      <c r="H28" s="54"/>
      <c r="I28" s="54"/>
      <c r="J28" s="54"/>
      <c r="K28" s="54"/>
      <c r="L28" s="54"/>
      <c r="M28" s="54"/>
      <c r="N28" s="54"/>
      <c r="O28" s="54"/>
      <c r="P28" s="54"/>
      <c r="Q28" s="54"/>
      <c r="GZ28" s="54"/>
    </row>
    <row r="29" customFormat="false" ht="15" hidden="false" customHeight="true" outlineLevel="0" collapsed="false">
      <c r="A29" s="41"/>
      <c r="B29" s="41"/>
      <c r="C29" s="41"/>
      <c r="D29" s="41"/>
      <c r="E29" s="41"/>
      <c r="F29" s="41"/>
      <c r="G29" s="41"/>
    </row>
    <row r="30" customFormat="false" ht="15" hidden="false" customHeight="true" outlineLevel="0" collapsed="false">
      <c r="A30" s="41"/>
      <c r="B30" s="41"/>
      <c r="C30" s="41"/>
      <c r="D30" s="41"/>
      <c r="E30" s="41"/>
      <c r="F30" s="41"/>
      <c r="G30" s="41"/>
    </row>
    <row r="31" customFormat="false" ht="15" hidden="false" customHeight="true" outlineLevel="0" collapsed="false">
      <c r="A31" s="41"/>
      <c r="B31" s="41"/>
      <c r="C31" s="41"/>
      <c r="D31" s="41"/>
      <c r="E31" s="41"/>
      <c r="F31" s="41"/>
      <c r="G31" s="41"/>
    </row>
    <row r="32" customFormat="false" ht="15" hidden="false" customHeight="true" outlineLevel="0" collapsed="false">
      <c r="A32" s="41"/>
      <c r="B32" s="41"/>
      <c r="C32" s="41"/>
      <c r="D32" s="41"/>
      <c r="E32" s="41"/>
      <c r="F32" s="41"/>
      <c r="G32" s="41"/>
    </row>
    <row r="33" customFormat="false" ht="15" hidden="false" customHeight="true" outlineLevel="0" collapsed="false">
      <c r="A33" s="41"/>
      <c r="B33" s="41"/>
      <c r="C33" s="41"/>
      <c r="D33" s="41"/>
      <c r="E33" s="41"/>
      <c r="F33" s="41"/>
      <c r="G33" s="41"/>
    </row>
    <row r="34" customFormat="false" ht="15" hidden="false" customHeight="true" outlineLevel="0" collapsed="false">
      <c r="A34" s="41"/>
      <c r="B34" s="41"/>
      <c r="C34" s="41"/>
      <c r="D34" s="41"/>
      <c r="E34" s="41"/>
      <c r="F34" s="41"/>
      <c r="G34" s="41"/>
    </row>
    <row r="35" customFormat="false" ht="15" hidden="false" customHeight="true" outlineLevel="0" collapsed="false">
      <c r="A35" s="41"/>
      <c r="B35" s="41"/>
      <c r="C35" s="41"/>
      <c r="D35" s="41"/>
      <c r="E35" s="41"/>
      <c r="F35" s="41"/>
      <c r="G35" s="41"/>
    </row>
    <row r="36" customFormat="false" ht="15" hidden="false" customHeight="true" outlineLevel="0" collapsed="false">
      <c r="A36" s="41"/>
      <c r="B36" s="41"/>
      <c r="C36" s="41"/>
      <c r="D36" s="41"/>
      <c r="E36" s="41"/>
      <c r="F36" s="41"/>
      <c r="G36" s="41"/>
    </row>
    <row r="37" customFormat="false" ht="15" hidden="false" customHeight="true" outlineLevel="0" collapsed="false">
      <c r="A37" s="41"/>
      <c r="B37" s="41"/>
      <c r="C37" s="41"/>
      <c r="D37" s="41"/>
      <c r="E37" s="41"/>
      <c r="F37" s="41"/>
      <c r="G37" s="41"/>
    </row>
    <row r="38" customFormat="false" ht="12.75" hidden="false" customHeight="false" outlineLevel="0" collapsed="false">
      <c r="A38" s="63"/>
      <c r="B38" s="63"/>
      <c r="C38" s="63"/>
      <c r="D38" s="63"/>
      <c r="E38" s="63"/>
      <c r="F38" s="63"/>
      <c r="G38" s="63"/>
    </row>
    <row r="39" customFormat="false" ht="12.75" hidden="false" customHeight="false" outlineLevel="0" collapsed="false">
      <c r="A39" s="63"/>
      <c r="B39" s="63"/>
      <c r="C39" s="63"/>
      <c r="D39" s="63"/>
      <c r="E39" s="63"/>
      <c r="F39" s="63"/>
      <c r="G39" s="63"/>
    </row>
    <row r="40" customFormat="false" ht="12.75" hidden="false" customHeight="false" outlineLevel="0" collapsed="false">
      <c r="A40" s="63"/>
      <c r="B40" s="63"/>
      <c r="C40" s="63"/>
      <c r="D40" s="63"/>
      <c r="E40" s="63"/>
      <c r="F40" s="63"/>
      <c r="G40" s="63"/>
    </row>
    <row r="41" customFormat="false" ht="12.75" hidden="false" customHeight="false" outlineLevel="0" collapsed="false">
      <c r="A41" s="63"/>
      <c r="B41" s="63"/>
      <c r="C41" s="63"/>
      <c r="D41" s="63"/>
      <c r="E41" s="63"/>
      <c r="F41" s="63"/>
      <c r="G41" s="63"/>
    </row>
    <row r="42" customFormat="false" ht="12.75" hidden="false" customHeight="false" outlineLevel="0" collapsed="false">
      <c r="A42" s="63"/>
      <c r="B42" s="63"/>
      <c r="C42" s="63"/>
      <c r="D42" s="63"/>
      <c r="E42" s="63"/>
      <c r="F42" s="63"/>
      <c r="G42" s="63"/>
    </row>
    <row r="43" customFormat="false" ht="12.75" hidden="false" customHeight="false" outlineLevel="0" collapsed="false">
      <c r="A43" s="63"/>
      <c r="B43" s="63"/>
      <c r="C43" s="63"/>
      <c r="D43" s="63"/>
      <c r="E43" s="63"/>
      <c r="F43" s="63"/>
      <c r="G43" s="63"/>
    </row>
    <row r="44" customFormat="false" ht="12.75" hidden="false" customHeight="false" outlineLevel="0" collapsed="false">
      <c r="A44" s="63"/>
      <c r="B44" s="63"/>
      <c r="C44" s="63"/>
      <c r="D44" s="63"/>
      <c r="E44" s="63"/>
      <c r="F44" s="63"/>
      <c r="G44" s="63"/>
    </row>
    <row r="45" customFormat="false" ht="12.75" hidden="false" customHeight="false" outlineLevel="0" collapsed="false">
      <c r="A45" s="63"/>
      <c r="B45" s="63"/>
      <c r="C45" s="63"/>
      <c r="D45" s="63"/>
      <c r="E45" s="63"/>
      <c r="F45" s="63"/>
      <c r="G45" s="63"/>
    </row>
    <row r="46" customFormat="false" ht="12.75" hidden="false" customHeight="false" outlineLevel="0" collapsed="false">
      <c r="A46" s="63"/>
      <c r="B46" s="63"/>
      <c r="C46" s="63"/>
      <c r="D46" s="63"/>
      <c r="E46" s="63"/>
      <c r="F46" s="63"/>
      <c r="G46" s="63"/>
    </row>
    <row r="47" customFormat="false" ht="12.75" hidden="false" customHeight="false" outlineLevel="0" collapsed="false">
      <c r="A47" s="63"/>
      <c r="B47" s="63"/>
      <c r="C47" s="63"/>
      <c r="D47" s="63"/>
      <c r="E47" s="63"/>
      <c r="F47" s="63"/>
      <c r="G47" s="63"/>
    </row>
    <row r="48" customFormat="false" ht="12.75" hidden="false" customHeight="false" outlineLevel="0" collapsed="false">
      <c r="A48" s="63"/>
      <c r="B48" s="63"/>
      <c r="C48" s="63"/>
      <c r="D48" s="63"/>
      <c r="E48" s="63"/>
      <c r="F48" s="63"/>
      <c r="G48" s="63"/>
    </row>
    <row r="49" customFormat="false" ht="12.75" hidden="false" customHeight="false" outlineLevel="0" collapsed="false">
      <c r="A49" s="63"/>
      <c r="B49" s="63"/>
      <c r="C49" s="63"/>
      <c r="D49" s="63"/>
      <c r="E49" s="63"/>
      <c r="F49" s="63"/>
      <c r="G49" s="63"/>
    </row>
    <row r="50" customFormat="false" ht="12.75" hidden="false" customHeight="false" outlineLevel="0" collapsed="false">
      <c r="A50" s="63"/>
      <c r="B50" s="63"/>
      <c r="C50" s="63"/>
      <c r="D50" s="63"/>
      <c r="E50" s="63"/>
      <c r="F50" s="63"/>
      <c r="G50" s="63"/>
    </row>
    <row r="51" customFormat="false" ht="12.75" hidden="false" customHeight="false" outlineLevel="0" collapsed="false">
      <c r="A51" s="63"/>
      <c r="B51" s="63"/>
      <c r="C51" s="63"/>
      <c r="D51" s="63"/>
      <c r="E51" s="63"/>
      <c r="F51" s="63"/>
      <c r="G51" s="63"/>
    </row>
    <row r="52" customFormat="false" ht="12.75" hidden="false" customHeight="false" outlineLevel="0" collapsed="false">
      <c r="A52" s="63"/>
      <c r="B52" s="63"/>
      <c r="C52" s="63"/>
      <c r="D52" s="63"/>
      <c r="E52" s="63"/>
      <c r="F52" s="63"/>
      <c r="G52" s="63"/>
    </row>
    <row r="53" customFormat="false" ht="12.75" hidden="false" customHeight="false" outlineLevel="0" collapsed="false">
      <c r="A53" s="63"/>
      <c r="B53" s="63"/>
      <c r="C53" s="63"/>
      <c r="D53" s="63"/>
      <c r="E53" s="63"/>
      <c r="F53" s="63"/>
      <c r="G53" s="63"/>
    </row>
    <row r="54" customFormat="false" ht="12.75" hidden="false" customHeight="false" outlineLevel="0" collapsed="false">
      <c r="A54" s="63"/>
      <c r="B54" s="63"/>
      <c r="C54" s="63"/>
      <c r="D54" s="63"/>
      <c r="E54" s="63"/>
      <c r="F54" s="63"/>
      <c r="G54" s="63"/>
    </row>
    <row r="55" customFormat="false" ht="12.75" hidden="false" customHeight="false" outlineLevel="0" collapsed="false">
      <c r="A55" s="63"/>
      <c r="B55" s="63"/>
      <c r="C55" s="63"/>
      <c r="D55" s="63"/>
      <c r="E55" s="63"/>
      <c r="F55" s="63"/>
      <c r="G55" s="63"/>
    </row>
    <row r="56" customFormat="false" ht="12.75" hidden="false" customHeight="false" outlineLevel="0" collapsed="false">
      <c r="A56" s="63"/>
      <c r="B56" s="63"/>
      <c r="C56" s="63"/>
      <c r="D56" s="63"/>
      <c r="E56" s="63"/>
      <c r="F56" s="63"/>
      <c r="G56" s="63"/>
    </row>
    <row r="57" customFormat="false" ht="12.75" hidden="false" customHeight="false" outlineLevel="0" collapsed="false">
      <c r="A57" s="63"/>
      <c r="B57" s="63"/>
      <c r="C57" s="63"/>
      <c r="D57" s="63"/>
      <c r="E57" s="63"/>
      <c r="F57" s="63"/>
      <c r="G57" s="63"/>
    </row>
    <row r="58" customFormat="false" ht="12.75" hidden="false" customHeight="false" outlineLevel="0" collapsed="false">
      <c r="A58" s="63"/>
      <c r="B58" s="63"/>
      <c r="C58" s="63"/>
      <c r="D58" s="63"/>
      <c r="E58" s="63"/>
      <c r="F58" s="63"/>
      <c r="G58" s="63"/>
    </row>
    <row r="59" customFormat="false" ht="12.75" hidden="false" customHeight="false" outlineLevel="0" collapsed="false">
      <c r="A59" s="63"/>
      <c r="B59" s="63"/>
      <c r="C59" s="63"/>
      <c r="D59" s="63"/>
      <c r="E59" s="63"/>
      <c r="F59" s="63"/>
      <c r="G59" s="63"/>
    </row>
    <row r="60" customFormat="false" ht="12.75" hidden="false" customHeight="false" outlineLevel="0" collapsed="false">
      <c r="A60" s="63"/>
      <c r="B60" s="63"/>
      <c r="C60" s="63"/>
      <c r="D60" s="63"/>
      <c r="E60" s="63"/>
      <c r="F60" s="63"/>
      <c r="G60" s="63"/>
    </row>
    <row r="61" customFormat="false" ht="12.75" hidden="false" customHeight="false" outlineLevel="0" collapsed="false">
      <c r="A61" s="63"/>
      <c r="B61" s="63"/>
      <c r="C61" s="63"/>
      <c r="D61" s="63"/>
      <c r="E61" s="63"/>
      <c r="F61" s="63"/>
      <c r="G61" s="63"/>
    </row>
    <row r="62" customFormat="false" ht="12.75" hidden="false" customHeight="false" outlineLevel="0" collapsed="false">
      <c r="A62" s="63"/>
      <c r="B62" s="63"/>
      <c r="C62" s="63"/>
      <c r="D62" s="63"/>
      <c r="E62" s="63"/>
      <c r="F62" s="63"/>
      <c r="G62" s="63"/>
    </row>
    <row r="63" customFormat="false" ht="12.75" hidden="false" customHeight="false" outlineLevel="0" collapsed="false">
      <c r="A63" s="63"/>
      <c r="B63" s="63"/>
      <c r="C63" s="63"/>
      <c r="D63" s="63"/>
      <c r="E63" s="63"/>
      <c r="F63" s="63"/>
      <c r="G63" s="63"/>
    </row>
    <row r="64" customFormat="false" ht="12.75" hidden="false" customHeight="false" outlineLevel="0" collapsed="false">
      <c r="A64" s="63"/>
      <c r="B64" s="63"/>
      <c r="C64" s="63"/>
      <c r="D64" s="63"/>
      <c r="E64" s="63"/>
      <c r="F64" s="63"/>
      <c r="G64" s="63"/>
    </row>
    <row r="65" customFormat="false" ht="12.75" hidden="false" customHeight="false" outlineLevel="0" collapsed="false">
      <c r="A65" s="63"/>
      <c r="B65" s="63"/>
      <c r="C65" s="63"/>
      <c r="D65" s="63"/>
      <c r="E65" s="63"/>
      <c r="F65" s="63"/>
      <c r="G65" s="63"/>
    </row>
    <row r="66" customFormat="false" ht="12.75" hidden="false" customHeight="false" outlineLevel="0" collapsed="false">
      <c r="A66" s="63"/>
      <c r="B66" s="63"/>
      <c r="C66" s="63"/>
      <c r="D66" s="63"/>
      <c r="E66" s="63"/>
      <c r="F66" s="63"/>
      <c r="G66" s="63"/>
    </row>
    <row r="67" customFormat="false" ht="12.75" hidden="false" customHeight="false" outlineLevel="0" collapsed="false">
      <c r="A67" s="63"/>
      <c r="B67" s="63"/>
      <c r="C67" s="63"/>
      <c r="D67" s="63"/>
      <c r="E67" s="63"/>
      <c r="F67" s="63"/>
      <c r="G67" s="63"/>
    </row>
    <row r="68" customFormat="false" ht="12.75" hidden="false" customHeight="false" outlineLevel="0" collapsed="false">
      <c r="A68" s="63"/>
      <c r="B68" s="63"/>
      <c r="C68" s="63"/>
      <c r="D68" s="63"/>
      <c r="E68" s="63"/>
      <c r="F68" s="63"/>
      <c r="G68" s="63"/>
    </row>
    <row r="69" customFormat="false" ht="12.75" hidden="false" customHeight="false" outlineLevel="0" collapsed="false">
      <c r="A69" s="63"/>
      <c r="B69" s="63"/>
      <c r="C69" s="63"/>
      <c r="D69" s="63"/>
      <c r="E69" s="63"/>
      <c r="F69" s="63"/>
      <c r="G69" s="63"/>
    </row>
    <row r="70" customFormat="false" ht="12.75" hidden="false" customHeight="false" outlineLevel="0" collapsed="false">
      <c r="A70" s="63"/>
      <c r="B70" s="63"/>
      <c r="C70" s="63"/>
      <c r="D70" s="63"/>
      <c r="E70" s="63"/>
      <c r="F70" s="63"/>
      <c r="G70" s="63"/>
    </row>
    <row r="71" customFormat="false" ht="12.75" hidden="false" customHeight="false" outlineLevel="0" collapsed="false">
      <c r="A71" s="63"/>
      <c r="B71" s="63"/>
      <c r="C71" s="63"/>
      <c r="D71" s="63"/>
      <c r="E71" s="63"/>
      <c r="F71" s="63"/>
      <c r="G71" s="63"/>
    </row>
    <row r="72" customFormat="false" ht="12.75" hidden="false" customHeight="false" outlineLevel="0" collapsed="false">
      <c r="A72" s="63"/>
      <c r="B72" s="63"/>
      <c r="C72" s="63"/>
      <c r="D72" s="63"/>
      <c r="E72" s="63"/>
      <c r="F72" s="63"/>
      <c r="G72" s="63"/>
    </row>
    <row r="73" customFormat="false" ht="12.75" hidden="false" customHeight="false" outlineLevel="0" collapsed="false">
      <c r="A73" s="63"/>
      <c r="B73" s="63"/>
      <c r="C73" s="63"/>
      <c r="D73" s="63"/>
      <c r="E73" s="63"/>
      <c r="F73" s="63"/>
      <c r="G73" s="63"/>
    </row>
    <row r="74" customFormat="false" ht="12.75" hidden="false" customHeight="false" outlineLevel="0" collapsed="false">
      <c r="A74" s="63"/>
      <c r="B74" s="63"/>
      <c r="C74" s="63"/>
      <c r="D74" s="63"/>
      <c r="E74" s="63"/>
      <c r="F74" s="63"/>
      <c r="G74" s="63"/>
    </row>
    <row r="75" customFormat="false" ht="12.75" hidden="false" customHeight="false" outlineLevel="0" collapsed="false">
      <c r="A75" s="63"/>
      <c r="B75" s="63"/>
      <c r="C75" s="63"/>
      <c r="D75" s="63"/>
      <c r="E75" s="63"/>
      <c r="F75" s="63"/>
      <c r="G75" s="63"/>
    </row>
    <row r="76" customFormat="false" ht="12.75" hidden="false" customHeight="false" outlineLevel="0" collapsed="false">
      <c r="A76" s="63"/>
      <c r="B76" s="63"/>
      <c r="C76" s="63"/>
      <c r="D76" s="63"/>
      <c r="E76" s="63"/>
      <c r="F76" s="63"/>
      <c r="G76" s="63"/>
    </row>
    <row r="77" customFormat="false" ht="12.75" hidden="false" customHeight="false" outlineLevel="0" collapsed="false">
      <c r="A77" s="63"/>
      <c r="B77" s="63"/>
      <c r="C77" s="63"/>
      <c r="D77" s="63"/>
      <c r="E77" s="63"/>
      <c r="F77" s="63"/>
      <c r="G77" s="63"/>
    </row>
    <row r="78" customFormat="false" ht="12.75" hidden="false" customHeight="false" outlineLevel="0" collapsed="false">
      <c r="A78" s="63"/>
      <c r="B78" s="63"/>
      <c r="C78" s="63"/>
      <c r="D78" s="63"/>
      <c r="E78" s="63"/>
      <c r="F78" s="63"/>
      <c r="G78" s="63"/>
    </row>
    <row r="79" customFormat="false" ht="12.75" hidden="false" customHeight="false" outlineLevel="0" collapsed="false">
      <c r="A79" s="63"/>
      <c r="B79" s="63"/>
      <c r="C79" s="63"/>
      <c r="D79" s="63"/>
      <c r="E79" s="63"/>
      <c r="F79" s="63"/>
      <c r="G79" s="63"/>
    </row>
    <row r="80" customFormat="false" ht="12.75" hidden="false" customHeight="false" outlineLevel="0" collapsed="false">
      <c r="A80" s="63"/>
      <c r="B80" s="63"/>
      <c r="C80" s="63"/>
      <c r="D80" s="63"/>
      <c r="E80" s="63"/>
      <c r="F80" s="63"/>
      <c r="G80" s="63"/>
    </row>
    <row r="81" customFormat="false" ht="12.75" hidden="false" customHeight="false" outlineLevel="0" collapsed="false">
      <c r="A81" s="63"/>
      <c r="B81" s="63"/>
      <c r="C81" s="63"/>
      <c r="D81" s="63"/>
      <c r="E81" s="63"/>
      <c r="F81" s="63"/>
      <c r="G81" s="63"/>
    </row>
    <row r="82" customFormat="false" ht="12.75" hidden="false" customHeight="false" outlineLevel="0" collapsed="false">
      <c r="A82" s="63"/>
      <c r="B82" s="63"/>
      <c r="C82" s="63"/>
      <c r="D82" s="63"/>
      <c r="E82" s="63"/>
      <c r="F82" s="63"/>
      <c r="G82" s="63"/>
    </row>
    <row r="83" customFormat="false" ht="12.75" hidden="false" customHeight="false" outlineLevel="0" collapsed="false">
      <c r="A83" s="63"/>
      <c r="B83" s="63"/>
      <c r="C83" s="63"/>
      <c r="D83" s="63"/>
      <c r="E83" s="63"/>
      <c r="F83" s="63"/>
      <c r="G83" s="63"/>
    </row>
    <row r="84" customFormat="false" ht="12.75" hidden="false" customHeight="false" outlineLevel="0" collapsed="false">
      <c r="A84" s="63"/>
      <c r="B84" s="63"/>
      <c r="C84" s="63"/>
      <c r="D84" s="63"/>
      <c r="E84" s="63"/>
      <c r="F84" s="63"/>
      <c r="G84" s="63"/>
    </row>
    <row r="85" customFormat="false" ht="12.75" hidden="false" customHeight="false" outlineLevel="0" collapsed="false">
      <c r="A85" s="63"/>
      <c r="B85" s="63"/>
      <c r="C85" s="63"/>
      <c r="D85" s="63"/>
      <c r="E85" s="63"/>
      <c r="F85" s="63"/>
      <c r="G85" s="63"/>
    </row>
    <row r="86" customFormat="false" ht="12.75" hidden="false" customHeight="false" outlineLevel="0" collapsed="false">
      <c r="A86" s="63"/>
      <c r="B86" s="63"/>
      <c r="C86" s="63"/>
      <c r="D86" s="63"/>
      <c r="E86" s="63"/>
      <c r="F86" s="63"/>
      <c r="G86" s="63"/>
    </row>
    <row r="87" customFormat="false" ht="12.75" hidden="false" customHeight="false" outlineLevel="0" collapsed="false">
      <c r="A87" s="63"/>
      <c r="B87" s="63"/>
      <c r="C87" s="63"/>
      <c r="D87" s="63"/>
      <c r="E87" s="63"/>
      <c r="F87" s="63"/>
      <c r="G87" s="63"/>
    </row>
    <row r="88" customFormat="false" ht="12.75" hidden="false" customHeight="false" outlineLevel="0" collapsed="false">
      <c r="A88" s="63"/>
      <c r="B88" s="63"/>
      <c r="C88" s="63"/>
      <c r="D88" s="63"/>
      <c r="E88" s="63"/>
      <c r="F88" s="63"/>
      <c r="G88" s="63"/>
    </row>
    <row r="89" customFormat="false" ht="12.75" hidden="false" customHeight="false" outlineLevel="0" collapsed="false">
      <c r="A89" s="63"/>
      <c r="B89" s="63"/>
      <c r="C89" s="63"/>
      <c r="D89" s="63"/>
      <c r="E89" s="63"/>
      <c r="F89" s="63"/>
      <c r="G89" s="63"/>
    </row>
    <row r="90" customFormat="false" ht="12.75" hidden="false" customHeight="false" outlineLevel="0" collapsed="false">
      <c r="A90" s="63"/>
      <c r="B90" s="63"/>
      <c r="C90" s="63"/>
      <c r="D90" s="63"/>
      <c r="E90" s="63"/>
      <c r="F90" s="63"/>
      <c r="G90" s="63"/>
    </row>
    <row r="91" customFormat="false" ht="12.75" hidden="false" customHeight="false" outlineLevel="0" collapsed="false">
      <c r="A91" s="63"/>
      <c r="B91" s="63"/>
      <c r="C91" s="63"/>
      <c r="D91" s="63"/>
      <c r="E91" s="63"/>
      <c r="F91" s="63"/>
      <c r="G91" s="63"/>
    </row>
    <row r="92" customFormat="false" ht="12.75" hidden="false" customHeight="false" outlineLevel="0" collapsed="false">
      <c r="A92" s="63"/>
      <c r="B92" s="63"/>
      <c r="C92" s="63"/>
      <c r="D92" s="63"/>
      <c r="E92" s="63"/>
      <c r="F92" s="63"/>
      <c r="G92" s="63"/>
    </row>
    <row r="93" customFormat="false" ht="12.75" hidden="false" customHeight="false" outlineLevel="0" collapsed="false">
      <c r="A93" s="63"/>
      <c r="B93" s="63"/>
      <c r="C93" s="63"/>
      <c r="D93" s="63"/>
      <c r="E93" s="63"/>
      <c r="F93" s="63"/>
      <c r="G93" s="63"/>
    </row>
    <row r="94" customFormat="false" ht="12.75" hidden="false" customHeight="false" outlineLevel="0" collapsed="false">
      <c r="A94" s="63"/>
      <c r="B94" s="63"/>
      <c r="C94" s="63"/>
      <c r="D94" s="63"/>
      <c r="E94" s="63"/>
      <c r="F94" s="63"/>
      <c r="G94" s="63"/>
    </row>
    <row r="95" customFormat="false" ht="12.75" hidden="false" customHeight="false" outlineLevel="0" collapsed="false">
      <c r="A95" s="63"/>
      <c r="B95" s="63"/>
      <c r="C95" s="63"/>
      <c r="D95" s="63"/>
      <c r="E95" s="63"/>
      <c r="F95" s="63"/>
      <c r="G95" s="63"/>
    </row>
    <row r="96" customFormat="false" ht="12.75" hidden="false" customHeight="false" outlineLevel="0" collapsed="false">
      <c r="A96" s="63"/>
      <c r="B96" s="63"/>
      <c r="C96" s="63"/>
      <c r="D96" s="63"/>
      <c r="E96" s="63"/>
      <c r="F96" s="63"/>
      <c r="G96" s="63"/>
    </row>
    <row r="97" customFormat="false" ht="12.75" hidden="false" customHeight="false" outlineLevel="0" collapsed="false">
      <c r="A97" s="63"/>
      <c r="B97" s="63"/>
      <c r="C97" s="63"/>
      <c r="D97" s="63"/>
      <c r="E97" s="63"/>
      <c r="F97" s="63"/>
      <c r="G97" s="63"/>
    </row>
    <row r="98" customFormat="false" ht="12.75" hidden="false" customHeight="false" outlineLevel="0" collapsed="false">
      <c r="A98" s="63"/>
      <c r="B98" s="63"/>
      <c r="C98" s="63"/>
      <c r="D98" s="63"/>
      <c r="E98" s="63"/>
      <c r="F98" s="63"/>
      <c r="G98" s="63"/>
    </row>
    <row r="99" customFormat="false" ht="12.75" hidden="false" customHeight="false" outlineLevel="0" collapsed="false">
      <c r="A99" s="63"/>
      <c r="B99" s="63"/>
      <c r="C99" s="63"/>
      <c r="D99" s="63"/>
      <c r="E99" s="63"/>
      <c r="F99" s="63"/>
      <c r="G99" s="63"/>
    </row>
    <row r="100" customFormat="false" ht="12.75" hidden="false" customHeight="false" outlineLevel="0" collapsed="false">
      <c r="A100" s="63"/>
      <c r="B100" s="63"/>
      <c r="C100" s="63"/>
      <c r="D100" s="63"/>
      <c r="E100" s="63"/>
      <c r="F100" s="63"/>
      <c r="G100" s="63"/>
    </row>
    <row r="101" customFormat="false" ht="12.75" hidden="false" customHeight="false" outlineLevel="0" collapsed="false">
      <c r="A101" s="63"/>
      <c r="B101" s="63"/>
      <c r="C101" s="63"/>
      <c r="D101" s="63"/>
      <c r="E101" s="63"/>
      <c r="F101" s="63"/>
      <c r="G101" s="63"/>
    </row>
    <row r="102" customFormat="false" ht="12.75" hidden="false" customHeight="false" outlineLevel="0" collapsed="false">
      <c r="A102" s="63"/>
      <c r="B102" s="63"/>
      <c r="C102" s="63"/>
      <c r="D102" s="63"/>
      <c r="E102" s="63"/>
      <c r="F102" s="63"/>
      <c r="G102" s="63"/>
    </row>
    <row r="103" customFormat="false" ht="12.75" hidden="false" customHeight="false" outlineLevel="0" collapsed="false">
      <c r="A103" s="63"/>
      <c r="B103" s="63"/>
      <c r="C103" s="63"/>
      <c r="D103" s="63"/>
      <c r="E103" s="63"/>
      <c r="F103" s="63"/>
      <c r="G103" s="63"/>
    </row>
    <row r="104" customFormat="false" ht="12.75" hidden="false" customHeight="false" outlineLevel="0" collapsed="false">
      <c r="A104" s="63"/>
      <c r="B104" s="63"/>
      <c r="C104" s="63"/>
      <c r="D104" s="63"/>
      <c r="E104" s="63"/>
      <c r="F104" s="63"/>
      <c r="G104" s="63"/>
    </row>
    <row r="105" customFormat="false" ht="12.75" hidden="false" customHeight="false" outlineLevel="0" collapsed="false">
      <c r="A105" s="63"/>
      <c r="B105" s="63"/>
      <c r="C105" s="63"/>
      <c r="D105" s="63"/>
      <c r="E105" s="63"/>
      <c r="F105" s="63"/>
      <c r="G105" s="63"/>
    </row>
  </sheetData>
  <mergeCells count="19">
    <mergeCell ref="A1:G1"/>
    <mergeCell ref="A2:G2"/>
    <mergeCell ref="A3:G3"/>
    <mergeCell ref="A4:G4"/>
    <mergeCell ref="A5:G5"/>
    <mergeCell ref="A6:G6"/>
    <mergeCell ref="D7:G7"/>
    <mergeCell ref="A8:G8"/>
    <mergeCell ref="A9:A10"/>
    <mergeCell ref="B9:B10"/>
    <mergeCell ref="C9:C10"/>
    <mergeCell ref="D9:D10"/>
    <mergeCell ref="E9:F9"/>
    <mergeCell ref="G9:G10"/>
    <mergeCell ref="A20:D20"/>
    <mergeCell ref="A22:C22"/>
    <mergeCell ref="E22:G22"/>
    <mergeCell ref="A28:C28"/>
    <mergeCell ref="E28:G28"/>
  </mergeCells>
  <printOptions headings="false" gridLines="false" gridLinesSet="true" horizontalCentered="false" verticalCentered="false"/>
  <pageMargins left="0.7" right="0.159722222222222" top="0.50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6"/>
  <sheetViews>
    <sheetView showFormulas="false" showGridLines="tru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D43" activeCellId="0" sqref="D4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8"/>
    <col collapsed="false" customWidth="true" hidden="false" outlineLevel="0" max="3" min="3" style="1" width="14.86"/>
    <col collapsed="false" customWidth="true" hidden="false" outlineLevel="0" max="4" min="4" style="1" width="11.71"/>
    <col collapsed="false" customWidth="true" hidden="false" outlineLevel="0" max="7" min="7" style="1" width="11.71"/>
    <col collapsed="false" customWidth="true" hidden="false" outlineLevel="0" max="10" min="10" style="1" width="11.85"/>
    <col collapsed="false" customWidth="true" hidden="false" outlineLevel="0" max="13" min="13" style="1" width="11.85"/>
  </cols>
  <sheetData>
    <row r="1" customFormat="false" ht="20.25" hidden="false" customHeight="true" outlineLevel="0" collapsed="false">
      <c r="A1" s="3" t="s">
        <v>27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customFormat="false" ht="15.75" hidden="false" customHeight="true" outlineLevel="0" collapsed="false">
      <c r="A2" s="5" t="str">
        <f>"Kèm theo BBNT số: "&amp;VLOOKUP(AZ2,'[1]Tuyến XB6A'!$A$2:$G$60,7,0)&amp;VLOOKUP(AZ2,'[1]Tuyến XB6A'!$A$2:$G$60,4,0)</f>
        <v xml:space="preserve">Kèm theo BBNT số: 20.NĐXB6A/CVXD ngày 04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AZ2">
        <v>20</v>
      </c>
    </row>
    <row r="3" customFormat="false" ht="18.75" hidden="false" customHeight="true" outlineLevel="0" collapsed="false">
      <c r="A3" s="6" t="s">
        <v>29</v>
      </c>
      <c r="B3" s="7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8"/>
    </row>
    <row r="4" customFormat="false" ht="18.75" hidden="false" customHeight="true" outlineLevel="0" collapsed="false">
      <c r="A4" s="6" t="s">
        <v>30</v>
      </c>
      <c r="B4" s="7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8"/>
    </row>
    <row r="5" customFormat="false" ht="18.75" hidden="false" customHeight="true" outlineLevel="0" collapsed="false">
      <c r="A5" s="6" t="s">
        <v>31</v>
      </c>
      <c r="B5" s="7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8"/>
    </row>
    <row r="6" customFormat="false" ht="18.75" hidden="false" customHeight="true" outlineLevel="0" collapsed="false">
      <c r="A6" s="6" t="s">
        <v>32</v>
      </c>
      <c r="B6" s="7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8"/>
    </row>
    <row r="7" customFormat="false" ht="18.75" hidden="false" customHeight="true" outlineLevel="0" collapsed="false">
      <c r="A7" s="9" t="s">
        <v>33</v>
      </c>
      <c r="B7" s="7"/>
      <c r="C7" s="6"/>
      <c r="D7" s="6" t="str">
        <f>VLOOKUP(AZ2,'[1]Tuyến XB6A'!$A$2:$B$60,2,0)</f>
        <v xml:space="preserve">Đắp đất lề đường lớp 2, độ chặt K&gt;=0,95 đoạn từ Km0+000,00 - Km0+126,46</v>
      </c>
      <c r="E7" s="7"/>
      <c r="F7" s="6"/>
      <c r="G7" s="6"/>
      <c r="H7" s="7"/>
      <c r="I7" s="6"/>
      <c r="J7" s="6"/>
      <c r="K7" s="6"/>
      <c r="L7" s="6"/>
      <c r="M7" s="6"/>
      <c r="N7" s="6"/>
      <c r="O7" s="6"/>
      <c r="P7" s="6"/>
      <c r="Q7" s="8"/>
    </row>
    <row r="8" customFormat="false" ht="18.75" hidden="false" customHeight="true" outlineLevel="0" collapsed="false">
      <c r="A8" s="9" t="s">
        <v>35</v>
      </c>
      <c r="B8" s="7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8"/>
    </row>
    <row r="18" customFormat="false" ht="9" hidden="false" customHeight="true" outlineLevel="0" collapsed="false"/>
    <row r="19" customFormat="false" ht="15" hidden="false" customHeight="true" outlineLevel="0" collapsed="false">
      <c r="A19" s="10" t="s">
        <v>36</v>
      </c>
      <c r="B19" s="10" t="s">
        <v>37</v>
      </c>
      <c r="C19" s="10" t="s">
        <v>38</v>
      </c>
      <c r="D19" s="11" t="s">
        <v>39</v>
      </c>
      <c r="E19" s="11"/>
      <c r="F19" s="11"/>
      <c r="G19" s="11" t="s">
        <v>40</v>
      </c>
      <c r="H19" s="11"/>
      <c r="I19" s="11"/>
      <c r="J19" s="11" t="s">
        <v>41</v>
      </c>
      <c r="K19" s="11"/>
      <c r="L19" s="11"/>
      <c r="M19" s="11" t="s">
        <v>42</v>
      </c>
      <c r="N19" s="11"/>
      <c r="O19" s="11"/>
      <c r="P19" s="10" t="s">
        <v>43</v>
      </c>
    </row>
    <row r="20" customFormat="false" ht="33" hidden="false" customHeight="true" outlineLevel="0" collapsed="false">
      <c r="A20" s="10"/>
      <c r="B20" s="10"/>
      <c r="C20" s="10"/>
      <c r="D20" s="11" t="s">
        <v>44</v>
      </c>
      <c r="E20" s="11" t="s">
        <v>45</v>
      </c>
      <c r="F20" s="11" t="s">
        <v>46</v>
      </c>
      <c r="G20" s="11" t="s">
        <v>44</v>
      </c>
      <c r="H20" s="11" t="s">
        <v>45</v>
      </c>
      <c r="I20" s="11" t="s">
        <v>46</v>
      </c>
      <c r="J20" s="11" t="s">
        <v>44</v>
      </c>
      <c r="K20" s="11" t="s">
        <v>45</v>
      </c>
      <c r="L20" s="11" t="s">
        <v>46</v>
      </c>
      <c r="M20" s="11" t="s">
        <v>44</v>
      </c>
      <c r="N20" s="11" t="s">
        <v>45</v>
      </c>
      <c r="O20" s="11" t="s">
        <v>46</v>
      </c>
      <c r="P20" s="10"/>
    </row>
    <row r="21" customFormat="false" ht="15" hidden="false" customHeight="false" outlineLevel="0" collapsed="false">
      <c r="A21" s="13" t="n">
        <v>1</v>
      </c>
      <c r="B21" s="14" t="s">
        <v>17</v>
      </c>
      <c r="C21" s="15" t="n">
        <v>0</v>
      </c>
      <c r="D21" s="16" t="n">
        <f aca="false">Chạy!G4</f>
        <v>2.34</v>
      </c>
      <c r="E21" s="16" t="n">
        <f aca="false">D21+F21</f>
        <v>2.312</v>
      </c>
      <c r="F21" s="16" t="n">
        <f aca="false">RANDBETWEEN(-30,100)/1000</f>
        <v>-0.028</v>
      </c>
      <c r="G21" s="16" t="n">
        <f aca="false">Chạy!I4</f>
        <v>2.34</v>
      </c>
      <c r="H21" s="16" t="n">
        <f aca="false">G21+I21</f>
        <v>2.415</v>
      </c>
      <c r="I21" s="16" t="n">
        <f aca="false">RANDBETWEEN(-30,100)/1000</f>
        <v>0.075</v>
      </c>
      <c r="J21" s="16" t="n">
        <f aca="false">Chạy!M8</f>
        <v>2.34</v>
      </c>
      <c r="K21" s="16" t="n">
        <f aca="false">J21+L21</f>
        <v>2.403</v>
      </c>
      <c r="L21" s="16" t="n">
        <f aca="false">RANDBETWEEN(-30,100)/1000</f>
        <v>0.063</v>
      </c>
      <c r="M21" s="16" t="n">
        <f aca="false">Chạy!O8</f>
        <v>2.34</v>
      </c>
      <c r="N21" s="16" t="n">
        <f aca="false">M21+O21</f>
        <v>2.414</v>
      </c>
      <c r="O21" s="16" t="n">
        <f aca="false">RANDBETWEEN(-30,100)/1000</f>
        <v>0.074</v>
      </c>
      <c r="P21" s="17"/>
      <c r="Q21" s="18" t="n">
        <v>19.63</v>
      </c>
    </row>
    <row r="22" customFormat="false" ht="15" hidden="false" customHeight="false" outlineLevel="0" collapsed="false">
      <c r="A22" s="13" t="n">
        <v>2</v>
      </c>
      <c r="B22" s="14" t="s">
        <v>19</v>
      </c>
      <c r="C22" s="15" t="n">
        <f aca="false">C21+Q21</f>
        <v>19.63</v>
      </c>
      <c r="D22" s="16" t="n">
        <f aca="false">Chạy!G12</f>
        <v>2.34</v>
      </c>
      <c r="E22" s="16" t="n">
        <f aca="false">D22+F22</f>
        <v>2.318</v>
      </c>
      <c r="F22" s="16" t="n">
        <f aca="false">RANDBETWEEN(-30,100)/1000</f>
        <v>-0.022</v>
      </c>
      <c r="G22" s="16" t="n">
        <f aca="false">Chạy!I12</f>
        <v>2.34</v>
      </c>
      <c r="H22" s="16" t="n">
        <f aca="false">G22+I22</f>
        <v>2.325</v>
      </c>
      <c r="I22" s="16" t="n">
        <f aca="false">RANDBETWEEN(-30,100)/1000</f>
        <v>-0.015</v>
      </c>
      <c r="J22" s="16" t="n">
        <f aca="false">Chạy!M16</f>
        <v>2.34</v>
      </c>
      <c r="K22" s="16" t="n">
        <f aca="false">J22+L22</f>
        <v>2.434</v>
      </c>
      <c r="L22" s="16" t="n">
        <f aca="false">RANDBETWEEN(-30,100)/1000</f>
        <v>0.094</v>
      </c>
      <c r="M22" s="16" t="n">
        <f aca="false">Chạy!O16</f>
        <v>2.34</v>
      </c>
      <c r="N22" s="16" t="n">
        <f aca="false">M22+O22</f>
        <v>2.399</v>
      </c>
      <c r="O22" s="16" t="n">
        <f aca="false">RANDBETWEEN(-30,100)/1000</f>
        <v>0.059</v>
      </c>
      <c r="P22" s="17"/>
      <c r="Q22" s="18" t="n">
        <v>17.17</v>
      </c>
    </row>
    <row r="23" customFormat="false" ht="15" hidden="false" customHeight="false" outlineLevel="0" collapsed="false">
      <c r="A23" s="13" t="n">
        <v>3</v>
      </c>
      <c r="B23" s="14" t="s">
        <v>20</v>
      </c>
      <c r="C23" s="15" t="n">
        <f aca="false">C22+Q22</f>
        <v>36.8</v>
      </c>
      <c r="D23" s="16" t="n">
        <f aca="false">Chạy!G20</f>
        <v>2.35</v>
      </c>
      <c r="E23" s="16" t="n">
        <f aca="false">D23+F23</f>
        <v>2.377</v>
      </c>
      <c r="F23" s="16" t="n">
        <f aca="false">RANDBETWEEN(-30,100)/1000</f>
        <v>0.027</v>
      </c>
      <c r="G23" s="16" t="n">
        <f aca="false">Chạy!I20</f>
        <v>2.35</v>
      </c>
      <c r="H23" s="16" t="n">
        <f aca="false">G23+I23</f>
        <v>2.45</v>
      </c>
      <c r="I23" s="16" t="n">
        <f aca="false">RANDBETWEEN(-30,100)/1000</f>
        <v>0.1</v>
      </c>
      <c r="J23" s="16" t="n">
        <f aca="false">Chạy!M24</f>
        <v>2.35</v>
      </c>
      <c r="K23" s="16" t="n">
        <f aca="false">J23+L23</f>
        <v>2.326</v>
      </c>
      <c r="L23" s="16" t="n">
        <f aca="false">RANDBETWEEN(-30,100)/1000</f>
        <v>-0.024</v>
      </c>
      <c r="M23" s="16" t="n">
        <f aca="false">Chạy!O24</f>
        <v>2.35</v>
      </c>
      <c r="N23" s="16" t="n">
        <f aca="false">M23+O23</f>
        <v>2.355</v>
      </c>
      <c r="O23" s="16" t="n">
        <f aca="false">RANDBETWEEN(-30,100)/1000</f>
        <v>0.005</v>
      </c>
      <c r="P23" s="17"/>
      <c r="Q23" s="18" t="n">
        <v>17.18</v>
      </c>
    </row>
    <row r="24" customFormat="false" ht="15" hidden="false" customHeight="false" outlineLevel="0" collapsed="false">
      <c r="A24" s="13" t="n">
        <v>4</v>
      </c>
      <c r="B24" s="14" t="s">
        <v>21</v>
      </c>
      <c r="C24" s="15" t="n">
        <f aca="false">C23+Q23</f>
        <v>53.98</v>
      </c>
      <c r="D24" s="16" t="n">
        <f aca="false">Chạy!G28</f>
        <v>2.36</v>
      </c>
      <c r="E24" s="16" t="n">
        <f aca="false">D24+F24</f>
        <v>2.414</v>
      </c>
      <c r="F24" s="16" t="n">
        <f aca="false">RANDBETWEEN(-30,100)/1000</f>
        <v>0.054</v>
      </c>
      <c r="G24" s="16" t="n">
        <f aca="false">Chạy!I28</f>
        <v>2.36</v>
      </c>
      <c r="H24" s="16" t="n">
        <f aca="false">G24+I24</f>
        <v>2.404</v>
      </c>
      <c r="I24" s="16" t="n">
        <f aca="false">RANDBETWEEN(-30,100)/1000</f>
        <v>0.044</v>
      </c>
      <c r="J24" s="16" t="n">
        <f aca="false">Chạy!M32</f>
        <v>2.36</v>
      </c>
      <c r="K24" s="16" t="n">
        <f aca="false">J24+L24</f>
        <v>2.42</v>
      </c>
      <c r="L24" s="16" t="n">
        <f aca="false">RANDBETWEEN(-30,100)/1000</f>
        <v>0.06</v>
      </c>
      <c r="M24" s="16" t="n">
        <f aca="false">Chạy!O32</f>
        <v>2.36</v>
      </c>
      <c r="N24" s="16" t="n">
        <f aca="false">M24+O24</f>
        <v>2.359</v>
      </c>
      <c r="O24" s="16" t="n">
        <f aca="false">RANDBETWEEN(-30,100)/1000</f>
        <v>-0.001</v>
      </c>
      <c r="P24" s="17"/>
      <c r="Q24" s="18" t="n">
        <v>12.97</v>
      </c>
    </row>
    <row r="25" customFormat="false" ht="15" hidden="false" customHeight="false" outlineLevel="0" collapsed="false">
      <c r="A25" s="13" t="n">
        <v>5</v>
      </c>
      <c r="B25" s="14" t="s">
        <v>22</v>
      </c>
      <c r="C25" s="15" t="n">
        <f aca="false">C24+Q24</f>
        <v>66.95</v>
      </c>
      <c r="D25" s="16" t="n">
        <f aca="false">Chạy!G36</f>
        <v>2.36</v>
      </c>
      <c r="E25" s="16" t="n">
        <f aca="false">D25+F25</f>
        <v>2.389</v>
      </c>
      <c r="F25" s="16" t="n">
        <f aca="false">RANDBETWEEN(-30,100)/1000</f>
        <v>0.029</v>
      </c>
      <c r="G25" s="16" t="n">
        <f aca="false">Chạy!I36</f>
        <v>2.36</v>
      </c>
      <c r="H25" s="16" t="n">
        <f aca="false">G25+I25</f>
        <v>2.441</v>
      </c>
      <c r="I25" s="16" t="n">
        <f aca="false">RANDBETWEEN(-30,100)/1000</f>
        <v>0.081</v>
      </c>
      <c r="J25" s="16" t="n">
        <f aca="false">Chạy!M40</f>
        <v>2.36</v>
      </c>
      <c r="K25" s="16" t="n">
        <f aca="false">J25+L25</f>
        <v>2.392</v>
      </c>
      <c r="L25" s="16" t="n">
        <f aca="false">RANDBETWEEN(-30,100)/1000</f>
        <v>0.032</v>
      </c>
      <c r="M25" s="16" t="n">
        <f aca="false">Chạy!O40</f>
        <v>2.36</v>
      </c>
      <c r="N25" s="16" t="n">
        <f aca="false">M25+O25</f>
        <v>2.393</v>
      </c>
      <c r="O25" s="16" t="n">
        <f aca="false">RANDBETWEEN(-30,100)/1000</f>
        <v>0.033</v>
      </c>
      <c r="P25" s="17"/>
      <c r="Q25" s="18" t="n">
        <v>10.68</v>
      </c>
    </row>
    <row r="26" customFormat="false" ht="15" hidden="false" customHeight="false" outlineLevel="0" collapsed="false">
      <c r="A26" s="13" t="n">
        <v>6</v>
      </c>
      <c r="B26" s="14" t="s">
        <v>23</v>
      </c>
      <c r="C26" s="15" t="n">
        <f aca="false">C25+Q25</f>
        <v>77.63</v>
      </c>
      <c r="D26" s="16" t="n">
        <f aca="false">Chạy!G44</f>
        <v>2.37</v>
      </c>
      <c r="E26" s="16" t="n">
        <f aca="false">D26+F26</f>
        <v>2.436</v>
      </c>
      <c r="F26" s="16" t="n">
        <f aca="false">RANDBETWEEN(-30,100)/1000</f>
        <v>0.066</v>
      </c>
      <c r="G26" s="16" t="n">
        <f aca="false">Chạy!I44</f>
        <v>2.37</v>
      </c>
      <c r="H26" s="16" t="n">
        <f aca="false">G26+I26</f>
        <v>2.448</v>
      </c>
      <c r="I26" s="16" t="n">
        <f aca="false">RANDBETWEEN(-30,100)/1000</f>
        <v>0.078</v>
      </c>
      <c r="J26" s="16" t="n">
        <f aca="false">Chạy!M48</f>
        <v>2.37</v>
      </c>
      <c r="K26" s="16" t="n">
        <f aca="false">J26+L26</f>
        <v>2.413</v>
      </c>
      <c r="L26" s="16" t="n">
        <f aca="false">RANDBETWEEN(-30,100)/1000</f>
        <v>0.043</v>
      </c>
      <c r="M26" s="16" t="n">
        <f aca="false">Chạy!O48</f>
        <v>2.37</v>
      </c>
      <c r="N26" s="16" t="n">
        <f aca="false">M26+O26</f>
        <v>2.404</v>
      </c>
      <c r="O26" s="16" t="n">
        <f aca="false">RANDBETWEEN(-30,100)/1000</f>
        <v>0.034</v>
      </c>
      <c r="P26" s="17"/>
      <c r="Q26" s="18" t="n">
        <v>17.17</v>
      </c>
    </row>
    <row r="27" customFormat="false" ht="15" hidden="false" customHeight="false" outlineLevel="0" collapsed="false">
      <c r="A27" s="13" t="n">
        <v>7</v>
      </c>
      <c r="B27" s="14" t="s">
        <v>24</v>
      </c>
      <c r="C27" s="15" t="n">
        <f aca="false">C26+Q26</f>
        <v>94.8</v>
      </c>
      <c r="D27" s="16" t="n">
        <f aca="false">Chạy!G52</f>
        <v>2.38</v>
      </c>
      <c r="E27" s="16" t="n">
        <f aca="false">D27+F27</f>
        <v>2.385</v>
      </c>
      <c r="F27" s="16" t="n">
        <f aca="false">RANDBETWEEN(-30,100)/1000</f>
        <v>0.005</v>
      </c>
      <c r="G27" s="16" t="n">
        <f aca="false">Chạy!I52</f>
        <v>2.38</v>
      </c>
      <c r="H27" s="16" t="n">
        <f aca="false">G27+I27</f>
        <v>2.48</v>
      </c>
      <c r="I27" s="16" t="n">
        <f aca="false">RANDBETWEEN(-30,100)/1000</f>
        <v>0.1</v>
      </c>
      <c r="J27" s="16" t="n">
        <f aca="false">Chạy!M56</f>
        <v>2.38</v>
      </c>
      <c r="K27" s="16" t="n">
        <f aca="false">J27+L27</f>
        <v>2.422</v>
      </c>
      <c r="L27" s="16" t="n">
        <f aca="false">RANDBETWEEN(-30,100)/1000</f>
        <v>0.042</v>
      </c>
      <c r="M27" s="16" t="n">
        <f aca="false">Chạy!O56</f>
        <v>2.38</v>
      </c>
      <c r="N27" s="16" t="n">
        <f aca="false">M27+O27</f>
        <v>2.48</v>
      </c>
      <c r="O27" s="16" t="n">
        <f aca="false">RANDBETWEEN(-30,100)/1000</f>
        <v>0.1</v>
      </c>
      <c r="P27" s="17"/>
      <c r="Q27" s="18" t="n">
        <v>17.17</v>
      </c>
    </row>
    <row r="28" customFormat="false" ht="15" hidden="false" customHeight="false" outlineLevel="0" collapsed="false">
      <c r="A28" s="13" t="n">
        <v>8</v>
      </c>
      <c r="B28" s="14" t="s">
        <v>25</v>
      </c>
      <c r="C28" s="15" t="n">
        <f aca="false">C27+Q27</f>
        <v>111.97</v>
      </c>
      <c r="D28" s="16" t="n">
        <f aca="false">Chạy!G60</f>
        <v>2.39</v>
      </c>
      <c r="E28" s="16" t="n">
        <f aca="false">D28+F28</f>
        <v>2.411</v>
      </c>
      <c r="F28" s="16" t="n">
        <f aca="false">RANDBETWEEN(-30,100)/1000</f>
        <v>0.021</v>
      </c>
      <c r="G28" s="16" t="n">
        <f aca="false">Chạy!I60</f>
        <v>2.39</v>
      </c>
      <c r="H28" s="16" t="n">
        <f aca="false">G28+I28</f>
        <v>2.388</v>
      </c>
      <c r="I28" s="16" t="n">
        <f aca="false">RANDBETWEEN(-30,100)/1000</f>
        <v>-0.002</v>
      </c>
      <c r="J28" s="16" t="n">
        <f aca="false">Chạy!M64</f>
        <v>2.39</v>
      </c>
      <c r="K28" s="16" t="n">
        <f aca="false">J28+L28</f>
        <v>2.423</v>
      </c>
      <c r="L28" s="16" t="n">
        <f aca="false">RANDBETWEEN(-30,100)/1000</f>
        <v>0.033</v>
      </c>
      <c r="M28" s="16" t="n">
        <f aca="false">Chạy!O64</f>
        <v>2.39</v>
      </c>
      <c r="N28" s="16" t="n">
        <f aca="false">M28+O28</f>
        <v>2.448</v>
      </c>
      <c r="O28" s="16" t="n">
        <f aca="false">RANDBETWEEN(-30,100)/1000</f>
        <v>0.058</v>
      </c>
      <c r="P28" s="17"/>
      <c r="Q28" s="18" t="n">
        <v>14.49</v>
      </c>
    </row>
    <row r="29" customFormat="false" ht="15" hidden="false" customHeight="false" outlineLevel="0" collapsed="false">
      <c r="A29" s="13" t="n">
        <v>9</v>
      </c>
      <c r="B29" s="14" t="s">
        <v>26</v>
      </c>
      <c r="C29" s="15" t="n">
        <f aca="false">C28+Q28</f>
        <v>126.46</v>
      </c>
      <c r="D29" s="16" t="n">
        <f aca="false">Chạy!G68</f>
        <v>2.39</v>
      </c>
      <c r="E29" s="16" t="n">
        <f aca="false">D29+F29</f>
        <v>2.48</v>
      </c>
      <c r="F29" s="16" t="n">
        <f aca="false">RANDBETWEEN(-30,100)/1000</f>
        <v>0.09</v>
      </c>
      <c r="G29" s="16" t="n">
        <f aca="false">Chạy!I68</f>
        <v>2.39</v>
      </c>
      <c r="H29" s="16" t="n">
        <f aca="false">G29+I29</f>
        <v>2.371</v>
      </c>
      <c r="I29" s="16" t="n">
        <f aca="false">RANDBETWEEN(-30,100)/1000</f>
        <v>-0.019</v>
      </c>
      <c r="J29" s="16" t="n">
        <f aca="false">Chạy!M72</f>
        <v>2.39</v>
      </c>
      <c r="K29" s="16" t="n">
        <f aca="false">J29+L29</f>
        <v>2.471</v>
      </c>
      <c r="L29" s="16" t="n">
        <f aca="false">RANDBETWEEN(-30,100)/1000</f>
        <v>0.081</v>
      </c>
      <c r="M29" s="16" t="n">
        <f aca="false">Chạy!O72</f>
        <v>2.39</v>
      </c>
      <c r="N29" s="16" t="n">
        <f aca="false">M29+O29</f>
        <v>2.386</v>
      </c>
      <c r="O29" s="16" t="n">
        <f aca="false">RANDBETWEEN(-30,100)/1000</f>
        <v>-0.004</v>
      </c>
      <c r="P29" s="17"/>
      <c r="Q29" s="18"/>
    </row>
    <row r="31" customFormat="false" ht="15" hidden="false" customHeight="false" outlineLevel="0" collapsed="false">
      <c r="C31" s="19" t="s">
        <v>47</v>
      </c>
      <c r="D31" s="19"/>
      <c r="E31" s="19"/>
      <c r="F31" s="19"/>
      <c r="G31" s="20"/>
      <c r="H31" s="20"/>
      <c r="I31" s="20"/>
      <c r="K31" s="19" t="s">
        <v>48</v>
      </c>
      <c r="L31" s="19"/>
      <c r="M31" s="19"/>
      <c r="N31" s="19"/>
      <c r="O31" s="21"/>
    </row>
    <row r="32" customFormat="false" ht="15" hidden="false" customHeight="false" outlineLevel="0" collapsed="false">
      <c r="D32" s="22"/>
      <c r="E32" s="22"/>
      <c r="G32" s="22"/>
      <c r="H32" s="22"/>
      <c r="J32" s="22"/>
      <c r="K32" s="22"/>
      <c r="L32" s="22"/>
      <c r="M32" s="22"/>
      <c r="N32" s="22"/>
      <c r="O32" s="22"/>
    </row>
    <row r="33" customFormat="false" ht="15" hidden="false" customHeight="false" outlineLevel="0" collapsed="false">
      <c r="D33" s="22"/>
      <c r="E33" s="22"/>
      <c r="G33" s="22"/>
      <c r="H33" s="22"/>
      <c r="J33" s="22"/>
      <c r="K33" s="22"/>
      <c r="L33" s="22"/>
      <c r="M33" s="22"/>
      <c r="N33" s="22"/>
      <c r="O33" s="22"/>
    </row>
    <row r="34" customFormat="false" ht="15" hidden="false" customHeight="false" outlineLevel="0" collapsed="false">
      <c r="D34" s="22"/>
      <c r="E34" s="22"/>
      <c r="G34" s="22"/>
      <c r="H34" s="22"/>
      <c r="J34" s="22"/>
      <c r="K34" s="22"/>
      <c r="L34" s="22"/>
      <c r="M34" s="22"/>
      <c r="N34" s="22"/>
      <c r="O34" s="22"/>
    </row>
    <row r="35" customFormat="false" ht="15" hidden="false" customHeight="false" outlineLevel="0" collapsed="false">
      <c r="D35" s="22"/>
      <c r="E35" s="22"/>
      <c r="G35" s="22"/>
      <c r="H35" s="22"/>
      <c r="J35" s="22"/>
      <c r="K35" s="22"/>
      <c r="L35" s="22"/>
      <c r="M35" s="22"/>
      <c r="N35" s="22"/>
      <c r="O35" s="22"/>
    </row>
    <row r="36" customFormat="false" ht="15" hidden="false" customHeight="false" outlineLevel="0" collapsed="false">
      <c r="C36" s="19" t="s">
        <v>49</v>
      </c>
      <c r="D36" s="19"/>
      <c r="E36" s="19"/>
      <c r="F36" s="19"/>
      <c r="G36" s="20"/>
      <c r="H36" s="20"/>
      <c r="I36" s="20"/>
      <c r="J36" s="21"/>
      <c r="K36" s="19" t="s">
        <v>50</v>
      </c>
      <c r="L36" s="19"/>
      <c r="M36" s="19"/>
      <c r="N36" s="19"/>
      <c r="O36" s="21"/>
    </row>
  </sheetData>
  <mergeCells count="14">
    <mergeCell ref="A1:P1"/>
    <mergeCell ref="A2:P2"/>
    <mergeCell ref="A19:A20"/>
    <mergeCell ref="B19:B20"/>
    <mergeCell ref="C19:C20"/>
    <mergeCell ref="D19:F19"/>
    <mergeCell ref="G19:I19"/>
    <mergeCell ref="J19:L19"/>
    <mergeCell ref="M19:O19"/>
    <mergeCell ref="P19:P20"/>
    <mergeCell ref="C31:F31"/>
    <mergeCell ref="K31:N31"/>
    <mergeCell ref="C36:F36"/>
    <mergeCell ref="K36:N36"/>
  </mergeCells>
  <printOptions headings="false" gridLines="false" gridLinesSet="true" horizontalCentered="true" verticalCentered="false"/>
  <pageMargins left="0.39375" right="0.157638888888889" top="0.747916666666667" bottom="0.551388888888889" header="0.511811023622047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C105"/>
  <sheetViews>
    <sheetView showFormulas="false" showGridLines="tru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F20" activeCellId="0" sqref="F2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false" outlineLevel="0" max="5" min="5" style="24" width="15.42"/>
    <col collapsed="false" customWidth="true" hidden="false" outlineLevel="0" max="6" min="6" style="24" width="15.29"/>
    <col collapsed="false" customWidth="true" hidden="false" outlineLevel="0" max="7" min="7" style="24" width="10.29"/>
    <col collapsed="false" customWidth="true" hidden="false" outlineLevel="0" max="8" min="8" style="23" width="4.86"/>
    <col collapsed="false" customWidth="true" hidden="false" outlineLevel="0" max="9" min="9" style="23" width="10"/>
    <col collapsed="false" customWidth="true" hidden="false" outlineLevel="0" max="10" min="10" style="23" width="11.43"/>
    <col collapsed="false" customWidth="true" hidden="false" outlineLevel="0" max="12" min="11" style="23" width="10.57"/>
    <col collapsed="false" customWidth="true" hidden="false" outlineLevel="0" max="13" min="13" style="23" width="11.29"/>
    <col collapsed="false" customWidth="true" hidden="false" outlineLevel="0" max="14" min="14" style="23" width="10.57"/>
    <col collapsed="false" customWidth="true" hidden="false" outlineLevel="0" max="15" min="15" style="23" width="6.43"/>
    <col collapsed="false" customWidth="true" hidden="false" outlineLevel="0" max="16" min="16" style="23" width="10.57"/>
    <col collapsed="false" customWidth="true" hidden="false" outlineLevel="0" max="17" min="17" style="23" width="10.29"/>
    <col collapsed="false" customWidth="false" hidden="false" outlineLevel="0" max="16384" min="18" style="23" width="9.29"/>
  </cols>
  <sheetData>
    <row r="1" s="26" customFormat="true" ht="16.5" hidden="false" customHeight="true" outlineLevel="0" collapsed="false">
      <c r="A1" s="25" t="s">
        <v>51</v>
      </c>
      <c r="B1" s="25"/>
      <c r="C1" s="25"/>
      <c r="D1" s="25"/>
      <c r="E1" s="25"/>
      <c r="F1" s="25"/>
      <c r="G1" s="25"/>
    </row>
    <row r="2" s="26" customFormat="true" ht="16.5" hidden="false" customHeight="true" outlineLevel="0" collapsed="false">
      <c r="A2" s="27" t="str">
        <f>"Kèm theo BBNT số: "&amp;VLOOKUP(AZ2,'[1]Tuyến XB6A'!$A$2:$G$60,7,0)&amp;VLOOKUP(AZ2,'[1]Tuyến XB6A'!$A$2:$G$60,4,0)</f>
        <v xml:space="preserve">Kèm theo BBNT số: 20.NĐXB6A/CVXD ngày 04 tháng 09 năm 2026</v>
      </c>
      <c r="B2" s="27"/>
      <c r="C2" s="27"/>
      <c r="D2" s="27"/>
      <c r="E2" s="27"/>
      <c r="F2" s="27"/>
      <c r="G2" s="27"/>
      <c r="AZ2">
        <v>20</v>
      </c>
    </row>
    <row r="3" s="30" customFormat="true" ht="37.5" hidden="false" customHeight="true" outlineLevel="0" collapsed="false">
      <c r="A3" s="28" t="s">
        <v>29</v>
      </c>
      <c r="B3" s="28"/>
      <c r="C3" s="28"/>
      <c r="D3" s="28"/>
      <c r="E3" s="28"/>
      <c r="F3" s="28"/>
      <c r="G3" s="28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</row>
    <row r="4" s="30" customFormat="true" ht="37.5" hidden="false" customHeight="true" outlineLevel="0" collapsed="false">
      <c r="A4" s="28" t="s">
        <v>30</v>
      </c>
      <c r="B4" s="28"/>
      <c r="C4" s="28"/>
      <c r="D4" s="28"/>
      <c r="E4" s="28"/>
      <c r="F4" s="28"/>
      <c r="G4" s="28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</row>
    <row r="5" s="30" customFormat="true" ht="16.5" hidden="false" customHeight="true" outlineLevel="0" collapsed="false">
      <c r="A5" s="28" t="s">
        <v>31</v>
      </c>
      <c r="B5" s="28"/>
      <c r="C5" s="28"/>
      <c r="D5" s="28"/>
      <c r="E5" s="28"/>
      <c r="F5" s="28"/>
      <c r="G5" s="28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</row>
    <row r="6" s="30" customFormat="true" ht="16.5" hidden="false" customHeight="true" outlineLevel="0" collapsed="false">
      <c r="A6" s="28" t="s">
        <v>32</v>
      </c>
      <c r="B6" s="28"/>
      <c r="C6" s="28"/>
      <c r="D6" s="28"/>
      <c r="E6" s="28"/>
      <c r="F6" s="28"/>
      <c r="G6" s="28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</row>
    <row r="7" s="30" customFormat="true" ht="34.5" hidden="false" customHeight="true" outlineLevel="0" collapsed="false">
      <c r="A7" s="31" t="s">
        <v>33</v>
      </c>
      <c r="B7" s="32"/>
      <c r="C7" s="33"/>
      <c r="D7" s="34" t="str">
        <f>VLOOKUP(AZ2,'[1]Tuyến XB6A'!$A$2:$B$60,2,0)</f>
        <v xml:space="preserve">Đắp đất lề đường lớp 2, độ chặt K&gt;=0,95 đoạn từ Km0+000,00 - Km0+126,46</v>
      </c>
      <c r="E7" s="34"/>
      <c r="F7" s="34"/>
      <c r="G7" s="34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</row>
    <row r="8" s="30" customFormat="true" ht="16.5" hidden="false" customHeight="true" outlineLevel="0" collapsed="false">
      <c r="A8" s="31"/>
      <c r="B8" s="32"/>
      <c r="C8" s="33"/>
      <c r="D8" s="64"/>
      <c r="E8" s="64"/>
      <c r="F8" s="64"/>
      <c r="G8" s="64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  <c r="EY8" s="29"/>
      <c r="EZ8" s="29"/>
      <c r="FA8" s="29"/>
      <c r="FB8" s="29"/>
      <c r="FC8" s="29"/>
      <c r="FD8" s="29"/>
      <c r="FE8" s="29"/>
      <c r="FF8" s="29"/>
      <c r="FG8" s="29"/>
      <c r="FH8" s="29"/>
      <c r="FI8" s="29"/>
      <c r="FJ8" s="29"/>
      <c r="FK8" s="29"/>
      <c r="FL8" s="29"/>
      <c r="FM8" s="29"/>
      <c r="FN8" s="29"/>
      <c r="FO8" s="29"/>
      <c r="FP8" s="29"/>
      <c r="FQ8" s="29"/>
      <c r="FR8" s="29"/>
      <c r="FS8" s="29"/>
      <c r="FT8" s="29"/>
      <c r="FU8" s="29"/>
      <c r="FV8" s="29"/>
      <c r="FW8" s="29"/>
      <c r="FX8" s="29"/>
      <c r="FY8" s="29"/>
      <c r="FZ8" s="29"/>
      <c r="GA8" s="29"/>
      <c r="GB8" s="29"/>
      <c r="GC8" s="29"/>
      <c r="GD8" s="29"/>
      <c r="GE8" s="29"/>
      <c r="GF8" s="29"/>
      <c r="GG8" s="29"/>
      <c r="GH8" s="29"/>
      <c r="GI8" s="29"/>
      <c r="GJ8" s="29"/>
      <c r="GK8" s="29"/>
      <c r="GL8" s="29"/>
      <c r="GM8" s="29"/>
      <c r="GN8" s="29"/>
      <c r="GO8" s="29"/>
      <c r="GP8" s="29"/>
      <c r="GQ8" s="29"/>
      <c r="GR8" s="29"/>
      <c r="GS8" s="29"/>
      <c r="GT8" s="29"/>
      <c r="GU8" s="29"/>
      <c r="GV8" s="29"/>
      <c r="GW8" s="29"/>
      <c r="GX8" s="29"/>
      <c r="GY8" s="29"/>
      <c r="GZ8" s="29"/>
      <c r="HA8" s="29"/>
      <c r="HB8" s="29"/>
      <c r="HC8" s="29"/>
    </row>
    <row r="9" s="54" customFormat="true" ht="14.25" hidden="false" customHeight="true" outlineLevel="0" collapsed="false">
      <c r="A9" s="36" t="s">
        <v>0</v>
      </c>
      <c r="B9" s="36" t="s">
        <v>37</v>
      </c>
      <c r="C9" s="36" t="s">
        <v>38</v>
      </c>
      <c r="D9" s="37" t="s">
        <v>52</v>
      </c>
      <c r="E9" s="38"/>
      <c r="F9" s="38"/>
      <c r="G9" s="37" t="s">
        <v>43</v>
      </c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65"/>
      <c r="DI9" s="65"/>
      <c r="DJ9" s="65"/>
      <c r="DK9" s="65"/>
      <c r="DL9" s="65"/>
      <c r="DM9" s="65"/>
      <c r="DN9" s="65"/>
      <c r="DO9" s="65"/>
      <c r="DP9" s="65"/>
      <c r="DQ9" s="65"/>
      <c r="DR9" s="65"/>
      <c r="DS9" s="65"/>
      <c r="DT9" s="65"/>
      <c r="DU9" s="65"/>
      <c r="DV9" s="65"/>
      <c r="DW9" s="65"/>
      <c r="DX9" s="65"/>
      <c r="DY9" s="65"/>
      <c r="DZ9" s="65"/>
      <c r="EA9" s="65"/>
      <c r="EB9" s="65"/>
      <c r="EC9" s="65"/>
      <c r="ED9" s="65"/>
      <c r="EE9" s="65"/>
      <c r="EF9" s="65"/>
      <c r="EG9" s="65"/>
      <c r="EH9" s="65"/>
      <c r="EI9" s="65"/>
      <c r="EJ9" s="65"/>
      <c r="EK9" s="65"/>
      <c r="EL9" s="65"/>
      <c r="EM9" s="65"/>
      <c r="EN9" s="65"/>
      <c r="EO9" s="65"/>
      <c r="EP9" s="65"/>
      <c r="EQ9" s="65"/>
      <c r="ER9" s="65"/>
      <c r="ES9" s="65"/>
      <c r="ET9" s="65"/>
      <c r="EU9" s="65"/>
      <c r="EV9" s="65"/>
      <c r="EW9" s="65"/>
      <c r="EX9" s="65"/>
      <c r="EY9" s="65"/>
      <c r="EZ9" s="65"/>
      <c r="FA9" s="65"/>
      <c r="FB9" s="65"/>
      <c r="FC9" s="65"/>
      <c r="FD9" s="65"/>
      <c r="FE9" s="65"/>
      <c r="FF9" s="65"/>
      <c r="FG9" s="65"/>
      <c r="FH9" s="65"/>
      <c r="FI9" s="65"/>
      <c r="FJ9" s="65"/>
      <c r="FK9" s="65"/>
      <c r="FL9" s="65"/>
      <c r="FM9" s="65"/>
      <c r="FN9" s="65"/>
      <c r="FO9" s="65"/>
      <c r="FP9" s="65"/>
      <c r="FQ9" s="65"/>
      <c r="FR9" s="65"/>
      <c r="FS9" s="65"/>
      <c r="FT9" s="65"/>
      <c r="FU9" s="65"/>
      <c r="FV9" s="65"/>
      <c r="FW9" s="65"/>
      <c r="FX9" s="65"/>
      <c r="FY9" s="65"/>
      <c r="FZ9" s="65"/>
      <c r="GA9" s="65"/>
      <c r="GB9" s="65"/>
      <c r="GC9" s="65"/>
      <c r="GD9" s="65"/>
      <c r="GE9" s="65"/>
      <c r="GF9" s="65"/>
      <c r="GG9" s="65"/>
      <c r="GH9" s="65"/>
      <c r="GI9" s="65"/>
      <c r="GJ9" s="65"/>
      <c r="GK9" s="65"/>
      <c r="GL9" s="65"/>
      <c r="GM9" s="65"/>
      <c r="GN9" s="65"/>
      <c r="GO9" s="65"/>
      <c r="GP9" s="65"/>
      <c r="GQ9" s="65"/>
      <c r="GR9" s="65"/>
      <c r="GS9" s="65"/>
      <c r="GT9" s="65"/>
      <c r="GU9" s="65"/>
      <c r="GV9" s="65"/>
      <c r="GW9" s="65"/>
      <c r="GX9" s="65"/>
      <c r="GY9" s="65"/>
      <c r="GZ9" s="65"/>
      <c r="HA9" s="65"/>
      <c r="HB9" s="65"/>
      <c r="HC9" s="65"/>
    </row>
    <row r="10" s="54" customFormat="true" ht="14.25" hidden="false" customHeight="true" outlineLevel="0" collapsed="false">
      <c r="A10" s="36"/>
      <c r="B10" s="36"/>
      <c r="C10" s="36"/>
      <c r="D10" s="36"/>
      <c r="E10" s="38" t="s">
        <v>53</v>
      </c>
      <c r="F10" s="38" t="s">
        <v>54</v>
      </c>
      <c r="G10" s="37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5"/>
      <c r="DX10" s="65"/>
      <c r="DY10" s="65"/>
      <c r="DZ10" s="65"/>
      <c r="EA10" s="65"/>
      <c r="EB10" s="65"/>
      <c r="EC10" s="65"/>
      <c r="ED10" s="65"/>
      <c r="EE10" s="65"/>
      <c r="EF10" s="65"/>
      <c r="EG10" s="65"/>
      <c r="EH10" s="65"/>
      <c r="EI10" s="65"/>
      <c r="EJ10" s="65"/>
      <c r="EK10" s="65"/>
      <c r="EL10" s="65"/>
      <c r="EM10" s="65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5"/>
      <c r="EY10" s="65"/>
      <c r="EZ10" s="65"/>
      <c r="FA10" s="65"/>
      <c r="FB10" s="65"/>
      <c r="FC10" s="65"/>
      <c r="FD10" s="65"/>
      <c r="FE10" s="65"/>
      <c r="FF10" s="65"/>
      <c r="FG10" s="65"/>
      <c r="FH10" s="65"/>
      <c r="FI10" s="65"/>
      <c r="FJ10" s="65"/>
      <c r="FK10" s="65"/>
      <c r="FL10" s="65"/>
      <c r="FM10" s="65"/>
      <c r="FN10" s="65"/>
      <c r="FO10" s="65"/>
      <c r="FP10" s="65"/>
      <c r="FQ10" s="65"/>
      <c r="FR10" s="65"/>
      <c r="FS10" s="65"/>
      <c r="FT10" s="65"/>
      <c r="FU10" s="65"/>
      <c r="FV10" s="65"/>
      <c r="FW10" s="65"/>
      <c r="FX10" s="65"/>
      <c r="FY10" s="65"/>
      <c r="FZ10" s="65"/>
      <c r="GA10" s="65"/>
      <c r="GB10" s="65"/>
      <c r="GC10" s="65"/>
      <c r="GD10" s="65"/>
      <c r="GE10" s="65"/>
      <c r="GF10" s="65"/>
      <c r="GG10" s="65"/>
      <c r="GH10" s="65"/>
      <c r="GI10" s="65"/>
      <c r="GJ10" s="65"/>
      <c r="GK10" s="65"/>
      <c r="GL10" s="65"/>
      <c r="GM10" s="65"/>
      <c r="GN10" s="65"/>
      <c r="GO10" s="65"/>
      <c r="GP10" s="65"/>
      <c r="GQ10" s="65"/>
      <c r="GR10" s="65"/>
      <c r="GS10" s="65"/>
      <c r="GT10" s="65"/>
      <c r="GU10" s="65"/>
      <c r="GV10" s="65"/>
      <c r="GW10" s="65"/>
      <c r="GX10" s="65"/>
      <c r="GY10" s="65"/>
      <c r="GZ10" s="65"/>
      <c r="HA10" s="65"/>
      <c r="HB10" s="65"/>
      <c r="HC10" s="65"/>
    </row>
    <row r="11" s="65" customFormat="true" ht="15" hidden="false" customHeight="true" outlineLevel="0" collapsed="false">
      <c r="A11" s="13" t="n">
        <v>1</v>
      </c>
      <c r="B11" s="14" t="str">
        <f aca="false">'1. KTHH L2'!B21</f>
        <v>D3</v>
      </c>
      <c r="C11" s="15" t="n">
        <f aca="false">'1. KTHH L2'!C21</f>
        <v>0</v>
      </c>
      <c r="D11" s="13" t="n">
        <f aca="false">'1. KTHH L2'!Q21</f>
        <v>19.63</v>
      </c>
      <c r="E11" s="42" t="n">
        <f aca="false">Chạy!E4+Chạy!E8</f>
        <v>3.06</v>
      </c>
      <c r="F11" s="43" t="n">
        <f aca="false">(E11+E12)*D11/2</f>
        <v>60.0678</v>
      </c>
      <c r="G11" s="44"/>
      <c r="H11" s="40"/>
      <c r="I11" s="40"/>
    </row>
    <row r="12" s="39" customFormat="true" ht="15" hidden="false" customHeight="true" outlineLevel="0" collapsed="false">
      <c r="A12" s="13" t="n">
        <v>2</v>
      </c>
      <c r="B12" s="14" t="str">
        <f aca="false">'1. KTHH L2'!B22</f>
        <v>1</v>
      </c>
      <c r="C12" s="15" t="n">
        <f aca="false">'1. KTHH L2'!C22</f>
        <v>19.63</v>
      </c>
      <c r="D12" s="13" t="n">
        <f aca="false">'1. KTHH L2'!Q22</f>
        <v>17.17</v>
      </c>
      <c r="E12" s="42" t="n">
        <f aca="false">Chạy!E12+Chạy!E16</f>
        <v>3.06</v>
      </c>
      <c r="F12" s="43" t="n">
        <f aca="false">(E12+E13)*D12/2</f>
        <v>52.5402</v>
      </c>
      <c r="G12" s="44"/>
      <c r="H12" s="40"/>
      <c r="I12" s="40"/>
    </row>
    <row r="13" s="41" customFormat="true" ht="15" hidden="false" customHeight="true" outlineLevel="0" collapsed="false">
      <c r="A13" s="13" t="n">
        <v>3</v>
      </c>
      <c r="B13" s="14" t="str">
        <f aca="false">'1. KTHH L2'!B23</f>
        <v>2</v>
      </c>
      <c r="C13" s="15" t="n">
        <f aca="false">'1. KTHH L2'!C23</f>
        <v>36.8</v>
      </c>
      <c r="D13" s="13" t="n">
        <f aca="false">'1. KTHH L2'!Q23</f>
        <v>17.18</v>
      </c>
      <c r="E13" s="42" t="n">
        <f aca="false">Chạy!E20+Chạy!E24</f>
        <v>3.06</v>
      </c>
      <c r="F13" s="43" t="n">
        <f aca="false">(E13+E14)*D13/2</f>
        <v>52.5708</v>
      </c>
      <c r="G13" s="44"/>
      <c r="H13" s="40"/>
      <c r="I13" s="40"/>
    </row>
    <row r="14" s="41" customFormat="true" ht="15" hidden="false" customHeight="true" outlineLevel="0" collapsed="false">
      <c r="A14" s="13" t="n">
        <v>4</v>
      </c>
      <c r="B14" s="14" t="str">
        <f aca="false">'1. KTHH L2'!B24</f>
        <v>3</v>
      </c>
      <c r="C14" s="15" t="n">
        <f aca="false">'1. KTHH L2'!C24</f>
        <v>53.98</v>
      </c>
      <c r="D14" s="13" t="n">
        <f aca="false">'1. KTHH L2'!Q24</f>
        <v>12.97</v>
      </c>
      <c r="E14" s="42" t="n">
        <f aca="false">Chạy!E28+Chạy!E32</f>
        <v>3.06</v>
      </c>
      <c r="F14" s="43" t="n">
        <f aca="false">(E14+E15)*D14/2</f>
        <v>39.6882</v>
      </c>
      <c r="G14" s="44"/>
      <c r="H14" s="40"/>
      <c r="I14" s="40"/>
    </row>
    <row r="15" s="41" customFormat="true" ht="15" hidden="false" customHeight="true" outlineLevel="0" collapsed="false">
      <c r="A15" s="13" t="n">
        <v>5</v>
      </c>
      <c r="B15" s="14" t="str">
        <f aca="false">'1. KTHH L2'!B25</f>
        <v>D2</v>
      </c>
      <c r="C15" s="15" t="n">
        <f aca="false">'1. KTHH L2'!C25</f>
        <v>66.95</v>
      </c>
      <c r="D15" s="13" t="n">
        <f aca="false">'1. KTHH L2'!Q25</f>
        <v>10.68</v>
      </c>
      <c r="E15" s="42" t="n">
        <f aca="false">Chạy!E36+Chạy!E40</f>
        <v>3.06</v>
      </c>
      <c r="F15" s="43" t="n">
        <f aca="false">(E15+E16)*D15/2</f>
        <v>32.6808</v>
      </c>
      <c r="G15" s="44"/>
      <c r="H15" s="40"/>
      <c r="I15" s="40"/>
    </row>
    <row r="16" s="41" customFormat="true" ht="15" hidden="false" customHeight="true" outlineLevel="0" collapsed="false">
      <c r="A16" s="13" t="n">
        <v>6</v>
      </c>
      <c r="B16" s="14" t="str">
        <f aca="false">'1. KTHH L2'!B26</f>
        <v>4</v>
      </c>
      <c r="C16" s="15" t="n">
        <f aca="false">'1. KTHH L2'!C26</f>
        <v>77.63</v>
      </c>
      <c r="D16" s="13" t="n">
        <f aca="false">'1. KTHH L2'!Q26</f>
        <v>17.17</v>
      </c>
      <c r="E16" s="42" t="n">
        <f aca="false">Chạy!E44+Chạy!E48</f>
        <v>3.06</v>
      </c>
      <c r="F16" s="43" t="n">
        <f aca="false">(E16+E17)*D16/2</f>
        <v>52.5402</v>
      </c>
      <c r="G16" s="44"/>
      <c r="H16" s="40"/>
      <c r="I16" s="40"/>
    </row>
    <row r="17" s="41" customFormat="true" ht="15" hidden="false" customHeight="true" outlineLevel="0" collapsed="false">
      <c r="A17" s="13" t="n">
        <v>7</v>
      </c>
      <c r="B17" s="14" t="str">
        <f aca="false">'1. KTHH L2'!B27</f>
        <v>5</v>
      </c>
      <c r="C17" s="15" t="n">
        <f aca="false">'1. KTHH L2'!C27</f>
        <v>94.8</v>
      </c>
      <c r="D17" s="13" t="n">
        <f aca="false">'1. KTHH L2'!Q27</f>
        <v>17.17</v>
      </c>
      <c r="E17" s="42" t="n">
        <f aca="false">Chạy!E52+Chạy!E56</f>
        <v>3.06</v>
      </c>
      <c r="F17" s="43" t="n">
        <f aca="false">(E17+E18)*D17/2</f>
        <v>52.5402</v>
      </c>
      <c r="G17" s="44"/>
      <c r="H17" s="40"/>
      <c r="I17" s="40"/>
    </row>
    <row r="18" s="41" customFormat="true" ht="15" hidden="false" customHeight="true" outlineLevel="0" collapsed="false">
      <c r="A18" s="13" t="n">
        <v>8</v>
      </c>
      <c r="B18" s="14" t="str">
        <f aca="false">'1. KTHH L2'!B28</f>
        <v>6</v>
      </c>
      <c r="C18" s="15" t="n">
        <f aca="false">'1. KTHH L2'!C28</f>
        <v>111.97</v>
      </c>
      <c r="D18" s="13" t="n">
        <f aca="false">'1. KTHH L2'!Q28</f>
        <v>14.49</v>
      </c>
      <c r="E18" s="42" t="n">
        <f aca="false">Chạy!E60+Chạy!E64</f>
        <v>3.06</v>
      </c>
      <c r="F18" s="43" t="n">
        <f aca="false">(E18+E19)*D18/2</f>
        <v>44.3394</v>
      </c>
      <c r="G18" s="44"/>
      <c r="H18" s="40"/>
      <c r="I18" s="40"/>
    </row>
    <row r="19" s="41" customFormat="true" ht="15" hidden="false" customHeight="true" outlineLevel="0" collapsed="false">
      <c r="A19" s="13" t="n">
        <v>9</v>
      </c>
      <c r="B19" s="14" t="str">
        <f aca="false">'1. KTHH L2'!B29</f>
        <v>D1</v>
      </c>
      <c r="C19" s="15" t="n">
        <f aca="false">'1. KTHH L2'!C29</f>
        <v>126.46</v>
      </c>
      <c r="D19" s="13"/>
      <c r="E19" s="42" t="n">
        <f aca="false">Chạy!E68+Chạy!E72</f>
        <v>3.06</v>
      </c>
      <c r="F19" s="43"/>
      <c r="G19" s="44"/>
      <c r="H19" s="40"/>
      <c r="I19" s="40"/>
    </row>
    <row r="20" customFormat="false" ht="15" hidden="false" customHeight="true" outlineLevel="0" collapsed="false">
      <c r="A20" s="46" t="s">
        <v>55</v>
      </c>
      <c r="B20" s="46"/>
      <c r="C20" s="46"/>
      <c r="D20" s="46"/>
      <c r="E20" s="66"/>
      <c r="F20" s="67" t="n">
        <f aca="false">SUM(F11:F19)</f>
        <v>386.9676</v>
      </c>
      <c r="G20" s="68"/>
      <c r="I20" s="69"/>
      <c r="J20" s="41"/>
      <c r="K20" s="41"/>
      <c r="L20" s="41"/>
      <c r="M20" s="41"/>
      <c r="N20" s="41"/>
      <c r="O20" s="41"/>
      <c r="P20" s="41"/>
      <c r="Q20" s="53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4"/>
      <c r="BO20" s="54"/>
      <c r="BP20" s="54"/>
      <c r="BQ20" s="54"/>
      <c r="BR20" s="54"/>
      <c r="BS20" s="54"/>
      <c r="BT20" s="54"/>
      <c r="BU20" s="54"/>
      <c r="BV20" s="54"/>
      <c r="BW20" s="54"/>
      <c r="BX20" s="54"/>
      <c r="BY20" s="54"/>
      <c r="BZ20" s="54"/>
      <c r="CA20" s="54"/>
      <c r="CB20" s="54"/>
      <c r="CC20" s="54"/>
      <c r="CD20" s="54"/>
      <c r="CE20" s="54"/>
      <c r="CF20" s="54"/>
      <c r="CG20" s="54"/>
      <c r="CH20" s="54"/>
      <c r="CI20" s="54"/>
      <c r="CJ20" s="54"/>
      <c r="CK20" s="54"/>
      <c r="CL20" s="54"/>
      <c r="CM20" s="54"/>
      <c r="CN20" s="54"/>
      <c r="CO20" s="54"/>
      <c r="CP20" s="54"/>
      <c r="CQ20" s="54"/>
      <c r="CR20" s="54"/>
      <c r="CS20" s="54"/>
      <c r="CT20" s="54"/>
      <c r="CU20" s="54"/>
      <c r="CV20" s="54"/>
      <c r="CW20" s="54"/>
      <c r="CX20" s="54"/>
      <c r="CY20" s="54"/>
      <c r="CZ20" s="54"/>
      <c r="DA20" s="54"/>
      <c r="DB20" s="54"/>
      <c r="DC20" s="54"/>
      <c r="DD20" s="54"/>
      <c r="DE20" s="54"/>
      <c r="DF20" s="54"/>
      <c r="DG20" s="54"/>
      <c r="DH20" s="54"/>
      <c r="DI20" s="54"/>
      <c r="DJ20" s="54"/>
      <c r="DK20" s="54"/>
      <c r="DL20" s="54"/>
      <c r="DM20" s="54"/>
      <c r="DN20" s="54"/>
      <c r="DO20" s="54"/>
      <c r="DP20" s="54"/>
      <c r="DQ20" s="54"/>
      <c r="DR20" s="54"/>
      <c r="DS20" s="54"/>
      <c r="DT20" s="54"/>
      <c r="DU20" s="54"/>
      <c r="DV20" s="54"/>
      <c r="DW20" s="54"/>
      <c r="DX20" s="54"/>
      <c r="DY20" s="54"/>
      <c r="DZ20" s="54"/>
      <c r="EA20" s="54"/>
      <c r="EB20" s="54"/>
      <c r="EC20" s="54"/>
      <c r="ED20" s="54"/>
      <c r="EE20" s="54"/>
      <c r="EF20" s="54"/>
      <c r="EG20" s="54"/>
      <c r="EH20" s="54"/>
      <c r="EI20" s="54"/>
      <c r="EJ20" s="54"/>
      <c r="EK20" s="54"/>
      <c r="EL20" s="54"/>
      <c r="EM20" s="54"/>
      <c r="EN20" s="54"/>
      <c r="EO20" s="54"/>
      <c r="EP20" s="54"/>
      <c r="EQ20" s="54"/>
      <c r="ER20" s="54"/>
      <c r="ES20" s="54"/>
      <c r="ET20" s="54"/>
      <c r="EU20" s="54"/>
      <c r="EV20" s="54"/>
      <c r="EW20" s="54"/>
      <c r="EX20" s="54"/>
      <c r="EY20" s="54"/>
      <c r="EZ20" s="54"/>
      <c r="FA20" s="54"/>
      <c r="FB20" s="54"/>
      <c r="FC20" s="54"/>
      <c r="FD20" s="54"/>
      <c r="FE20" s="54"/>
      <c r="FF20" s="54"/>
      <c r="FG20" s="54"/>
      <c r="FH20" s="54"/>
      <c r="FI20" s="54"/>
      <c r="FJ20" s="54"/>
      <c r="FK20" s="54"/>
      <c r="FL20" s="54"/>
      <c r="FM20" s="54"/>
      <c r="FN20" s="54"/>
      <c r="FO20" s="54"/>
      <c r="FP20" s="54"/>
      <c r="FQ20" s="54"/>
      <c r="FR20" s="54"/>
      <c r="FS20" s="54"/>
      <c r="FT20" s="54"/>
      <c r="FU20" s="54"/>
      <c r="FV20" s="54"/>
      <c r="FW20" s="54"/>
      <c r="FX20" s="54"/>
      <c r="FY20" s="54"/>
      <c r="FZ20" s="54"/>
      <c r="GA20" s="54"/>
      <c r="GB20" s="54"/>
      <c r="GC20" s="54"/>
      <c r="GD20" s="54"/>
      <c r="GE20" s="54"/>
      <c r="GF20" s="54"/>
      <c r="GG20" s="54"/>
      <c r="GH20" s="54"/>
      <c r="GI20" s="54"/>
      <c r="GJ20" s="54"/>
      <c r="GK20" s="54"/>
      <c r="GL20" s="54"/>
      <c r="GM20" s="54"/>
      <c r="GN20" s="54"/>
      <c r="GO20" s="54"/>
      <c r="GP20" s="54"/>
      <c r="GQ20" s="54"/>
      <c r="GR20" s="54"/>
      <c r="GS20" s="54"/>
      <c r="GT20" s="54"/>
      <c r="GU20" s="54"/>
      <c r="GV20" s="54"/>
      <c r="GW20" s="54"/>
      <c r="GX20" s="54"/>
      <c r="GY20" s="54"/>
    </row>
    <row r="21" customFormat="false" ht="14.25" hidden="false" customHeight="true" outlineLevel="0" collapsed="false">
      <c r="A21" s="20"/>
      <c r="B21" s="20"/>
      <c r="C21" s="20"/>
      <c r="D21" s="20"/>
      <c r="F21" s="55"/>
      <c r="G21" s="55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4"/>
      <c r="BQ21" s="54"/>
      <c r="BR21" s="54"/>
      <c r="BS21" s="54"/>
      <c r="BT21" s="54"/>
      <c r="BU21" s="54"/>
      <c r="BV21" s="54"/>
      <c r="BW21" s="54"/>
      <c r="BX21" s="54"/>
      <c r="BY21" s="54"/>
      <c r="BZ21" s="54"/>
      <c r="CA21" s="54"/>
      <c r="CB21" s="54"/>
      <c r="CC21" s="54"/>
      <c r="CD21" s="54"/>
      <c r="CE21" s="54"/>
      <c r="CF21" s="54"/>
      <c r="CG21" s="54"/>
      <c r="CH21" s="54"/>
      <c r="CI21" s="54"/>
      <c r="CJ21" s="54"/>
      <c r="CK21" s="54"/>
      <c r="CL21" s="54"/>
      <c r="CM21" s="54"/>
      <c r="CN21" s="54"/>
      <c r="CO21" s="54"/>
      <c r="CP21" s="54"/>
      <c r="CQ21" s="54"/>
      <c r="CR21" s="54"/>
      <c r="CS21" s="54"/>
      <c r="CT21" s="54"/>
      <c r="CU21" s="54"/>
      <c r="CV21" s="54"/>
      <c r="CW21" s="54"/>
      <c r="CX21" s="54"/>
      <c r="CY21" s="54"/>
      <c r="CZ21" s="54"/>
      <c r="DA21" s="54"/>
      <c r="DB21" s="54"/>
      <c r="DC21" s="54"/>
      <c r="DD21" s="54"/>
      <c r="DE21" s="54"/>
      <c r="DF21" s="54"/>
      <c r="DG21" s="54"/>
      <c r="DH21" s="54"/>
      <c r="DI21" s="54"/>
      <c r="DJ21" s="54"/>
      <c r="DK21" s="54"/>
      <c r="DL21" s="54"/>
      <c r="DM21" s="54"/>
      <c r="DN21" s="54"/>
      <c r="DO21" s="54"/>
      <c r="DP21" s="54"/>
      <c r="DQ21" s="54"/>
      <c r="DR21" s="54"/>
      <c r="DS21" s="54"/>
      <c r="DT21" s="54"/>
      <c r="DU21" s="54"/>
      <c r="DV21" s="54"/>
      <c r="DW21" s="54"/>
      <c r="DX21" s="54"/>
      <c r="DY21" s="54"/>
      <c r="DZ21" s="54"/>
      <c r="EA21" s="54"/>
      <c r="EB21" s="54"/>
      <c r="EC21" s="54"/>
      <c r="ED21" s="54"/>
      <c r="EE21" s="54"/>
      <c r="EF21" s="54"/>
      <c r="EG21" s="54"/>
      <c r="EH21" s="54"/>
      <c r="EI21" s="54"/>
      <c r="EJ21" s="54"/>
      <c r="EK21" s="54"/>
      <c r="EL21" s="54"/>
      <c r="EM21" s="54"/>
      <c r="EN21" s="54"/>
      <c r="EO21" s="54"/>
      <c r="EP21" s="54"/>
      <c r="EQ21" s="54"/>
      <c r="ER21" s="54"/>
      <c r="ES21" s="54"/>
      <c r="ET21" s="54"/>
      <c r="EU21" s="54"/>
      <c r="EV21" s="54"/>
      <c r="EW21" s="54"/>
      <c r="EX21" s="54"/>
      <c r="EY21" s="54"/>
      <c r="EZ21" s="54"/>
      <c r="FA21" s="54"/>
      <c r="FB21" s="54"/>
      <c r="FC21" s="54"/>
      <c r="FD21" s="54"/>
      <c r="FE21" s="54"/>
      <c r="FF21" s="54"/>
      <c r="FG21" s="54"/>
      <c r="FH21" s="54"/>
      <c r="FI21" s="54"/>
      <c r="FJ21" s="54"/>
      <c r="FK21" s="54"/>
      <c r="FL21" s="54"/>
      <c r="FM21" s="54"/>
      <c r="FN21" s="54"/>
      <c r="FO21" s="54"/>
      <c r="FP21" s="54"/>
      <c r="FQ21" s="54"/>
      <c r="FR21" s="54"/>
      <c r="FS21" s="54"/>
      <c r="FT21" s="54"/>
      <c r="FU21" s="54"/>
      <c r="FV21" s="54"/>
      <c r="FW21" s="54"/>
      <c r="FX21" s="54"/>
      <c r="FY21" s="54"/>
      <c r="FZ21" s="54"/>
      <c r="GA21" s="54"/>
      <c r="GB21" s="54"/>
      <c r="GC21" s="54"/>
      <c r="GD21" s="54"/>
      <c r="GE21" s="54"/>
      <c r="GF21" s="54"/>
      <c r="GG21" s="54"/>
      <c r="GH21" s="54"/>
      <c r="GI21" s="54"/>
      <c r="GJ21" s="54"/>
      <c r="GK21" s="54"/>
      <c r="GL21" s="54"/>
      <c r="GM21" s="54"/>
      <c r="GN21" s="54"/>
      <c r="GO21" s="54"/>
      <c r="GP21" s="54"/>
      <c r="GQ21" s="54"/>
      <c r="GR21" s="54"/>
      <c r="GS21" s="54"/>
      <c r="GT21" s="54"/>
      <c r="GU21" s="54"/>
      <c r="GV21" s="54"/>
      <c r="GW21" s="54"/>
      <c r="GX21" s="54"/>
      <c r="GY21" s="54"/>
    </row>
    <row r="22" customFormat="false" ht="15" hidden="false" customHeight="true" outlineLevel="0" collapsed="false">
      <c r="A22" s="19" t="s">
        <v>47</v>
      </c>
      <c r="B22" s="19"/>
      <c r="C22" s="19"/>
      <c r="D22" s="57" t="s">
        <v>56</v>
      </c>
      <c r="E22" s="19" t="s">
        <v>48</v>
      </c>
      <c r="F22" s="19"/>
      <c r="G22" s="19"/>
      <c r="Q22" s="58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54"/>
      <c r="BK22" s="54"/>
      <c r="BL22" s="54"/>
      <c r="BM22" s="54"/>
      <c r="BN22" s="54"/>
      <c r="BO22" s="54"/>
      <c r="BP22" s="54"/>
      <c r="BQ22" s="54"/>
      <c r="BR22" s="54"/>
      <c r="BS22" s="54"/>
      <c r="BT22" s="54"/>
      <c r="BU22" s="54"/>
      <c r="BV22" s="54"/>
      <c r="BW22" s="54"/>
      <c r="BX22" s="54"/>
      <c r="BY22" s="54"/>
      <c r="BZ22" s="54"/>
      <c r="CA22" s="54"/>
      <c r="CB22" s="54"/>
      <c r="CC22" s="54"/>
      <c r="CD22" s="54"/>
      <c r="CE22" s="54"/>
      <c r="CF22" s="54"/>
      <c r="CG22" s="54"/>
      <c r="CH22" s="54"/>
      <c r="CI22" s="54"/>
      <c r="CJ22" s="54"/>
      <c r="CK22" s="54"/>
      <c r="CL22" s="54"/>
      <c r="CM22" s="54"/>
      <c r="CN22" s="54"/>
      <c r="CO22" s="54"/>
      <c r="CP22" s="54"/>
      <c r="CQ22" s="54"/>
      <c r="CR22" s="54"/>
      <c r="CS22" s="54"/>
      <c r="CT22" s="54"/>
      <c r="CU22" s="54"/>
      <c r="CV22" s="54"/>
      <c r="CW22" s="54"/>
      <c r="CX22" s="54"/>
      <c r="CY22" s="54"/>
      <c r="CZ22" s="54"/>
      <c r="DA22" s="54"/>
      <c r="DB22" s="54"/>
      <c r="DC22" s="54"/>
      <c r="DD22" s="54"/>
      <c r="DE22" s="54"/>
      <c r="DF22" s="54"/>
      <c r="DG22" s="54"/>
      <c r="DH22" s="54"/>
      <c r="DI22" s="54"/>
      <c r="DJ22" s="54"/>
      <c r="DK22" s="54"/>
      <c r="DL22" s="54"/>
      <c r="DM22" s="54"/>
      <c r="DN22" s="54"/>
      <c r="DO22" s="54"/>
      <c r="DP22" s="54"/>
      <c r="DQ22" s="54"/>
      <c r="DR22" s="54"/>
      <c r="DS22" s="54"/>
      <c r="DT22" s="54"/>
      <c r="DU22" s="54"/>
      <c r="DV22" s="54"/>
      <c r="DW22" s="54"/>
      <c r="DX22" s="54"/>
      <c r="DY22" s="54"/>
      <c r="DZ22" s="54"/>
      <c r="EA22" s="54"/>
      <c r="EB22" s="54"/>
      <c r="EC22" s="54"/>
      <c r="ED22" s="54"/>
      <c r="EE22" s="54"/>
      <c r="EF22" s="54"/>
      <c r="EG22" s="54"/>
      <c r="EH22" s="54"/>
      <c r="EI22" s="54"/>
      <c r="EJ22" s="54"/>
      <c r="EK22" s="54"/>
      <c r="EL22" s="54"/>
      <c r="EM22" s="54"/>
      <c r="EN22" s="54"/>
      <c r="EO22" s="54"/>
      <c r="EP22" s="54"/>
      <c r="EQ22" s="54"/>
      <c r="ER22" s="54"/>
      <c r="ES22" s="54"/>
      <c r="ET22" s="54"/>
      <c r="EU22" s="54"/>
      <c r="EV22" s="54"/>
      <c r="EW22" s="54"/>
      <c r="EX22" s="54"/>
      <c r="EY22" s="54"/>
      <c r="EZ22" s="54"/>
      <c r="FA22" s="54"/>
      <c r="FB22" s="54"/>
      <c r="FC22" s="54"/>
      <c r="FD22" s="54"/>
      <c r="FE22" s="54"/>
      <c r="FF22" s="54"/>
      <c r="FG22" s="54"/>
      <c r="FH22" s="54"/>
      <c r="FI22" s="54"/>
      <c r="FJ22" s="54"/>
      <c r="FK22" s="54"/>
      <c r="FL22" s="54"/>
      <c r="FM22" s="54"/>
      <c r="FN22" s="54"/>
      <c r="FO22" s="54"/>
      <c r="FP22" s="54"/>
      <c r="FQ22" s="54"/>
      <c r="FR22" s="54"/>
      <c r="FS22" s="54"/>
      <c r="FT22" s="54"/>
      <c r="FU22" s="54"/>
      <c r="FV22" s="54"/>
      <c r="FW22" s="54"/>
      <c r="FX22" s="54"/>
      <c r="FY22" s="54"/>
      <c r="FZ22" s="54"/>
      <c r="GA22" s="54"/>
      <c r="GB22" s="54"/>
      <c r="GC22" s="54"/>
      <c r="GD22" s="54"/>
      <c r="GE22" s="54"/>
      <c r="GF22" s="54"/>
      <c r="GG22" s="54"/>
      <c r="GH22" s="54"/>
      <c r="GI22" s="54"/>
      <c r="GJ22" s="54"/>
      <c r="GK22" s="54"/>
      <c r="GL22" s="54"/>
      <c r="GM22" s="54"/>
      <c r="GN22" s="54"/>
      <c r="GO22" s="54"/>
      <c r="GP22" s="54"/>
      <c r="GQ22" s="54"/>
      <c r="GR22" s="54"/>
      <c r="GS22" s="54"/>
      <c r="GT22" s="54"/>
      <c r="GU22" s="54"/>
      <c r="GV22" s="54"/>
      <c r="GW22" s="54"/>
      <c r="GX22" s="54"/>
      <c r="GY22" s="54"/>
    </row>
    <row r="23" customFormat="false" ht="14.25" hidden="false" customHeight="true" outlineLevel="0" collapsed="false">
      <c r="A23" s="59"/>
      <c r="B23" s="59"/>
      <c r="C23" s="59"/>
      <c r="D23" s="60"/>
      <c r="E23" s="59"/>
      <c r="F23" s="59"/>
      <c r="G23" s="59"/>
      <c r="H23" s="54"/>
      <c r="I23" s="54"/>
      <c r="J23" s="54"/>
      <c r="K23" s="54"/>
      <c r="L23" s="54"/>
      <c r="M23" s="54"/>
      <c r="N23" s="54"/>
      <c r="O23" s="54"/>
      <c r="P23" s="54"/>
      <c r="Q23" s="54"/>
      <c r="GZ23" s="54"/>
    </row>
    <row r="24" customFormat="false" ht="15" hidden="false" customHeight="true" outlineLevel="0" collapsed="false">
      <c r="A24" s="59"/>
      <c r="B24" s="59"/>
      <c r="C24" s="61"/>
      <c r="D24" s="61"/>
      <c r="E24" s="59"/>
      <c r="F24" s="59"/>
      <c r="G24" s="61"/>
      <c r="H24" s="54"/>
      <c r="I24" s="54"/>
      <c r="J24" s="62"/>
      <c r="K24" s="54"/>
      <c r="L24" s="54"/>
      <c r="M24" s="54"/>
      <c r="N24" s="54"/>
      <c r="O24" s="54"/>
      <c r="P24" s="54"/>
      <c r="Q24" s="54"/>
      <c r="GZ24" s="54"/>
    </row>
    <row r="25" customFormat="false" ht="14.25" hidden="false" customHeight="true" outlineLevel="0" collapsed="false">
      <c r="A25" s="59"/>
      <c r="B25" s="59"/>
      <c r="C25" s="59"/>
      <c r="D25" s="60"/>
      <c r="E25" s="59"/>
      <c r="F25" s="59"/>
      <c r="G25" s="59"/>
      <c r="H25" s="54"/>
      <c r="I25" s="54"/>
      <c r="J25" s="54"/>
      <c r="K25" s="54"/>
      <c r="L25" s="54"/>
      <c r="M25" s="54"/>
      <c r="N25" s="54"/>
      <c r="O25" s="54"/>
      <c r="P25" s="54"/>
      <c r="Q25" s="54"/>
      <c r="GZ25" s="54"/>
    </row>
    <row r="26" customFormat="false" ht="14.25" hidden="false" customHeight="true" outlineLevel="0" collapsed="false">
      <c r="A26" s="59"/>
      <c r="B26" s="59"/>
      <c r="C26" s="59"/>
      <c r="D26" s="60"/>
      <c r="E26" s="59"/>
      <c r="F26" s="59"/>
      <c r="G26" s="59"/>
      <c r="H26" s="54"/>
      <c r="I26" s="54"/>
      <c r="J26" s="54"/>
      <c r="K26" s="54"/>
      <c r="L26" s="54"/>
      <c r="M26" s="54"/>
      <c r="N26" s="54"/>
      <c r="O26" s="54"/>
      <c r="P26" s="54"/>
      <c r="Q26" s="54"/>
      <c r="GZ26" s="54"/>
    </row>
    <row r="27" customFormat="false" ht="14.25" hidden="false" customHeight="true" outlineLevel="0" collapsed="false">
      <c r="A27" s="59"/>
      <c r="B27" s="59"/>
      <c r="C27" s="59"/>
      <c r="D27" s="60"/>
      <c r="E27" s="59"/>
      <c r="F27" s="59"/>
      <c r="G27" s="59"/>
      <c r="H27" s="54"/>
      <c r="I27" s="54"/>
      <c r="J27" s="54"/>
      <c r="K27" s="54"/>
      <c r="L27" s="54"/>
      <c r="M27" s="54"/>
      <c r="N27" s="54"/>
      <c r="O27" s="54"/>
      <c r="P27" s="54"/>
      <c r="Q27" s="54"/>
      <c r="GZ27" s="54"/>
    </row>
    <row r="28" customFormat="false" ht="14.25" hidden="false" customHeight="true" outlineLevel="0" collapsed="false">
      <c r="A28" s="19" t="s">
        <v>49</v>
      </c>
      <c r="B28" s="19"/>
      <c r="C28" s="19"/>
      <c r="D28" s="21"/>
      <c r="E28" s="19" t="s">
        <v>50</v>
      </c>
      <c r="F28" s="19"/>
      <c r="G28" s="19"/>
      <c r="H28" s="54"/>
      <c r="I28" s="54"/>
      <c r="J28" s="54"/>
      <c r="K28" s="54"/>
      <c r="L28" s="54"/>
      <c r="M28" s="54"/>
      <c r="N28" s="54"/>
      <c r="O28" s="54"/>
      <c r="P28" s="54"/>
      <c r="Q28" s="54"/>
      <c r="GZ28" s="54"/>
    </row>
    <row r="29" customFormat="false" ht="12.75" hidden="false" customHeight="false" outlineLevel="0" collapsed="false">
      <c r="A29" s="63"/>
      <c r="B29" s="63"/>
      <c r="C29" s="63"/>
      <c r="D29" s="63"/>
      <c r="E29" s="63"/>
      <c r="F29" s="63"/>
      <c r="G29" s="63"/>
    </row>
    <row r="30" customFormat="false" ht="12.75" hidden="false" customHeight="false" outlineLevel="0" collapsed="false">
      <c r="A30" s="63"/>
      <c r="B30" s="63"/>
      <c r="C30" s="63"/>
      <c r="D30" s="63"/>
      <c r="E30" s="63"/>
      <c r="F30" s="63"/>
      <c r="G30" s="63"/>
    </row>
    <row r="31" customFormat="false" ht="12.75" hidden="false" customHeight="false" outlineLevel="0" collapsed="false">
      <c r="A31" s="63"/>
      <c r="B31" s="63"/>
      <c r="C31" s="63"/>
      <c r="D31" s="63"/>
      <c r="E31" s="63"/>
      <c r="F31" s="63"/>
      <c r="G31" s="63"/>
    </row>
    <row r="32" customFormat="false" ht="12.75" hidden="false" customHeight="false" outlineLevel="0" collapsed="false">
      <c r="A32" s="63"/>
      <c r="B32" s="63"/>
      <c r="C32" s="63"/>
      <c r="D32" s="63"/>
      <c r="E32" s="63"/>
      <c r="F32" s="63"/>
      <c r="G32" s="63"/>
    </row>
    <row r="33" customFormat="false" ht="12.75" hidden="false" customHeight="false" outlineLevel="0" collapsed="false">
      <c r="A33" s="63"/>
      <c r="B33" s="63"/>
      <c r="C33" s="63"/>
      <c r="D33" s="63"/>
      <c r="E33" s="63"/>
      <c r="F33" s="63"/>
      <c r="G33" s="63"/>
    </row>
    <row r="34" customFormat="false" ht="12.75" hidden="false" customHeight="false" outlineLevel="0" collapsed="false">
      <c r="A34" s="63"/>
      <c r="B34" s="63"/>
      <c r="C34" s="63"/>
      <c r="D34" s="63"/>
      <c r="E34" s="63"/>
      <c r="F34" s="63"/>
      <c r="G34" s="63"/>
    </row>
    <row r="35" customFormat="false" ht="12.75" hidden="false" customHeight="false" outlineLevel="0" collapsed="false">
      <c r="A35" s="63"/>
      <c r="B35" s="63"/>
      <c r="C35" s="63"/>
      <c r="D35" s="63"/>
      <c r="E35" s="63"/>
      <c r="F35" s="63"/>
      <c r="G35" s="63"/>
    </row>
    <row r="36" customFormat="false" ht="12.75" hidden="false" customHeight="false" outlineLevel="0" collapsed="false">
      <c r="A36" s="63"/>
      <c r="B36" s="63"/>
      <c r="C36" s="63"/>
      <c r="D36" s="63"/>
      <c r="E36" s="63"/>
      <c r="F36" s="63"/>
      <c r="G36" s="63"/>
    </row>
    <row r="37" customFormat="false" ht="12.75" hidden="false" customHeight="false" outlineLevel="0" collapsed="false">
      <c r="A37" s="63"/>
      <c r="B37" s="63"/>
      <c r="C37" s="63"/>
      <c r="D37" s="63"/>
      <c r="E37" s="63"/>
      <c r="F37" s="63"/>
      <c r="G37" s="63"/>
    </row>
    <row r="38" customFormat="false" ht="12.75" hidden="false" customHeight="false" outlineLevel="0" collapsed="false">
      <c r="A38" s="63"/>
      <c r="B38" s="63"/>
      <c r="C38" s="63"/>
      <c r="D38" s="63"/>
      <c r="E38" s="63"/>
      <c r="F38" s="63"/>
      <c r="G38" s="63"/>
    </row>
    <row r="39" customFormat="false" ht="12.75" hidden="false" customHeight="false" outlineLevel="0" collapsed="false">
      <c r="A39" s="63"/>
      <c r="B39" s="63"/>
      <c r="C39" s="63"/>
      <c r="D39" s="63"/>
      <c r="E39" s="63"/>
      <c r="F39" s="63"/>
      <c r="G39" s="63"/>
    </row>
    <row r="40" customFormat="false" ht="12.75" hidden="false" customHeight="false" outlineLevel="0" collapsed="false">
      <c r="A40" s="63"/>
      <c r="B40" s="63"/>
      <c r="C40" s="63"/>
      <c r="D40" s="63"/>
      <c r="E40" s="63"/>
      <c r="F40" s="63"/>
      <c r="G40" s="63"/>
    </row>
    <row r="41" customFormat="false" ht="12.75" hidden="false" customHeight="false" outlineLevel="0" collapsed="false">
      <c r="A41" s="63"/>
      <c r="B41" s="63"/>
      <c r="C41" s="63"/>
      <c r="D41" s="63"/>
      <c r="E41" s="63"/>
      <c r="F41" s="63"/>
      <c r="G41" s="63"/>
    </row>
    <row r="42" customFormat="false" ht="12.75" hidden="false" customHeight="false" outlineLevel="0" collapsed="false">
      <c r="A42" s="63"/>
      <c r="B42" s="63"/>
      <c r="C42" s="63"/>
      <c r="D42" s="63"/>
      <c r="E42" s="63"/>
      <c r="F42" s="63"/>
      <c r="G42" s="63"/>
    </row>
    <row r="43" customFormat="false" ht="12.75" hidden="false" customHeight="false" outlineLevel="0" collapsed="false">
      <c r="A43" s="63"/>
      <c r="B43" s="63"/>
      <c r="C43" s="63"/>
      <c r="D43" s="63"/>
      <c r="E43" s="63"/>
      <c r="F43" s="63"/>
      <c r="G43" s="63"/>
    </row>
    <row r="44" customFormat="false" ht="12.75" hidden="false" customHeight="false" outlineLevel="0" collapsed="false">
      <c r="A44" s="63"/>
      <c r="B44" s="63"/>
      <c r="C44" s="63"/>
      <c r="D44" s="63"/>
      <c r="E44" s="63"/>
      <c r="F44" s="63"/>
      <c r="G44" s="63"/>
    </row>
    <row r="45" customFormat="false" ht="12.75" hidden="false" customHeight="false" outlineLevel="0" collapsed="false">
      <c r="A45" s="63"/>
      <c r="B45" s="63"/>
      <c r="C45" s="63"/>
      <c r="D45" s="63"/>
      <c r="E45" s="63"/>
      <c r="F45" s="63"/>
      <c r="G45" s="63"/>
    </row>
    <row r="46" customFormat="false" ht="12.75" hidden="false" customHeight="false" outlineLevel="0" collapsed="false">
      <c r="A46" s="63"/>
      <c r="B46" s="63"/>
      <c r="C46" s="63"/>
      <c r="D46" s="63"/>
      <c r="E46" s="63"/>
      <c r="F46" s="63"/>
      <c r="G46" s="63"/>
    </row>
    <row r="47" customFormat="false" ht="12.75" hidden="false" customHeight="false" outlineLevel="0" collapsed="false">
      <c r="A47" s="63"/>
      <c r="B47" s="63"/>
      <c r="C47" s="63"/>
      <c r="D47" s="63"/>
      <c r="E47" s="63"/>
      <c r="F47" s="63"/>
      <c r="G47" s="63"/>
    </row>
    <row r="48" customFormat="false" ht="12.75" hidden="false" customHeight="false" outlineLevel="0" collapsed="false">
      <c r="A48" s="63"/>
      <c r="B48" s="63"/>
      <c r="C48" s="63"/>
      <c r="D48" s="63"/>
      <c r="E48" s="63"/>
      <c r="F48" s="63"/>
      <c r="G48" s="63"/>
    </row>
    <row r="49" customFormat="false" ht="12.75" hidden="false" customHeight="false" outlineLevel="0" collapsed="false">
      <c r="A49" s="63"/>
      <c r="B49" s="63"/>
      <c r="C49" s="63"/>
      <c r="D49" s="63"/>
      <c r="E49" s="63"/>
      <c r="F49" s="63"/>
      <c r="G49" s="63"/>
    </row>
    <row r="50" customFormat="false" ht="12.75" hidden="false" customHeight="false" outlineLevel="0" collapsed="false">
      <c r="A50" s="63"/>
      <c r="B50" s="63"/>
      <c r="C50" s="63"/>
      <c r="D50" s="63"/>
      <c r="E50" s="63"/>
      <c r="F50" s="63"/>
      <c r="G50" s="63"/>
    </row>
    <row r="51" customFormat="false" ht="12.75" hidden="false" customHeight="false" outlineLevel="0" collapsed="false">
      <c r="A51" s="63"/>
      <c r="B51" s="63"/>
      <c r="C51" s="63"/>
      <c r="D51" s="63"/>
      <c r="E51" s="63"/>
      <c r="F51" s="63"/>
      <c r="G51" s="63"/>
    </row>
    <row r="52" customFormat="false" ht="12.75" hidden="false" customHeight="false" outlineLevel="0" collapsed="false">
      <c r="A52" s="63"/>
      <c r="B52" s="63"/>
      <c r="C52" s="63"/>
      <c r="D52" s="63"/>
      <c r="E52" s="63"/>
      <c r="F52" s="63"/>
      <c r="G52" s="63"/>
    </row>
    <row r="53" customFormat="false" ht="12.75" hidden="false" customHeight="false" outlineLevel="0" collapsed="false">
      <c r="A53" s="63"/>
      <c r="B53" s="63"/>
      <c r="C53" s="63"/>
      <c r="D53" s="63"/>
      <c r="E53" s="63"/>
      <c r="F53" s="63"/>
      <c r="G53" s="63"/>
    </row>
    <row r="54" customFormat="false" ht="12.75" hidden="false" customHeight="false" outlineLevel="0" collapsed="false">
      <c r="A54" s="63"/>
      <c r="B54" s="63"/>
      <c r="C54" s="63"/>
      <c r="D54" s="63"/>
      <c r="E54" s="63"/>
      <c r="F54" s="63"/>
      <c r="G54" s="63"/>
    </row>
    <row r="55" customFormat="false" ht="12.75" hidden="false" customHeight="false" outlineLevel="0" collapsed="false">
      <c r="A55" s="63"/>
      <c r="B55" s="63"/>
      <c r="C55" s="63"/>
      <c r="D55" s="63"/>
      <c r="E55" s="63"/>
      <c r="F55" s="63"/>
      <c r="G55" s="63"/>
    </row>
    <row r="56" customFormat="false" ht="12.75" hidden="false" customHeight="false" outlineLevel="0" collapsed="false">
      <c r="A56" s="63"/>
      <c r="B56" s="63"/>
      <c r="C56" s="63"/>
      <c r="D56" s="63"/>
      <c r="E56" s="63"/>
      <c r="F56" s="63"/>
      <c r="G56" s="63"/>
    </row>
    <row r="57" customFormat="false" ht="12.75" hidden="false" customHeight="false" outlineLevel="0" collapsed="false">
      <c r="A57" s="63"/>
      <c r="B57" s="63"/>
      <c r="C57" s="63"/>
      <c r="D57" s="63"/>
      <c r="E57" s="63"/>
      <c r="F57" s="63"/>
      <c r="G57" s="63"/>
    </row>
    <row r="58" customFormat="false" ht="12.75" hidden="false" customHeight="false" outlineLevel="0" collapsed="false">
      <c r="A58" s="63"/>
      <c r="B58" s="63"/>
      <c r="C58" s="63"/>
      <c r="D58" s="63"/>
      <c r="E58" s="63"/>
      <c r="F58" s="63"/>
      <c r="G58" s="63"/>
    </row>
    <row r="59" customFormat="false" ht="12.75" hidden="false" customHeight="false" outlineLevel="0" collapsed="false">
      <c r="A59" s="63"/>
      <c r="B59" s="63"/>
      <c r="C59" s="63"/>
      <c r="D59" s="63"/>
      <c r="E59" s="63"/>
      <c r="F59" s="63"/>
      <c r="G59" s="63"/>
    </row>
    <row r="60" customFormat="false" ht="12.75" hidden="false" customHeight="false" outlineLevel="0" collapsed="false">
      <c r="A60" s="63"/>
      <c r="B60" s="63"/>
      <c r="C60" s="63"/>
      <c r="D60" s="63"/>
      <c r="E60" s="63"/>
      <c r="F60" s="63"/>
      <c r="G60" s="63"/>
    </row>
    <row r="61" customFormat="false" ht="12.75" hidden="false" customHeight="false" outlineLevel="0" collapsed="false">
      <c r="A61" s="63"/>
      <c r="B61" s="63"/>
      <c r="C61" s="63"/>
      <c r="D61" s="63"/>
      <c r="E61" s="63"/>
      <c r="F61" s="63"/>
      <c r="G61" s="63"/>
    </row>
    <row r="62" customFormat="false" ht="12.75" hidden="false" customHeight="false" outlineLevel="0" collapsed="false">
      <c r="A62" s="63"/>
      <c r="B62" s="63"/>
      <c r="C62" s="63"/>
      <c r="D62" s="63"/>
      <c r="E62" s="63"/>
      <c r="F62" s="63"/>
      <c r="G62" s="63"/>
    </row>
    <row r="63" customFormat="false" ht="12.75" hidden="false" customHeight="false" outlineLevel="0" collapsed="false">
      <c r="A63" s="63"/>
      <c r="B63" s="63"/>
      <c r="C63" s="63"/>
      <c r="D63" s="63"/>
      <c r="E63" s="63"/>
      <c r="F63" s="63"/>
      <c r="G63" s="63"/>
    </row>
    <row r="64" customFormat="false" ht="12.75" hidden="false" customHeight="false" outlineLevel="0" collapsed="false">
      <c r="A64" s="63"/>
      <c r="B64" s="63"/>
      <c r="C64" s="63"/>
      <c r="D64" s="63"/>
      <c r="E64" s="63"/>
      <c r="F64" s="63"/>
      <c r="G64" s="63"/>
    </row>
    <row r="65" customFormat="false" ht="12.75" hidden="false" customHeight="false" outlineLevel="0" collapsed="false">
      <c r="A65" s="63"/>
      <c r="B65" s="63"/>
      <c r="C65" s="63"/>
      <c r="D65" s="63"/>
      <c r="E65" s="63"/>
      <c r="F65" s="63"/>
      <c r="G65" s="63"/>
    </row>
    <row r="66" customFormat="false" ht="12.75" hidden="false" customHeight="false" outlineLevel="0" collapsed="false">
      <c r="A66" s="63"/>
      <c r="B66" s="63"/>
      <c r="C66" s="63"/>
      <c r="D66" s="63"/>
      <c r="E66" s="63"/>
      <c r="F66" s="63"/>
      <c r="G66" s="63"/>
    </row>
    <row r="67" customFormat="false" ht="12.75" hidden="false" customHeight="false" outlineLevel="0" collapsed="false">
      <c r="A67" s="63"/>
      <c r="B67" s="63"/>
      <c r="C67" s="63"/>
      <c r="D67" s="63"/>
      <c r="E67" s="63"/>
      <c r="F67" s="63"/>
      <c r="G67" s="63"/>
    </row>
    <row r="68" customFormat="false" ht="12.75" hidden="false" customHeight="false" outlineLevel="0" collapsed="false">
      <c r="A68" s="63"/>
      <c r="B68" s="63"/>
      <c r="C68" s="63"/>
      <c r="D68" s="63"/>
      <c r="E68" s="63"/>
      <c r="F68" s="63"/>
      <c r="G68" s="63"/>
    </row>
    <row r="69" customFormat="false" ht="12.75" hidden="false" customHeight="false" outlineLevel="0" collapsed="false">
      <c r="A69" s="63"/>
      <c r="B69" s="63"/>
      <c r="C69" s="63"/>
      <c r="D69" s="63"/>
      <c r="E69" s="63"/>
      <c r="F69" s="63"/>
      <c r="G69" s="63"/>
    </row>
    <row r="70" customFormat="false" ht="12.75" hidden="false" customHeight="false" outlineLevel="0" collapsed="false">
      <c r="A70" s="63"/>
      <c r="B70" s="63"/>
      <c r="C70" s="63"/>
      <c r="D70" s="63"/>
      <c r="E70" s="63"/>
      <c r="F70" s="63"/>
      <c r="G70" s="63"/>
    </row>
    <row r="71" customFormat="false" ht="12.75" hidden="false" customHeight="false" outlineLevel="0" collapsed="false">
      <c r="A71" s="63"/>
      <c r="B71" s="63"/>
      <c r="C71" s="63"/>
      <c r="D71" s="63"/>
      <c r="E71" s="63"/>
      <c r="F71" s="63"/>
      <c r="G71" s="63"/>
    </row>
    <row r="72" customFormat="false" ht="12.75" hidden="false" customHeight="false" outlineLevel="0" collapsed="false">
      <c r="A72" s="63"/>
      <c r="B72" s="63"/>
      <c r="C72" s="63"/>
      <c r="D72" s="63"/>
      <c r="E72" s="63"/>
      <c r="F72" s="63"/>
      <c r="G72" s="63"/>
    </row>
    <row r="73" customFormat="false" ht="12.75" hidden="false" customHeight="false" outlineLevel="0" collapsed="false">
      <c r="A73" s="63"/>
      <c r="B73" s="63"/>
      <c r="C73" s="63"/>
      <c r="D73" s="63"/>
      <c r="E73" s="63"/>
      <c r="F73" s="63"/>
      <c r="G73" s="63"/>
    </row>
    <row r="74" customFormat="false" ht="12.75" hidden="false" customHeight="false" outlineLevel="0" collapsed="false">
      <c r="A74" s="63"/>
      <c r="B74" s="63"/>
      <c r="C74" s="63"/>
      <c r="D74" s="63"/>
      <c r="E74" s="63"/>
      <c r="F74" s="63"/>
      <c r="G74" s="63"/>
    </row>
    <row r="75" customFormat="false" ht="12.75" hidden="false" customHeight="false" outlineLevel="0" collapsed="false">
      <c r="A75" s="63"/>
      <c r="B75" s="63"/>
      <c r="C75" s="63"/>
      <c r="D75" s="63"/>
      <c r="E75" s="63"/>
      <c r="F75" s="63"/>
      <c r="G75" s="63"/>
    </row>
    <row r="76" customFormat="false" ht="12.75" hidden="false" customHeight="false" outlineLevel="0" collapsed="false">
      <c r="A76" s="63"/>
      <c r="B76" s="63"/>
      <c r="C76" s="63"/>
      <c r="D76" s="63"/>
      <c r="E76" s="63"/>
      <c r="F76" s="63"/>
      <c r="G76" s="63"/>
    </row>
    <row r="77" customFormat="false" ht="12.75" hidden="false" customHeight="false" outlineLevel="0" collapsed="false">
      <c r="A77" s="63"/>
      <c r="B77" s="63"/>
      <c r="C77" s="63"/>
      <c r="D77" s="63"/>
      <c r="E77" s="63"/>
      <c r="F77" s="63"/>
      <c r="G77" s="63"/>
    </row>
    <row r="78" customFormat="false" ht="12.75" hidden="false" customHeight="false" outlineLevel="0" collapsed="false">
      <c r="A78" s="63"/>
      <c r="B78" s="63"/>
      <c r="C78" s="63"/>
      <c r="D78" s="63"/>
      <c r="E78" s="63"/>
      <c r="F78" s="63"/>
      <c r="G78" s="63"/>
    </row>
    <row r="79" customFormat="false" ht="12.75" hidden="false" customHeight="false" outlineLevel="0" collapsed="false">
      <c r="A79" s="63"/>
      <c r="B79" s="63"/>
      <c r="C79" s="63"/>
      <c r="D79" s="63"/>
      <c r="E79" s="63"/>
      <c r="F79" s="63"/>
      <c r="G79" s="63"/>
    </row>
    <row r="80" customFormat="false" ht="12.75" hidden="false" customHeight="false" outlineLevel="0" collapsed="false">
      <c r="A80" s="63"/>
      <c r="B80" s="63"/>
      <c r="C80" s="63"/>
      <c r="D80" s="63"/>
      <c r="E80" s="63"/>
      <c r="F80" s="63"/>
      <c r="G80" s="63"/>
    </row>
    <row r="81" customFormat="false" ht="12.75" hidden="false" customHeight="false" outlineLevel="0" collapsed="false">
      <c r="A81" s="63"/>
      <c r="B81" s="63"/>
      <c r="C81" s="63"/>
      <c r="D81" s="63"/>
      <c r="E81" s="63"/>
      <c r="F81" s="63"/>
      <c r="G81" s="63"/>
    </row>
    <row r="82" customFormat="false" ht="12.75" hidden="false" customHeight="false" outlineLevel="0" collapsed="false">
      <c r="A82" s="63"/>
      <c r="B82" s="63"/>
      <c r="C82" s="63"/>
      <c r="D82" s="63"/>
      <c r="E82" s="63"/>
      <c r="F82" s="63"/>
      <c r="G82" s="63"/>
    </row>
    <row r="83" customFormat="false" ht="12.75" hidden="false" customHeight="false" outlineLevel="0" collapsed="false">
      <c r="A83" s="63"/>
      <c r="B83" s="63"/>
      <c r="C83" s="63"/>
      <c r="D83" s="63"/>
      <c r="E83" s="63"/>
      <c r="F83" s="63"/>
      <c r="G83" s="63"/>
    </row>
    <row r="84" customFormat="false" ht="12.75" hidden="false" customHeight="false" outlineLevel="0" collapsed="false">
      <c r="A84" s="63"/>
      <c r="B84" s="63"/>
      <c r="C84" s="63"/>
      <c r="D84" s="63"/>
      <c r="E84" s="63"/>
      <c r="F84" s="63"/>
      <c r="G84" s="63"/>
    </row>
    <row r="85" customFormat="false" ht="12.75" hidden="false" customHeight="false" outlineLevel="0" collapsed="false">
      <c r="A85" s="63"/>
      <c r="B85" s="63"/>
      <c r="C85" s="63"/>
      <c r="D85" s="63"/>
      <c r="E85" s="63"/>
      <c r="F85" s="63"/>
      <c r="G85" s="63"/>
    </row>
    <row r="86" customFormat="false" ht="12.75" hidden="false" customHeight="false" outlineLevel="0" collapsed="false">
      <c r="A86" s="63"/>
      <c r="B86" s="63"/>
      <c r="C86" s="63"/>
      <c r="D86" s="63"/>
      <c r="E86" s="63"/>
      <c r="F86" s="63"/>
      <c r="G86" s="63"/>
    </row>
    <row r="87" customFormat="false" ht="12.75" hidden="false" customHeight="false" outlineLevel="0" collapsed="false">
      <c r="A87" s="63"/>
      <c r="B87" s="63"/>
      <c r="C87" s="63"/>
      <c r="D87" s="63"/>
      <c r="E87" s="63"/>
      <c r="F87" s="63"/>
      <c r="G87" s="63"/>
    </row>
    <row r="88" customFormat="false" ht="12.75" hidden="false" customHeight="false" outlineLevel="0" collapsed="false">
      <c r="A88" s="63"/>
      <c r="B88" s="63"/>
      <c r="C88" s="63"/>
      <c r="D88" s="63"/>
      <c r="E88" s="63"/>
      <c r="F88" s="63"/>
      <c r="G88" s="63"/>
    </row>
    <row r="89" customFormat="false" ht="12.75" hidden="false" customHeight="false" outlineLevel="0" collapsed="false">
      <c r="A89" s="63"/>
      <c r="B89" s="63"/>
      <c r="C89" s="63"/>
      <c r="D89" s="63"/>
      <c r="E89" s="63"/>
      <c r="F89" s="63"/>
      <c r="G89" s="63"/>
    </row>
    <row r="90" customFormat="false" ht="12.75" hidden="false" customHeight="false" outlineLevel="0" collapsed="false">
      <c r="A90" s="63"/>
      <c r="B90" s="63"/>
      <c r="C90" s="63"/>
      <c r="D90" s="63"/>
      <c r="E90" s="63"/>
      <c r="F90" s="63"/>
      <c r="G90" s="63"/>
    </row>
    <row r="91" customFormat="false" ht="12.75" hidden="false" customHeight="false" outlineLevel="0" collapsed="false">
      <c r="A91" s="63"/>
      <c r="B91" s="63"/>
      <c r="C91" s="63"/>
      <c r="D91" s="63"/>
      <c r="E91" s="63"/>
      <c r="F91" s="63"/>
      <c r="G91" s="63"/>
    </row>
    <row r="92" customFormat="false" ht="12.75" hidden="false" customHeight="false" outlineLevel="0" collapsed="false">
      <c r="A92" s="63"/>
      <c r="B92" s="63"/>
      <c r="C92" s="63"/>
      <c r="D92" s="63"/>
      <c r="E92" s="63"/>
      <c r="F92" s="63"/>
      <c r="G92" s="63"/>
    </row>
    <row r="93" customFormat="false" ht="12.75" hidden="false" customHeight="false" outlineLevel="0" collapsed="false">
      <c r="A93" s="63"/>
      <c r="B93" s="63"/>
      <c r="C93" s="63"/>
      <c r="D93" s="63"/>
      <c r="E93" s="63"/>
      <c r="F93" s="63"/>
      <c r="G93" s="63"/>
    </row>
    <row r="94" customFormat="false" ht="12.75" hidden="false" customHeight="false" outlineLevel="0" collapsed="false">
      <c r="A94" s="63"/>
      <c r="B94" s="63"/>
      <c r="C94" s="63"/>
      <c r="D94" s="63"/>
      <c r="E94" s="63"/>
      <c r="F94" s="63"/>
      <c r="G94" s="63"/>
    </row>
    <row r="95" customFormat="false" ht="12.75" hidden="false" customHeight="false" outlineLevel="0" collapsed="false">
      <c r="A95" s="63"/>
      <c r="B95" s="63"/>
      <c r="C95" s="63"/>
      <c r="D95" s="63"/>
      <c r="E95" s="63"/>
      <c r="F95" s="63"/>
      <c r="G95" s="63"/>
    </row>
    <row r="96" customFormat="false" ht="12.75" hidden="false" customHeight="false" outlineLevel="0" collapsed="false">
      <c r="A96" s="63"/>
      <c r="B96" s="63"/>
      <c r="C96" s="63"/>
      <c r="D96" s="63"/>
      <c r="E96" s="63"/>
      <c r="F96" s="63"/>
      <c r="G96" s="63"/>
    </row>
    <row r="97" customFormat="false" ht="12.75" hidden="false" customHeight="false" outlineLevel="0" collapsed="false">
      <c r="A97" s="63"/>
      <c r="B97" s="63"/>
      <c r="C97" s="63"/>
      <c r="D97" s="63"/>
      <c r="E97" s="63"/>
      <c r="F97" s="63"/>
      <c r="G97" s="63"/>
    </row>
    <row r="98" customFormat="false" ht="12.75" hidden="false" customHeight="false" outlineLevel="0" collapsed="false">
      <c r="A98" s="63"/>
      <c r="B98" s="63"/>
      <c r="C98" s="63"/>
      <c r="D98" s="63"/>
      <c r="E98" s="63"/>
      <c r="F98" s="63"/>
      <c r="G98" s="63"/>
    </row>
    <row r="99" customFormat="false" ht="12.75" hidden="false" customHeight="false" outlineLevel="0" collapsed="false">
      <c r="A99" s="63"/>
      <c r="B99" s="63"/>
      <c r="C99" s="63"/>
      <c r="D99" s="63"/>
      <c r="E99" s="63"/>
      <c r="F99" s="63"/>
      <c r="G99" s="63"/>
    </row>
    <row r="100" customFormat="false" ht="12.75" hidden="false" customHeight="false" outlineLevel="0" collapsed="false">
      <c r="A100" s="63"/>
      <c r="B100" s="63"/>
      <c r="C100" s="63"/>
      <c r="D100" s="63"/>
      <c r="E100" s="63"/>
      <c r="F100" s="63"/>
      <c r="G100" s="63"/>
    </row>
    <row r="101" customFormat="false" ht="12.75" hidden="false" customHeight="false" outlineLevel="0" collapsed="false">
      <c r="A101" s="63"/>
      <c r="B101" s="63"/>
      <c r="C101" s="63"/>
      <c r="D101" s="63"/>
      <c r="E101" s="63"/>
      <c r="F101" s="63"/>
      <c r="G101" s="63"/>
    </row>
    <row r="102" customFormat="false" ht="12.75" hidden="false" customHeight="false" outlineLevel="0" collapsed="false">
      <c r="A102" s="63"/>
      <c r="B102" s="63"/>
      <c r="C102" s="63"/>
      <c r="D102" s="63"/>
      <c r="E102" s="63"/>
      <c r="F102" s="63"/>
      <c r="G102" s="63"/>
    </row>
    <row r="103" customFormat="false" ht="12.75" hidden="false" customHeight="false" outlineLevel="0" collapsed="false">
      <c r="A103" s="63"/>
      <c r="B103" s="63"/>
      <c r="C103" s="63"/>
      <c r="D103" s="63"/>
      <c r="E103" s="63"/>
      <c r="F103" s="63"/>
      <c r="G103" s="63"/>
    </row>
    <row r="104" customFormat="false" ht="12.75" hidden="false" customHeight="false" outlineLevel="0" collapsed="false">
      <c r="A104" s="63"/>
      <c r="B104" s="63"/>
      <c r="C104" s="63"/>
      <c r="D104" s="63"/>
      <c r="E104" s="63"/>
      <c r="F104" s="63"/>
      <c r="G104" s="63"/>
    </row>
    <row r="105" customFormat="false" ht="12.75" hidden="false" customHeight="false" outlineLevel="0" collapsed="false">
      <c r="A105" s="63"/>
      <c r="B105" s="63"/>
      <c r="C105" s="63"/>
      <c r="D105" s="63"/>
      <c r="E105" s="63"/>
      <c r="F105" s="63"/>
      <c r="G105" s="63"/>
    </row>
  </sheetData>
  <mergeCells count="18">
    <mergeCell ref="A1:G1"/>
    <mergeCell ref="A2:G2"/>
    <mergeCell ref="A3:G3"/>
    <mergeCell ref="A4:G4"/>
    <mergeCell ref="A5:G5"/>
    <mergeCell ref="A6:G6"/>
    <mergeCell ref="D7:G7"/>
    <mergeCell ref="A9:A10"/>
    <mergeCell ref="B9:B10"/>
    <mergeCell ref="C9:C10"/>
    <mergeCell ref="D9:D10"/>
    <mergeCell ref="E9:F9"/>
    <mergeCell ref="G9:G10"/>
    <mergeCell ref="A20:D20"/>
    <mergeCell ref="A22:C22"/>
    <mergeCell ref="E22:G22"/>
    <mergeCell ref="A28:C28"/>
    <mergeCell ref="E28:G28"/>
  </mergeCells>
  <printOptions headings="false" gridLines="false" gridLinesSet="true" horizontalCentered="false" verticalCentered="false"/>
  <pageMargins left="0.7" right="0.159722222222222" top="0.4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8"/>
    <col collapsed="false" customWidth="true" hidden="false" outlineLevel="0" max="3" min="3" style="1" width="14.86"/>
    <col collapsed="false" customWidth="true" hidden="false" outlineLevel="0" max="4" min="4" style="1" width="11.71"/>
    <col collapsed="false" customWidth="true" hidden="false" outlineLevel="0" max="7" min="7" style="1" width="11.71"/>
    <col collapsed="false" customWidth="true" hidden="false" outlineLevel="0" max="10" min="10" style="1" width="11.85"/>
    <col collapsed="false" customWidth="true" hidden="false" outlineLevel="0" max="13" min="13" style="1" width="11.85"/>
  </cols>
  <sheetData>
    <row r="1" customFormat="false" ht="20.25" hidden="false" customHeight="true" outlineLevel="0" collapsed="false">
      <c r="A1" s="3" t="s">
        <v>27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customFormat="false" ht="15.75" hidden="false" customHeight="true" outlineLevel="0" collapsed="false">
      <c r="A2" s="5" t="str">
        <f>"Kèm theo BBNT số: "&amp;VLOOKUP(AZ2,'[1]Tuyến XB6A'!$A$2:$G$60,7,0)&amp;VLOOKUP(AZ2,'[1]Tuyến XB6A'!$A$2:$G$60,4,0)</f>
        <v xml:space="preserve">Kèm theo BBNT số: 22.NĐXB6A/CVXD ngày 05 tháng 09 năm 2026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AZ2">
        <v>22</v>
      </c>
    </row>
    <row r="3" customFormat="false" ht="15" hidden="false" customHeight="false" outlineLevel="0" collapsed="false">
      <c r="A3" s="22" t="s">
        <v>29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customFormat="false" ht="15" hidden="false" customHeight="false" outlineLevel="0" collapsed="false">
      <c r="A4" s="22" t="s">
        <v>30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customFormat="false" ht="15" hidden="false" customHeight="false" outlineLevel="0" collapsed="false">
      <c r="A5" s="22" t="s">
        <v>31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</row>
    <row r="6" customFormat="false" ht="15" hidden="false" customHeight="false" outlineLevel="0" collapsed="false">
      <c r="A6" s="22" t="s">
        <v>32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customFormat="false" ht="15" hidden="false" customHeight="false" outlineLevel="0" collapsed="false">
      <c r="A7" s="21" t="s">
        <v>33</v>
      </c>
      <c r="C7" s="22"/>
      <c r="D7" s="22" t="str">
        <f>VLOOKUP(AZ2,'[1]Tuyến XB6A'!$A$2:$B$60,2,0)</f>
        <v xml:space="preserve">Đắp đất lề đường lớp 3, độ chặt K&gt;=0,95 đoạn từ Km0+000,00 - Km0+126,46</v>
      </c>
      <c r="F7" s="22"/>
      <c r="G7" s="22"/>
      <c r="I7" s="22"/>
      <c r="J7" s="22"/>
      <c r="K7" s="22"/>
      <c r="L7" s="22"/>
      <c r="M7" s="22"/>
      <c r="N7" s="22"/>
      <c r="O7" s="22"/>
      <c r="P7" s="22"/>
      <c r="Q7" s="22"/>
    </row>
    <row r="8" customFormat="false" ht="15" hidden="false" customHeight="false" outlineLevel="0" collapsed="false">
      <c r="A8" s="21" t="s">
        <v>35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</row>
    <row r="19" customFormat="false" ht="15" hidden="false" customHeight="true" outlineLevel="0" collapsed="false">
      <c r="A19" s="10" t="s">
        <v>36</v>
      </c>
      <c r="B19" s="10" t="s">
        <v>37</v>
      </c>
      <c r="C19" s="10" t="s">
        <v>38</v>
      </c>
      <c r="D19" s="11" t="s">
        <v>39</v>
      </c>
      <c r="E19" s="11"/>
      <c r="F19" s="11"/>
      <c r="G19" s="11" t="s">
        <v>40</v>
      </c>
      <c r="H19" s="11"/>
      <c r="I19" s="11"/>
      <c r="J19" s="11" t="s">
        <v>41</v>
      </c>
      <c r="K19" s="11"/>
      <c r="L19" s="11"/>
      <c r="M19" s="11" t="s">
        <v>42</v>
      </c>
      <c r="N19" s="11"/>
      <c r="O19" s="11"/>
      <c r="P19" s="10" t="s">
        <v>43</v>
      </c>
    </row>
    <row r="20" customFormat="false" ht="30" hidden="false" customHeight="true" outlineLevel="0" collapsed="false">
      <c r="A20" s="10"/>
      <c r="B20" s="10"/>
      <c r="C20" s="10"/>
      <c r="D20" s="11" t="s">
        <v>44</v>
      </c>
      <c r="E20" s="11" t="s">
        <v>45</v>
      </c>
      <c r="F20" s="11" t="s">
        <v>46</v>
      </c>
      <c r="G20" s="11" t="s">
        <v>44</v>
      </c>
      <c r="H20" s="11" t="s">
        <v>45</v>
      </c>
      <c r="I20" s="11" t="s">
        <v>46</v>
      </c>
      <c r="J20" s="11" t="s">
        <v>44</v>
      </c>
      <c r="K20" s="11" t="s">
        <v>45</v>
      </c>
      <c r="L20" s="11" t="s">
        <v>46</v>
      </c>
      <c r="M20" s="11" t="s">
        <v>44</v>
      </c>
      <c r="N20" s="11" t="s">
        <v>45</v>
      </c>
      <c r="O20" s="11" t="s">
        <v>46</v>
      </c>
      <c r="P20" s="10"/>
    </row>
    <row r="21" customFormat="false" ht="15" hidden="false" customHeight="false" outlineLevel="0" collapsed="false">
      <c r="A21" s="13" t="n">
        <v>1</v>
      </c>
      <c r="B21" s="14" t="s">
        <v>17</v>
      </c>
      <c r="C21" s="15" t="n">
        <v>0</v>
      </c>
      <c r="D21" s="16" t="n">
        <f aca="false">Chạy!G3</f>
        <v>2.52</v>
      </c>
      <c r="E21" s="16" t="n">
        <f aca="false">D21+F21</f>
        <v>2.533</v>
      </c>
      <c r="F21" s="16" t="n">
        <f aca="false">RANDBETWEEN(-30,100)/1000</f>
        <v>0.013</v>
      </c>
      <c r="G21" s="16" t="n">
        <f aca="false">Chạy!I3</f>
        <v>2.52</v>
      </c>
      <c r="H21" s="16" t="n">
        <f aca="false">G21+I21</f>
        <v>2.575</v>
      </c>
      <c r="I21" s="16" t="n">
        <f aca="false">RANDBETWEEN(-30,100)/1000</f>
        <v>0.055</v>
      </c>
      <c r="J21" s="16" t="n">
        <f aca="false">Chạy!M7</f>
        <v>2.52</v>
      </c>
      <c r="K21" s="16" t="n">
        <f aca="false">J21+L21</f>
        <v>2.518</v>
      </c>
      <c r="L21" s="16" t="n">
        <f aca="false">RANDBETWEEN(-30,100)/1000</f>
        <v>-0.002</v>
      </c>
      <c r="M21" s="16" t="n">
        <f aca="false">Chạy!O7</f>
        <v>2.52</v>
      </c>
      <c r="N21" s="16" t="n">
        <f aca="false">M21+O21</f>
        <v>2.579</v>
      </c>
      <c r="O21" s="16" t="n">
        <f aca="false">RANDBETWEEN(-30,100)/1000</f>
        <v>0.059</v>
      </c>
      <c r="P21" s="17"/>
      <c r="Q21" s="18" t="n">
        <v>19.63</v>
      </c>
    </row>
    <row r="22" customFormat="false" ht="15" hidden="false" customHeight="false" outlineLevel="0" collapsed="false">
      <c r="A22" s="13" t="n">
        <v>2</v>
      </c>
      <c r="B22" s="14" t="s">
        <v>19</v>
      </c>
      <c r="C22" s="15" t="n">
        <f aca="false">C21+Q21</f>
        <v>19.63</v>
      </c>
      <c r="D22" s="16" t="n">
        <f aca="false">Chạy!G11</f>
        <v>2.52</v>
      </c>
      <c r="E22" s="16" t="n">
        <f aca="false">D22+F22</f>
        <v>2.543</v>
      </c>
      <c r="F22" s="16" t="n">
        <f aca="false">RANDBETWEEN(-30,100)/1000</f>
        <v>0.023</v>
      </c>
      <c r="G22" s="16" t="n">
        <f aca="false">Chạy!I11</f>
        <v>2.52</v>
      </c>
      <c r="H22" s="16" t="n">
        <f aca="false">G22+I22</f>
        <v>2.495</v>
      </c>
      <c r="I22" s="16" t="n">
        <f aca="false">RANDBETWEEN(-30,100)/1000</f>
        <v>-0.025</v>
      </c>
      <c r="J22" s="16" t="n">
        <f aca="false">Chạy!M15</f>
        <v>2.52</v>
      </c>
      <c r="K22" s="16" t="n">
        <f aca="false">J22+L22</f>
        <v>2.531</v>
      </c>
      <c r="L22" s="16" t="n">
        <f aca="false">RANDBETWEEN(-30,100)/1000</f>
        <v>0.011</v>
      </c>
      <c r="M22" s="16" t="n">
        <f aca="false">Chạy!O15</f>
        <v>2.52</v>
      </c>
      <c r="N22" s="16" t="n">
        <f aca="false">M22+O22</f>
        <v>2.569</v>
      </c>
      <c r="O22" s="16" t="n">
        <f aca="false">RANDBETWEEN(-30,100)/1000</f>
        <v>0.049</v>
      </c>
      <c r="P22" s="17"/>
      <c r="Q22" s="18" t="n">
        <v>17.17</v>
      </c>
    </row>
    <row r="23" customFormat="false" ht="15" hidden="false" customHeight="false" outlineLevel="0" collapsed="false">
      <c r="A23" s="13" t="n">
        <v>3</v>
      </c>
      <c r="B23" s="14" t="s">
        <v>20</v>
      </c>
      <c r="C23" s="15" t="n">
        <f aca="false">C22+Q22</f>
        <v>36.8</v>
      </c>
      <c r="D23" s="16" t="n">
        <f aca="false">Chạy!G19</f>
        <v>2.53</v>
      </c>
      <c r="E23" s="16" t="n">
        <f aca="false">D23+F23</f>
        <v>2.6</v>
      </c>
      <c r="F23" s="16" t="n">
        <f aca="false">RANDBETWEEN(-30,100)/1000</f>
        <v>0.07</v>
      </c>
      <c r="G23" s="16" t="n">
        <f aca="false">Chạy!I19</f>
        <v>2.53</v>
      </c>
      <c r="H23" s="16" t="n">
        <f aca="false">G23+I23</f>
        <v>2.504</v>
      </c>
      <c r="I23" s="16" t="n">
        <f aca="false">RANDBETWEEN(-30,100)/1000</f>
        <v>-0.026</v>
      </c>
      <c r="J23" s="16" t="n">
        <f aca="false">Chạy!M23</f>
        <v>2.53</v>
      </c>
      <c r="K23" s="16" t="n">
        <f aca="false">J23+L23</f>
        <v>2.513</v>
      </c>
      <c r="L23" s="16" t="n">
        <f aca="false">RANDBETWEEN(-30,100)/1000</f>
        <v>-0.017</v>
      </c>
      <c r="M23" s="16" t="n">
        <f aca="false">Chạy!O23</f>
        <v>2.53</v>
      </c>
      <c r="N23" s="16" t="n">
        <f aca="false">M23+O23</f>
        <v>2.548</v>
      </c>
      <c r="O23" s="16" t="n">
        <f aca="false">RANDBETWEEN(-30,100)/1000</f>
        <v>0.018</v>
      </c>
      <c r="P23" s="17"/>
      <c r="Q23" s="18" t="n">
        <v>17.18</v>
      </c>
    </row>
    <row r="24" customFormat="false" ht="15" hidden="false" customHeight="false" outlineLevel="0" collapsed="false">
      <c r="A24" s="13" t="n">
        <v>4</v>
      </c>
      <c r="B24" s="14" t="s">
        <v>21</v>
      </c>
      <c r="C24" s="15" t="n">
        <f aca="false">C23+Q23</f>
        <v>53.98</v>
      </c>
      <c r="D24" s="16" t="n">
        <f aca="false">Chạy!G27</f>
        <v>2.54</v>
      </c>
      <c r="E24" s="16" t="n">
        <f aca="false">D24+F24</f>
        <v>2.513</v>
      </c>
      <c r="F24" s="16" t="n">
        <f aca="false">RANDBETWEEN(-30,100)/1000</f>
        <v>-0.027</v>
      </c>
      <c r="G24" s="16" t="n">
        <f aca="false">Chạy!I27</f>
        <v>2.54</v>
      </c>
      <c r="H24" s="16" t="n">
        <f aca="false">G24+I24</f>
        <v>2.554</v>
      </c>
      <c r="I24" s="16" t="n">
        <f aca="false">RANDBETWEEN(-30,100)/1000</f>
        <v>0.014</v>
      </c>
      <c r="J24" s="16" t="n">
        <f aca="false">Chạy!M31</f>
        <v>2.54</v>
      </c>
      <c r="K24" s="16" t="n">
        <f aca="false">J24+L24</f>
        <v>2.611</v>
      </c>
      <c r="L24" s="16" t="n">
        <f aca="false">RANDBETWEEN(-30,100)/1000</f>
        <v>0.071</v>
      </c>
      <c r="M24" s="16" t="n">
        <f aca="false">Chạy!O31</f>
        <v>2.54</v>
      </c>
      <c r="N24" s="16" t="n">
        <f aca="false">M24+O24</f>
        <v>2.514</v>
      </c>
      <c r="O24" s="16" t="n">
        <f aca="false">RANDBETWEEN(-30,100)/1000</f>
        <v>-0.026</v>
      </c>
      <c r="P24" s="17"/>
      <c r="Q24" s="18" t="n">
        <v>12.97</v>
      </c>
    </row>
    <row r="25" customFormat="false" ht="15" hidden="false" customHeight="false" outlineLevel="0" collapsed="false">
      <c r="A25" s="13" t="n">
        <v>5</v>
      </c>
      <c r="B25" s="14" t="s">
        <v>22</v>
      </c>
      <c r="C25" s="15" t="n">
        <f aca="false">C24+Q24</f>
        <v>66.95</v>
      </c>
      <c r="D25" s="16" t="n">
        <f aca="false">Chạy!G35</f>
        <v>2.54</v>
      </c>
      <c r="E25" s="16" t="n">
        <f aca="false">D25+F25</f>
        <v>2.585</v>
      </c>
      <c r="F25" s="16" t="n">
        <f aca="false">RANDBETWEEN(-30,100)/1000</f>
        <v>0.045</v>
      </c>
      <c r="G25" s="16" t="n">
        <f aca="false">Chạy!I35</f>
        <v>2.54</v>
      </c>
      <c r="H25" s="16" t="n">
        <f aca="false">G25+I25</f>
        <v>2.516</v>
      </c>
      <c r="I25" s="16" t="n">
        <f aca="false">RANDBETWEEN(-30,100)/1000</f>
        <v>-0.024</v>
      </c>
      <c r="J25" s="16" t="n">
        <f aca="false">Chạy!M39</f>
        <v>2.54</v>
      </c>
      <c r="K25" s="16" t="n">
        <f aca="false">J25+L25</f>
        <v>2.516</v>
      </c>
      <c r="L25" s="16" t="n">
        <f aca="false">RANDBETWEEN(-30,100)/1000</f>
        <v>-0.024</v>
      </c>
      <c r="M25" s="16" t="n">
        <f aca="false">Chạy!O39</f>
        <v>2.54</v>
      </c>
      <c r="N25" s="16" t="n">
        <f aca="false">M25+O25</f>
        <v>2.51</v>
      </c>
      <c r="O25" s="16" t="n">
        <f aca="false">RANDBETWEEN(-30,100)/1000</f>
        <v>-0.03</v>
      </c>
      <c r="P25" s="17"/>
      <c r="Q25" s="18" t="n">
        <v>10.68</v>
      </c>
    </row>
    <row r="26" customFormat="false" ht="15" hidden="false" customHeight="false" outlineLevel="0" collapsed="false">
      <c r="A26" s="13" t="n">
        <v>6</v>
      </c>
      <c r="B26" s="14" t="s">
        <v>23</v>
      </c>
      <c r="C26" s="15" t="n">
        <f aca="false">C25+Q25</f>
        <v>77.63</v>
      </c>
      <c r="D26" s="16" t="n">
        <f aca="false">Chạy!G43</f>
        <v>2.55</v>
      </c>
      <c r="E26" s="16" t="n">
        <f aca="false">D26+F26</f>
        <v>2.534</v>
      </c>
      <c r="F26" s="16" t="n">
        <f aca="false">RANDBETWEEN(-30,100)/1000</f>
        <v>-0.016</v>
      </c>
      <c r="G26" s="16" t="n">
        <f aca="false">Chạy!I43</f>
        <v>2.55</v>
      </c>
      <c r="H26" s="16" t="n">
        <f aca="false">G26+I26</f>
        <v>2.617</v>
      </c>
      <c r="I26" s="16" t="n">
        <f aca="false">RANDBETWEEN(-30,100)/1000</f>
        <v>0.067</v>
      </c>
      <c r="J26" s="16" t="n">
        <f aca="false">Chạy!M47</f>
        <v>2.55</v>
      </c>
      <c r="K26" s="16" t="n">
        <f aca="false">J26+L26</f>
        <v>2.557</v>
      </c>
      <c r="L26" s="16" t="n">
        <f aca="false">RANDBETWEEN(-30,100)/1000</f>
        <v>0.007</v>
      </c>
      <c r="M26" s="16" t="n">
        <f aca="false">Chạy!O47</f>
        <v>2.55</v>
      </c>
      <c r="N26" s="16" t="n">
        <f aca="false">M26+O26</f>
        <v>2.559</v>
      </c>
      <c r="O26" s="16" t="n">
        <f aca="false">RANDBETWEEN(-30,100)/1000</f>
        <v>0.009</v>
      </c>
      <c r="P26" s="17"/>
      <c r="Q26" s="18" t="n">
        <v>17.17</v>
      </c>
    </row>
    <row r="27" customFormat="false" ht="15" hidden="false" customHeight="false" outlineLevel="0" collapsed="false">
      <c r="A27" s="13" t="n">
        <v>7</v>
      </c>
      <c r="B27" s="14" t="s">
        <v>24</v>
      </c>
      <c r="C27" s="15" t="n">
        <f aca="false">C26+Q26</f>
        <v>94.8</v>
      </c>
      <c r="D27" s="16" t="n">
        <f aca="false">Chạy!G51</f>
        <v>2.56</v>
      </c>
      <c r="E27" s="16" t="n">
        <f aca="false">D27+F27</f>
        <v>2.533</v>
      </c>
      <c r="F27" s="16" t="n">
        <f aca="false">RANDBETWEEN(-30,100)/1000</f>
        <v>-0.027</v>
      </c>
      <c r="G27" s="16" t="n">
        <f aca="false">Chạy!I51</f>
        <v>2.56</v>
      </c>
      <c r="H27" s="16" t="n">
        <f aca="false">G27+I27</f>
        <v>2.545</v>
      </c>
      <c r="I27" s="16" t="n">
        <f aca="false">RANDBETWEEN(-30,100)/1000</f>
        <v>-0.015</v>
      </c>
      <c r="J27" s="16" t="n">
        <f aca="false">Chạy!M55</f>
        <v>2.56</v>
      </c>
      <c r="K27" s="16" t="n">
        <f aca="false">J27+L27</f>
        <v>2.538</v>
      </c>
      <c r="L27" s="16" t="n">
        <f aca="false">RANDBETWEEN(-30,100)/1000</f>
        <v>-0.022</v>
      </c>
      <c r="M27" s="16" t="n">
        <f aca="false">Chạy!O55</f>
        <v>2.56</v>
      </c>
      <c r="N27" s="16" t="n">
        <f aca="false">M27+O27</f>
        <v>2.604</v>
      </c>
      <c r="O27" s="16" t="n">
        <f aca="false">RANDBETWEEN(-30,100)/1000</f>
        <v>0.044</v>
      </c>
      <c r="P27" s="17"/>
      <c r="Q27" s="18" t="n">
        <v>17.17</v>
      </c>
    </row>
    <row r="28" customFormat="false" ht="15" hidden="false" customHeight="false" outlineLevel="0" collapsed="false">
      <c r="A28" s="13" t="n">
        <v>8</v>
      </c>
      <c r="B28" s="14" t="s">
        <v>25</v>
      </c>
      <c r="C28" s="15" t="n">
        <f aca="false">C27+Q27</f>
        <v>111.97</v>
      </c>
      <c r="D28" s="16" t="n">
        <f aca="false">Chạy!G59</f>
        <v>2.57</v>
      </c>
      <c r="E28" s="16" t="n">
        <f aca="false">D28+F28</f>
        <v>2.571</v>
      </c>
      <c r="F28" s="16" t="n">
        <f aca="false">RANDBETWEEN(-30,100)/1000</f>
        <v>0.001</v>
      </c>
      <c r="G28" s="16" t="n">
        <f aca="false">Chạy!I59</f>
        <v>2.57</v>
      </c>
      <c r="H28" s="16" t="n">
        <f aca="false">G28+I28</f>
        <v>2.609</v>
      </c>
      <c r="I28" s="16" t="n">
        <f aca="false">RANDBETWEEN(-30,100)/1000</f>
        <v>0.039</v>
      </c>
      <c r="J28" s="16" t="n">
        <f aca="false">Chạy!M63</f>
        <v>2.57</v>
      </c>
      <c r="K28" s="16" t="n">
        <f aca="false">J28+L28</f>
        <v>2.584</v>
      </c>
      <c r="L28" s="16" t="n">
        <f aca="false">RANDBETWEEN(-30,100)/1000</f>
        <v>0.014</v>
      </c>
      <c r="M28" s="16" t="n">
        <f aca="false">Chạy!O63</f>
        <v>2.57</v>
      </c>
      <c r="N28" s="16" t="n">
        <f aca="false">M28+O28</f>
        <v>2.666</v>
      </c>
      <c r="O28" s="16" t="n">
        <f aca="false">RANDBETWEEN(-30,100)/1000</f>
        <v>0.096</v>
      </c>
      <c r="P28" s="17"/>
      <c r="Q28" s="18" t="n">
        <v>14.49</v>
      </c>
    </row>
    <row r="29" customFormat="false" ht="15" hidden="false" customHeight="false" outlineLevel="0" collapsed="false">
      <c r="A29" s="13" t="n">
        <v>9</v>
      </c>
      <c r="B29" s="14" t="s">
        <v>26</v>
      </c>
      <c r="C29" s="15" t="n">
        <f aca="false">C28+Q28</f>
        <v>126.46</v>
      </c>
      <c r="D29" s="16" t="n">
        <f aca="false">Chạy!G67</f>
        <v>2.57</v>
      </c>
      <c r="E29" s="16" t="n">
        <f aca="false">D29+F29</f>
        <v>2.598</v>
      </c>
      <c r="F29" s="16" t="n">
        <f aca="false">RANDBETWEEN(-30,100)/1000</f>
        <v>0.028</v>
      </c>
      <c r="G29" s="16" t="n">
        <f aca="false">Chạy!I67</f>
        <v>2.57</v>
      </c>
      <c r="H29" s="16" t="n">
        <f aca="false">G29+I29</f>
        <v>2.608</v>
      </c>
      <c r="I29" s="16" t="n">
        <f aca="false">RANDBETWEEN(-30,100)/1000</f>
        <v>0.038</v>
      </c>
      <c r="J29" s="16" t="n">
        <f aca="false">Chạy!M71</f>
        <v>2.57</v>
      </c>
      <c r="K29" s="16" t="n">
        <f aca="false">J29+L29</f>
        <v>2.602</v>
      </c>
      <c r="L29" s="16" t="n">
        <f aca="false">RANDBETWEEN(-30,100)/1000</f>
        <v>0.032</v>
      </c>
      <c r="M29" s="16" t="n">
        <f aca="false">Chạy!O71</f>
        <v>2.57</v>
      </c>
      <c r="N29" s="16" t="n">
        <f aca="false">M29+O29</f>
        <v>2.575</v>
      </c>
      <c r="O29" s="16" t="n">
        <f aca="false">RANDBETWEEN(-30,100)/1000</f>
        <v>0.005</v>
      </c>
      <c r="P29" s="17"/>
      <c r="Q29" s="18"/>
    </row>
    <row r="31" customFormat="false" ht="15" hidden="false" customHeight="false" outlineLevel="0" collapsed="false">
      <c r="C31" s="19" t="s">
        <v>47</v>
      </c>
      <c r="D31" s="19"/>
      <c r="E31" s="19"/>
      <c r="F31" s="19"/>
      <c r="G31" s="20"/>
      <c r="H31" s="20"/>
      <c r="I31" s="20"/>
      <c r="K31" s="19" t="s">
        <v>48</v>
      </c>
      <c r="L31" s="19"/>
      <c r="M31" s="19"/>
      <c r="N31" s="19"/>
      <c r="O31" s="21"/>
    </row>
    <row r="32" customFormat="false" ht="15" hidden="false" customHeight="false" outlineLevel="0" collapsed="false">
      <c r="D32" s="22"/>
      <c r="E32" s="22"/>
      <c r="G32" s="22"/>
      <c r="H32" s="22"/>
      <c r="J32" s="22"/>
      <c r="K32" s="22"/>
      <c r="L32" s="22"/>
      <c r="M32" s="22"/>
      <c r="N32" s="22"/>
      <c r="O32" s="22"/>
    </row>
    <row r="33" customFormat="false" ht="15" hidden="false" customHeight="false" outlineLevel="0" collapsed="false">
      <c r="D33" s="22"/>
      <c r="E33" s="22"/>
      <c r="G33" s="22"/>
      <c r="H33" s="22"/>
      <c r="J33" s="22"/>
      <c r="K33" s="22"/>
      <c r="L33" s="22"/>
      <c r="M33" s="22"/>
      <c r="N33" s="22"/>
      <c r="O33" s="22"/>
    </row>
    <row r="34" customFormat="false" ht="15" hidden="false" customHeight="false" outlineLevel="0" collapsed="false">
      <c r="D34" s="22"/>
      <c r="E34" s="22"/>
      <c r="G34" s="22"/>
      <c r="H34" s="22"/>
      <c r="J34" s="22"/>
      <c r="K34" s="22"/>
      <c r="L34" s="22"/>
      <c r="M34" s="22"/>
      <c r="N34" s="22"/>
      <c r="O34" s="22"/>
    </row>
    <row r="35" customFormat="false" ht="15" hidden="false" customHeight="false" outlineLevel="0" collapsed="false">
      <c r="D35" s="22"/>
      <c r="E35" s="22"/>
      <c r="G35" s="22"/>
      <c r="H35" s="22"/>
      <c r="J35" s="22"/>
      <c r="K35" s="22"/>
      <c r="L35" s="22"/>
      <c r="M35" s="22"/>
      <c r="N35" s="22"/>
      <c r="O35" s="22"/>
    </row>
    <row r="36" customFormat="false" ht="15" hidden="false" customHeight="false" outlineLevel="0" collapsed="false">
      <c r="C36" s="19" t="s">
        <v>49</v>
      </c>
      <c r="D36" s="19"/>
      <c r="E36" s="19"/>
      <c r="F36" s="19"/>
      <c r="G36" s="20"/>
      <c r="H36" s="20"/>
      <c r="I36" s="20"/>
      <c r="J36" s="21"/>
      <c r="K36" s="19" t="s">
        <v>50</v>
      </c>
      <c r="L36" s="19"/>
      <c r="M36" s="19"/>
      <c r="N36" s="19"/>
      <c r="O36" s="21"/>
    </row>
  </sheetData>
  <mergeCells count="14">
    <mergeCell ref="A1:P1"/>
    <mergeCell ref="A2:P2"/>
    <mergeCell ref="A19:A20"/>
    <mergeCell ref="B19:B20"/>
    <mergeCell ref="C19:C20"/>
    <mergeCell ref="D19:F19"/>
    <mergeCell ref="G19:I19"/>
    <mergeCell ref="J19:L19"/>
    <mergeCell ref="M19:O19"/>
    <mergeCell ref="P19:P20"/>
    <mergeCell ref="C31:F31"/>
    <mergeCell ref="K31:N31"/>
    <mergeCell ref="C36:F36"/>
    <mergeCell ref="K36:N36"/>
  </mergeCells>
  <printOptions headings="false" gridLines="false" gridLinesSet="true" horizontalCentered="false" verticalCentered="false"/>
  <pageMargins left="0.708333333333333" right="0.157638888888889" top="0.747916666666667" bottom="0.511805555555556" header="0.511811023622047" footer="0.157638888888889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C10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I24" activeCellId="0" sqref="I24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false" outlineLevel="0" max="5" min="5" style="24" width="15.42"/>
    <col collapsed="false" customWidth="true" hidden="false" outlineLevel="0" max="6" min="6" style="24" width="15.29"/>
    <col collapsed="false" customWidth="true" hidden="false" outlineLevel="0" max="7" min="7" style="24" width="7.29"/>
    <col collapsed="false" customWidth="true" hidden="false" outlineLevel="0" max="8" min="8" style="23" width="4.86"/>
    <col collapsed="false" customWidth="true" hidden="false" outlineLevel="0" max="9" min="9" style="23" width="10"/>
    <col collapsed="false" customWidth="true" hidden="false" outlineLevel="0" max="10" min="10" style="23" width="11.43"/>
    <col collapsed="false" customWidth="true" hidden="false" outlineLevel="0" max="12" min="11" style="23" width="10.57"/>
    <col collapsed="false" customWidth="true" hidden="false" outlineLevel="0" max="13" min="13" style="23" width="11.29"/>
    <col collapsed="false" customWidth="true" hidden="false" outlineLevel="0" max="14" min="14" style="23" width="10.57"/>
    <col collapsed="false" customWidth="true" hidden="false" outlineLevel="0" max="15" min="15" style="23" width="6.43"/>
    <col collapsed="false" customWidth="true" hidden="false" outlineLevel="0" max="16" min="16" style="23" width="10.57"/>
    <col collapsed="false" customWidth="true" hidden="false" outlineLevel="0" max="17" min="17" style="23" width="10.29"/>
    <col collapsed="false" customWidth="false" hidden="false" outlineLevel="0" max="16384" min="18" style="23" width="9.29"/>
  </cols>
  <sheetData>
    <row r="1" s="26" customFormat="true" ht="16.5" hidden="false" customHeight="true" outlineLevel="0" collapsed="false">
      <c r="A1" s="25" t="s">
        <v>51</v>
      </c>
      <c r="B1" s="25"/>
      <c r="C1" s="25"/>
      <c r="D1" s="25"/>
      <c r="E1" s="25"/>
      <c r="F1" s="25"/>
      <c r="G1" s="25"/>
    </row>
    <row r="2" s="70" customFormat="true" ht="15.75" hidden="false" customHeight="true" outlineLevel="0" collapsed="false">
      <c r="A2" s="27" t="str">
        <f>"Kèm theo BBNT số: "&amp;VLOOKUP(AZ2,'[1]Tuyến XB6A'!$A$2:$G$60,7,0)&amp;VLOOKUP(AZ2,'[1]Tuyến XB6A'!$A$2:$G$60,4,0)</f>
        <v xml:space="preserve">Kèm theo BBNT số: 22.NĐXB6A/CVXD ngày 05 tháng 09 năm 2026</v>
      </c>
      <c r="B2" s="27"/>
      <c r="C2" s="27"/>
      <c r="D2" s="27"/>
      <c r="E2" s="27"/>
      <c r="F2" s="27"/>
      <c r="G2" s="27"/>
      <c r="AZ2">
        <v>22</v>
      </c>
    </row>
    <row r="3" s="54" customFormat="true" ht="37.5" hidden="false" customHeight="true" outlineLevel="0" collapsed="false">
      <c r="A3" s="28" t="s">
        <v>29</v>
      </c>
      <c r="B3" s="28"/>
      <c r="C3" s="28"/>
      <c r="D3" s="28"/>
      <c r="E3" s="28"/>
      <c r="F3" s="28"/>
      <c r="G3" s="28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5"/>
      <c r="CR3" s="65"/>
      <c r="CS3" s="65"/>
      <c r="CT3" s="65"/>
      <c r="CU3" s="65"/>
      <c r="CV3" s="65"/>
      <c r="CW3" s="65"/>
      <c r="CX3" s="65"/>
      <c r="CY3" s="65"/>
      <c r="CZ3" s="65"/>
      <c r="DA3" s="65"/>
      <c r="DB3" s="65"/>
      <c r="DC3" s="65"/>
      <c r="DD3" s="65"/>
      <c r="DE3" s="65"/>
      <c r="DF3" s="65"/>
      <c r="DG3" s="65"/>
      <c r="DH3" s="65"/>
      <c r="DI3" s="65"/>
      <c r="DJ3" s="65"/>
      <c r="DK3" s="65"/>
      <c r="DL3" s="65"/>
      <c r="DM3" s="65"/>
      <c r="DN3" s="65"/>
      <c r="DO3" s="65"/>
      <c r="DP3" s="65"/>
      <c r="DQ3" s="65"/>
      <c r="DR3" s="65"/>
      <c r="DS3" s="65"/>
      <c r="DT3" s="65"/>
      <c r="DU3" s="65"/>
      <c r="DV3" s="65"/>
      <c r="DW3" s="65"/>
      <c r="DX3" s="65"/>
      <c r="DY3" s="65"/>
      <c r="DZ3" s="65"/>
      <c r="EA3" s="65"/>
      <c r="EB3" s="65"/>
      <c r="EC3" s="65"/>
      <c r="ED3" s="65"/>
      <c r="EE3" s="65"/>
      <c r="EF3" s="65"/>
      <c r="EG3" s="65"/>
      <c r="EH3" s="65"/>
      <c r="EI3" s="65"/>
      <c r="EJ3" s="65"/>
      <c r="EK3" s="65"/>
      <c r="EL3" s="65"/>
      <c r="EM3" s="65"/>
      <c r="EN3" s="65"/>
      <c r="EO3" s="65"/>
      <c r="EP3" s="65"/>
      <c r="EQ3" s="65"/>
      <c r="ER3" s="65"/>
      <c r="ES3" s="65"/>
      <c r="ET3" s="65"/>
      <c r="EU3" s="65"/>
      <c r="EV3" s="65"/>
      <c r="EW3" s="65"/>
      <c r="EX3" s="65"/>
      <c r="EY3" s="65"/>
      <c r="EZ3" s="65"/>
      <c r="FA3" s="65"/>
      <c r="FB3" s="65"/>
      <c r="FC3" s="65"/>
      <c r="FD3" s="65"/>
      <c r="FE3" s="65"/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</row>
    <row r="4" s="54" customFormat="true" ht="37.5" hidden="false" customHeight="true" outlineLevel="0" collapsed="false">
      <c r="A4" s="28" t="s">
        <v>30</v>
      </c>
      <c r="B4" s="28"/>
      <c r="C4" s="28"/>
      <c r="D4" s="28"/>
      <c r="E4" s="28"/>
      <c r="F4" s="28"/>
      <c r="G4" s="28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5"/>
      <c r="CR4" s="65"/>
      <c r="CS4" s="65"/>
      <c r="CT4" s="65"/>
      <c r="CU4" s="65"/>
      <c r="CV4" s="65"/>
      <c r="CW4" s="65"/>
      <c r="CX4" s="65"/>
      <c r="CY4" s="65"/>
      <c r="CZ4" s="65"/>
      <c r="DA4" s="65"/>
      <c r="DB4" s="65"/>
      <c r="DC4" s="65"/>
      <c r="DD4" s="65"/>
      <c r="DE4" s="65"/>
      <c r="DF4" s="65"/>
      <c r="DG4" s="65"/>
      <c r="DH4" s="65"/>
      <c r="DI4" s="65"/>
      <c r="DJ4" s="65"/>
      <c r="DK4" s="65"/>
      <c r="DL4" s="65"/>
      <c r="DM4" s="65"/>
      <c r="DN4" s="65"/>
      <c r="DO4" s="65"/>
      <c r="DP4" s="65"/>
      <c r="DQ4" s="65"/>
      <c r="DR4" s="65"/>
      <c r="DS4" s="65"/>
      <c r="DT4" s="65"/>
      <c r="DU4" s="65"/>
      <c r="DV4" s="65"/>
      <c r="DW4" s="65"/>
      <c r="DX4" s="65"/>
      <c r="DY4" s="65"/>
      <c r="DZ4" s="65"/>
      <c r="EA4" s="65"/>
      <c r="EB4" s="65"/>
      <c r="EC4" s="65"/>
      <c r="ED4" s="65"/>
      <c r="EE4" s="65"/>
      <c r="EF4" s="65"/>
      <c r="EG4" s="65"/>
      <c r="EH4" s="65"/>
      <c r="EI4" s="65"/>
      <c r="EJ4" s="65"/>
      <c r="EK4" s="65"/>
      <c r="EL4" s="65"/>
      <c r="EM4" s="65"/>
      <c r="EN4" s="65"/>
      <c r="EO4" s="65"/>
      <c r="EP4" s="65"/>
      <c r="EQ4" s="65"/>
      <c r="ER4" s="65"/>
      <c r="ES4" s="65"/>
      <c r="ET4" s="65"/>
      <c r="EU4" s="65"/>
      <c r="EV4" s="65"/>
      <c r="EW4" s="65"/>
      <c r="EX4" s="65"/>
      <c r="EY4" s="65"/>
      <c r="EZ4" s="65"/>
      <c r="FA4" s="65"/>
      <c r="FB4" s="65"/>
      <c r="FC4" s="65"/>
      <c r="FD4" s="65"/>
      <c r="FE4" s="65"/>
      <c r="FF4" s="65"/>
      <c r="FG4" s="65"/>
      <c r="FH4" s="65"/>
      <c r="FI4" s="65"/>
      <c r="FJ4" s="65"/>
      <c r="FK4" s="65"/>
      <c r="FL4" s="65"/>
      <c r="FM4" s="65"/>
      <c r="FN4" s="65"/>
      <c r="FO4" s="65"/>
      <c r="FP4" s="65"/>
      <c r="FQ4" s="65"/>
      <c r="FR4" s="65"/>
      <c r="FS4" s="65"/>
      <c r="FT4" s="65"/>
      <c r="FU4" s="65"/>
      <c r="FV4" s="65"/>
      <c r="FW4" s="65"/>
      <c r="FX4" s="65"/>
      <c r="FY4" s="65"/>
      <c r="FZ4" s="65"/>
      <c r="GA4" s="65"/>
      <c r="GB4" s="65"/>
      <c r="GC4" s="65"/>
      <c r="GD4" s="65"/>
      <c r="GE4" s="65"/>
      <c r="GF4" s="65"/>
      <c r="GG4" s="65"/>
      <c r="GH4" s="65"/>
      <c r="GI4" s="65"/>
      <c r="GJ4" s="65"/>
      <c r="GK4" s="65"/>
      <c r="GL4" s="65"/>
      <c r="GM4" s="65"/>
      <c r="GN4" s="65"/>
      <c r="GO4" s="65"/>
      <c r="GP4" s="65"/>
      <c r="GQ4" s="65"/>
      <c r="GR4" s="65"/>
      <c r="GS4" s="65"/>
      <c r="GT4" s="65"/>
      <c r="GU4" s="65"/>
      <c r="GV4" s="65"/>
      <c r="GW4" s="65"/>
      <c r="GX4" s="65"/>
      <c r="GY4" s="65"/>
      <c r="GZ4" s="65"/>
      <c r="HA4" s="65"/>
      <c r="HB4" s="65"/>
      <c r="HC4" s="65"/>
    </row>
    <row r="5" s="54" customFormat="true" ht="15.75" hidden="false" customHeight="true" outlineLevel="0" collapsed="false">
      <c r="A5" s="28" t="s">
        <v>31</v>
      </c>
      <c r="B5" s="28"/>
      <c r="C5" s="28"/>
      <c r="D5" s="28"/>
      <c r="E5" s="28"/>
      <c r="F5" s="28"/>
      <c r="G5" s="28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  <c r="CI5" s="65"/>
      <c r="CJ5" s="65"/>
      <c r="CK5" s="65"/>
      <c r="CL5" s="65"/>
      <c r="CM5" s="65"/>
      <c r="CN5" s="65"/>
      <c r="CO5" s="65"/>
      <c r="CP5" s="65"/>
      <c r="CQ5" s="65"/>
      <c r="CR5" s="65"/>
      <c r="CS5" s="65"/>
      <c r="CT5" s="65"/>
      <c r="CU5" s="65"/>
      <c r="CV5" s="65"/>
      <c r="CW5" s="65"/>
      <c r="CX5" s="65"/>
      <c r="CY5" s="65"/>
      <c r="CZ5" s="65"/>
      <c r="DA5" s="65"/>
      <c r="DB5" s="65"/>
      <c r="DC5" s="65"/>
      <c r="DD5" s="65"/>
      <c r="DE5" s="65"/>
      <c r="DF5" s="65"/>
      <c r="DG5" s="65"/>
      <c r="DH5" s="65"/>
      <c r="DI5" s="65"/>
      <c r="DJ5" s="65"/>
      <c r="DK5" s="65"/>
      <c r="DL5" s="65"/>
      <c r="DM5" s="65"/>
      <c r="DN5" s="65"/>
      <c r="DO5" s="65"/>
      <c r="DP5" s="65"/>
      <c r="DQ5" s="65"/>
      <c r="DR5" s="65"/>
      <c r="DS5" s="65"/>
      <c r="DT5" s="65"/>
      <c r="DU5" s="65"/>
      <c r="DV5" s="65"/>
      <c r="DW5" s="65"/>
      <c r="DX5" s="65"/>
      <c r="DY5" s="65"/>
      <c r="DZ5" s="65"/>
      <c r="EA5" s="65"/>
      <c r="EB5" s="65"/>
      <c r="EC5" s="65"/>
      <c r="ED5" s="65"/>
      <c r="EE5" s="65"/>
      <c r="EF5" s="65"/>
      <c r="EG5" s="65"/>
      <c r="EH5" s="65"/>
      <c r="EI5" s="65"/>
      <c r="EJ5" s="65"/>
      <c r="EK5" s="65"/>
      <c r="EL5" s="65"/>
      <c r="EM5" s="65"/>
      <c r="EN5" s="65"/>
      <c r="EO5" s="65"/>
      <c r="EP5" s="65"/>
      <c r="EQ5" s="65"/>
      <c r="ER5" s="65"/>
      <c r="ES5" s="65"/>
      <c r="ET5" s="65"/>
      <c r="EU5" s="65"/>
      <c r="EV5" s="65"/>
      <c r="EW5" s="65"/>
      <c r="EX5" s="65"/>
      <c r="EY5" s="65"/>
      <c r="EZ5" s="65"/>
      <c r="FA5" s="65"/>
      <c r="FB5" s="65"/>
      <c r="FC5" s="65"/>
      <c r="FD5" s="65"/>
      <c r="FE5" s="65"/>
      <c r="FF5" s="65"/>
      <c r="FG5" s="65"/>
      <c r="FH5" s="65"/>
      <c r="FI5" s="65"/>
      <c r="FJ5" s="65"/>
      <c r="FK5" s="65"/>
      <c r="FL5" s="65"/>
      <c r="FM5" s="65"/>
      <c r="FN5" s="65"/>
      <c r="FO5" s="65"/>
      <c r="FP5" s="65"/>
      <c r="FQ5" s="65"/>
      <c r="FR5" s="65"/>
      <c r="FS5" s="65"/>
      <c r="FT5" s="65"/>
      <c r="FU5" s="65"/>
      <c r="FV5" s="65"/>
      <c r="FW5" s="65"/>
      <c r="FX5" s="65"/>
      <c r="FY5" s="65"/>
      <c r="FZ5" s="65"/>
      <c r="GA5" s="65"/>
      <c r="GB5" s="65"/>
      <c r="GC5" s="65"/>
      <c r="GD5" s="65"/>
      <c r="GE5" s="65"/>
      <c r="GF5" s="65"/>
      <c r="GG5" s="65"/>
      <c r="GH5" s="65"/>
      <c r="GI5" s="65"/>
      <c r="GJ5" s="65"/>
      <c r="GK5" s="65"/>
      <c r="GL5" s="65"/>
      <c r="GM5" s="65"/>
      <c r="GN5" s="65"/>
      <c r="GO5" s="65"/>
      <c r="GP5" s="65"/>
      <c r="GQ5" s="65"/>
      <c r="GR5" s="65"/>
      <c r="GS5" s="65"/>
      <c r="GT5" s="65"/>
      <c r="GU5" s="65"/>
      <c r="GV5" s="65"/>
      <c r="GW5" s="65"/>
      <c r="GX5" s="65"/>
      <c r="GY5" s="65"/>
      <c r="GZ5" s="65"/>
      <c r="HA5" s="65"/>
      <c r="HB5" s="65"/>
      <c r="HC5" s="65"/>
    </row>
    <row r="6" s="54" customFormat="true" ht="15.75" hidden="false" customHeight="true" outlineLevel="0" collapsed="false">
      <c r="A6" s="28" t="s">
        <v>32</v>
      </c>
      <c r="B6" s="28"/>
      <c r="C6" s="28"/>
      <c r="D6" s="28"/>
      <c r="E6" s="28"/>
      <c r="F6" s="28"/>
      <c r="G6" s="28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 s="65"/>
      <c r="CV6" s="65"/>
      <c r="CW6" s="65"/>
      <c r="CX6" s="65"/>
      <c r="CY6" s="65"/>
      <c r="CZ6" s="65"/>
      <c r="DA6" s="65"/>
      <c r="DB6" s="65"/>
      <c r="DC6" s="65"/>
      <c r="DD6" s="65"/>
      <c r="DE6" s="65"/>
      <c r="DF6" s="65"/>
      <c r="DG6" s="65"/>
      <c r="DH6" s="65"/>
      <c r="DI6" s="65"/>
      <c r="DJ6" s="65"/>
      <c r="DK6" s="65"/>
      <c r="DL6" s="65"/>
      <c r="DM6" s="65"/>
      <c r="DN6" s="65"/>
      <c r="DO6" s="65"/>
      <c r="DP6" s="65"/>
      <c r="DQ6" s="65"/>
      <c r="DR6" s="65"/>
      <c r="DS6" s="65"/>
      <c r="DT6" s="65"/>
      <c r="DU6" s="65"/>
      <c r="DV6" s="65"/>
      <c r="DW6" s="65"/>
      <c r="DX6" s="65"/>
      <c r="DY6" s="65"/>
      <c r="DZ6" s="65"/>
      <c r="EA6" s="65"/>
      <c r="EB6" s="65"/>
      <c r="EC6" s="65"/>
      <c r="ED6" s="65"/>
      <c r="EE6" s="65"/>
      <c r="EF6" s="65"/>
      <c r="EG6" s="65"/>
      <c r="EH6" s="65"/>
      <c r="EI6" s="65"/>
      <c r="EJ6" s="65"/>
      <c r="EK6" s="65"/>
      <c r="EL6" s="65"/>
      <c r="EM6" s="65"/>
      <c r="EN6" s="65"/>
      <c r="EO6" s="65"/>
      <c r="EP6" s="65"/>
      <c r="EQ6" s="65"/>
      <c r="ER6" s="65"/>
      <c r="ES6" s="65"/>
      <c r="ET6" s="65"/>
      <c r="EU6" s="65"/>
      <c r="EV6" s="65"/>
      <c r="EW6" s="65"/>
      <c r="EX6" s="65"/>
      <c r="EY6" s="65"/>
      <c r="EZ6" s="65"/>
      <c r="FA6" s="65"/>
      <c r="FB6" s="65"/>
      <c r="FC6" s="65"/>
      <c r="FD6" s="65"/>
      <c r="FE6" s="65"/>
      <c r="FF6" s="65"/>
      <c r="FG6" s="65"/>
      <c r="FH6" s="65"/>
      <c r="FI6" s="65"/>
      <c r="FJ6" s="65"/>
      <c r="FK6" s="65"/>
      <c r="FL6" s="65"/>
      <c r="FM6" s="65"/>
      <c r="FN6" s="65"/>
      <c r="FO6" s="65"/>
      <c r="FP6" s="65"/>
      <c r="FQ6" s="65"/>
      <c r="FR6" s="65"/>
      <c r="FS6" s="65"/>
      <c r="FT6" s="65"/>
      <c r="FU6" s="65"/>
      <c r="FV6" s="65"/>
      <c r="FW6" s="65"/>
      <c r="FX6" s="65"/>
      <c r="FY6" s="65"/>
      <c r="FZ6" s="65"/>
      <c r="GA6" s="65"/>
      <c r="GB6" s="65"/>
      <c r="GC6" s="65"/>
      <c r="GD6" s="65"/>
      <c r="GE6" s="65"/>
      <c r="GF6" s="65"/>
      <c r="GG6" s="65"/>
      <c r="GH6" s="65"/>
      <c r="GI6" s="65"/>
      <c r="GJ6" s="65"/>
      <c r="GK6" s="65"/>
      <c r="GL6" s="65"/>
      <c r="GM6" s="65"/>
      <c r="GN6" s="65"/>
      <c r="GO6" s="65"/>
      <c r="GP6" s="65"/>
      <c r="GQ6" s="65"/>
      <c r="GR6" s="65"/>
      <c r="GS6" s="65"/>
      <c r="GT6" s="65"/>
      <c r="GU6" s="65"/>
      <c r="GV6" s="65"/>
      <c r="GW6" s="65"/>
      <c r="GX6" s="65"/>
      <c r="GY6" s="65"/>
      <c r="GZ6" s="65"/>
      <c r="HA6" s="65"/>
      <c r="HB6" s="65"/>
      <c r="HC6" s="65"/>
    </row>
    <row r="7" s="54" customFormat="true" ht="30" hidden="false" customHeight="true" outlineLevel="0" collapsed="false">
      <c r="A7" s="31" t="s">
        <v>33</v>
      </c>
      <c r="B7" s="32"/>
      <c r="C7" s="33"/>
      <c r="D7" s="34" t="str">
        <f>VLOOKUP(AZ2,'[1]Tuyến XB6A'!$A$2:$B$60,2,0)</f>
        <v xml:space="preserve">Đắp đất lề đường lớp 3, độ chặt K&gt;=0,95 đoạn từ Km0+000,00 - Km0+126,46</v>
      </c>
      <c r="E7" s="34"/>
      <c r="F7" s="34"/>
      <c r="G7" s="34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  <c r="CV7" s="65"/>
      <c r="CW7" s="65"/>
      <c r="CX7" s="65"/>
      <c r="CY7" s="65"/>
      <c r="CZ7" s="65"/>
      <c r="DA7" s="65"/>
      <c r="DB7" s="65"/>
      <c r="DC7" s="65"/>
      <c r="DD7" s="65"/>
      <c r="DE7" s="65"/>
      <c r="DF7" s="65"/>
      <c r="DG7" s="65"/>
      <c r="DH7" s="65"/>
      <c r="DI7" s="65"/>
      <c r="DJ7" s="65"/>
      <c r="DK7" s="65"/>
      <c r="DL7" s="65"/>
      <c r="DM7" s="65"/>
      <c r="DN7" s="65"/>
      <c r="DO7" s="65"/>
      <c r="DP7" s="65"/>
      <c r="DQ7" s="65"/>
      <c r="DR7" s="65"/>
      <c r="DS7" s="65"/>
      <c r="DT7" s="65"/>
      <c r="DU7" s="65"/>
      <c r="DV7" s="65"/>
      <c r="DW7" s="65"/>
      <c r="DX7" s="65"/>
      <c r="DY7" s="65"/>
      <c r="DZ7" s="65"/>
      <c r="EA7" s="65"/>
      <c r="EB7" s="65"/>
      <c r="EC7" s="65"/>
      <c r="ED7" s="65"/>
      <c r="EE7" s="65"/>
      <c r="EF7" s="65"/>
      <c r="EG7" s="65"/>
      <c r="EH7" s="65"/>
      <c r="EI7" s="65"/>
      <c r="EJ7" s="65"/>
      <c r="EK7" s="65"/>
      <c r="EL7" s="65"/>
      <c r="EM7" s="65"/>
      <c r="EN7" s="65"/>
      <c r="EO7" s="65"/>
      <c r="EP7" s="65"/>
      <c r="EQ7" s="65"/>
      <c r="ER7" s="65"/>
      <c r="ES7" s="65"/>
      <c r="ET7" s="65"/>
      <c r="EU7" s="65"/>
      <c r="EV7" s="65"/>
      <c r="EW7" s="65"/>
      <c r="EX7" s="65"/>
      <c r="EY7" s="65"/>
      <c r="EZ7" s="65"/>
      <c r="FA7" s="65"/>
      <c r="FB7" s="65"/>
      <c r="FC7" s="65"/>
      <c r="FD7" s="65"/>
      <c r="FE7" s="65"/>
      <c r="FF7" s="65"/>
      <c r="FG7" s="65"/>
      <c r="FH7" s="65"/>
      <c r="FI7" s="65"/>
      <c r="FJ7" s="65"/>
      <c r="FK7" s="65"/>
      <c r="FL7" s="65"/>
      <c r="FM7" s="65"/>
      <c r="FN7" s="65"/>
      <c r="FO7" s="65"/>
      <c r="FP7" s="65"/>
      <c r="FQ7" s="65"/>
      <c r="FR7" s="65"/>
      <c r="FS7" s="65"/>
      <c r="FT7" s="65"/>
      <c r="FU7" s="65"/>
      <c r="FV7" s="65"/>
      <c r="FW7" s="65"/>
      <c r="FX7" s="65"/>
      <c r="FY7" s="65"/>
      <c r="FZ7" s="65"/>
      <c r="GA7" s="65"/>
      <c r="GB7" s="65"/>
      <c r="GC7" s="65"/>
      <c r="GD7" s="65"/>
      <c r="GE7" s="65"/>
      <c r="GF7" s="65"/>
      <c r="GG7" s="65"/>
      <c r="GH7" s="65"/>
      <c r="GI7" s="65"/>
      <c r="GJ7" s="65"/>
      <c r="GK7" s="65"/>
      <c r="GL7" s="65"/>
      <c r="GM7" s="65"/>
      <c r="GN7" s="65"/>
      <c r="GO7" s="65"/>
      <c r="GP7" s="65"/>
      <c r="GQ7" s="65"/>
      <c r="GR7" s="65"/>
      <c r="GS7" s="65"/>
      <c r="GT7" s="65"/>
      <c r="GU7" s="65"/>
      <c r="GV7" s="65"/>
      <c r="GW7" s="65"/>
      <c r="GX7" s="65"/>
      <c r="GY7" s="65"/>
      <c r="GZ7" s="65"/>
      <c r="HA7" s="65"/>
      <c r="HB7" s="65"/>
      <c r="HC7" s="65"/>
    </row>
    <row r="8" s="54" customFormat="true" ht="27" hidden="false" customHeight="true" outlineLevel="0" collapsed="false">
      <c r="A8" s="71"/>
      <c r="B8" s="72"/>
      <c r="D8" s="73"/>
      <c r="E8" s="73"/>
      <c r="F8" s="73"/>
      <c r="G8" s="73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5"/>
      <c r="CF8" s="65"/>
      <c r="CG8" s="65"/>
      <c r="CH8" s="65"/>
      <c r="CI8" s="65"/>
      <c r="CJ8" s="65"/>
      <c r="CK8" s="65"/>
      <c r="CL8" s="65"/>
      <c r="CM8" s="65"/>
      <c r="CN8" s="65"/>
      <c r="CO8" s="65"/>
      <c r="CP8" s="65"/>
      <c r="CQ8" s="65"/>
      <c r="CR8" s="65"/>
      <c r="CS8" s="65"/>
      <c r="CT8" s="65"/>
      <c r="CU8" s="65"/>
      <c r="CV8" s="65"/>
      <c r="CW8" s="65"/>
      <c r="CX8" s="65"/>
      <c r="CY8" s="65"/>
      <c r="CZ8" s="65"/>
      <c r="DA8" s="65"/>
      <c r="DB8" s="65"/>
      <c r="DC8" s="65"/>
      <c r="DD8" s="65"/>
      <c r="DE8" s="65"/>
      <c r="DF8" s="65"/>
      <c r="DG8" s="65"/>
      <c r="DH8" s="65"/>
      <c r="DI8" s="65"/>
      <c r="DJ8" s="65"/>
      <c r="DK8" s="65"/>
      <c r="DL8" s="65"/>
      <c r="DM8" s="65"/>
      <c r="DN8" s="65"/>
      <c r="DO8" s="65"/>
      <c r="DP8" s="65"/>
      <c r="DQ8" s="65"/>
      <c r="DR8" s="65"/>
      <c r="DS8" s="65"/>
      <c r="DT8" s="65"/>
      <c r="DU8" s="65"/>
      <c r="DV8" s="65"/>
      <c r="DW8" s="65"/>
      <c r="DX8" s="65"/>
      <c r="DY8" s="65"/>
      <c r="DZ8" s="65"/>
      <c r="EA8" s="65"/>
      <c r="EB8" s="65"/>
      <c r="EC8" s="65"/>
      <c r="ED8" s="65"/>
      <c r="EE8" s="65"/>
      <c r="EF8" s="65"/>
      <c r="EG8" s="65"/>
      <c r="EH8" s="65"/>
      <c r="EI8" s="65"/>
      <c r="EJ8" s="65"/>
      <c r="EK8" s="65"/>
      <c r="EL8" s="65"/>
      <c r="EM8" s="65"/>
      <c r="EN8" s="65"/>
      <c r="EO8" s="65"/>
      <c r="EP8" s="65"/>
      <c r="EQ8" s="65"/>
      <c r="ER8" s="65"/>
      <c r="ES8" s="65"/>
      <c r="ET8" s="65"/>
      <c r="EU8" s="65"/>
      <c r="EV8" s="65"/>
      <c r="EW8" s="65"/>
      <c r="EX8" s="65"/>
      <c r="EY8" s="65"/>
      <c r="EZ8" s="65"/>
      <c r="FA8" s="65"/>
      <c r="FB8" s="65"/>
      <c r="FC8" s="65"/>
      <c r="FD8" s="65"/>
      <c r="FE8" s="65"/>
      <c r="FF8" s="65"/>
      <c r="FG8" s="65"/>
      <c r="FH8" s="65"/>
      <c r="FI8" s="65"/>
      <c r="FJ8" s="65"/>
      <c r="FK8" s="65"/>
      <c r="FL8" s="65"/>
      <c r="FM8" s="65"/>
      <c r="FN8" s="65"/>
      <c r="FO8" s="65"/>
      <c r="FP8" s="65"/>
      <c r="FQ8" s="65"/>
      <c r="FR8" s="65"/>
      <c r="FS8" s="65"/>
      <c r="FT8" s="65"/>
      <c r="FU8" s="65"/>
      <c r="FV8" s="65"/>
      <c r="FW8" s="65"/>
      <c r="FX8" s="65"/>
      <c r="FY8" s="65"/>
      <c r="FZ8" s="65"/>
      <c r="GA8" s="65"/>
      <c r="GB8" s="65"/>
      <c r="GC8" s="65"/>
      <c r="GD8" s="65"/>
      <c r="GE8" s="65"/>
      <c r="GF8" s="65"/>
      <c r="GG8" s="65"/>
      <c r="GH8" s="65"/>
      <c r="GI8" s="65"/>
      <c r="GJ8" s="65"/>
      <c r="GK8" s="65"/>
      <c r="GL8" s="65"/>
      <c r="GM8" s="65"/>
      <c r="GN8" s="65"/>
      <c r="GO8" s="65"/>
      <c r="GP8" s="65"/>
      <c r="GQ8" s="65"/>
      <c r="GR8" s="65"/>
      <c r="GS8" s="65"/>
      <c r="GT8" s="65"/>
      <c r="GU8" s="65"/>
      <c r="GV8" s="65"/>
      <c r="GW8" s="65"/>
      <c r="GX8" s="65"/>
      <c r="GY8" s="65"/>
      <c r="GZ8" s="65"/>
      <c r="HA8" s="65"/>
      <c r="HB8" s="65"/>
      <c r="HC8" s="65"/>
    </row>
    <row r="9" s="54" customFormat="true" ht="14.25" hidden="false" customHeight="true" outlineLevel="0" collapsed="false">
      <c r="A9" s="36" t="s">
        <v>0</v>
      </c>
      <c r="B9" s="36" t="s">
        <v>37</v>
      </c>
      <c r="C9" s="36" t="s">
        <v>38</v>
      </c>
      <c r="D9" s="37" t="s">
        <v>52</v>
      </c>
      <c r="E9" s="38"/>
      <c r="F9" s="38"/>
      <c r="G9" s="37" t="s">
        <v>43</v>
      </c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65"/>
      <c r="DI9" s="65"/>
      <c r="DJ9" s="65"/>
      <c r="DK9" s="65"/>
      <c r="DL9" s="65"/>
      <c r="DM9" s="65"/>
      <c r="DN9" s="65"/>
      <c r="DO9" s="65"/>
      <c r="DP9" s="65"/>
      <c r="DQ9" s="65"/>
      <c r="DR9" s="65"/>
      <c r="DS9" s="65"/>
      <c r="DT9" s="65"/>
      <c r="DU9" s="65"/>
      <c r="DV9" s="65"/>
      <c r="DW9" s="65"/>
      <c r="DX9" s="65"/>
      <c r="DY9" s="65"/>
      <c r="DZ9" s="65"/>
      <c r="EA9" s="65"/>
      <c r="EB9" s="65"/>
      <c r="EC9" s="65"/>
      <c r="ED9" s="65"/>
      <c r="EE9" s="65"/>
      <c r="EF9" s="65"/>
      <c r="EG9" s="65"/>
      <c r="EH9" s="65"/>
      <c r="EI9" s="65"/>
      <c r="EJ9" s="65"/>
      <c r="EK9" s="65"/>
      <c r="EL9" s="65"/>
      <c r="EM9" s="65"/>
      <c r="EN9" s="65"/>
      <c r="EO9" s="65"/>
      <c r="EP9" s="65"/>
      <c r="EQ9" s="65"/>
      <c r="ER9" s="65"/>
      <c r="ES9" s="65"/>
      <c r="ET9" s="65"/>
      <c r="EU9" s="65"/>
      <c r="EV9" s="65"/>
      <c r="EW9" s="65"/>
      <c r="EX9" s="65"/>
      <c r="EY9" s="65"/>
      <c r="EZ9" s="65"/>
      <c r="FA9" s="65"/>
      <c r="FB9" s="65"/>
      <c r="FC9" s="65"/>
      <c r="FD9" s="65"/>
      <c r="FE9" s="65"/>
      <c r="FF9" s="65"/>
      <c r="FG9" s="65"/>
      <c r="FH9" s="65"/>
      <c r="FI9" s="65"/>
      <c r="FJ9" s="65"/>
      <c r="FK9" s="65"/>
      <c r="FL9" s="65"/>
      <c r="FM9" s="65"/>
      <c r="FN9" s="65"/>
      <c r="FO9" s="65"/>
      <c r="FP9" s="65"/>
      <c r="FQ9" s="65"/>
      <c r="FR9" s="65"/>
      <c r="FS9" s="65"/>
      <c r="FT9" s="65"/>
      <c r="FU9" s="65"/>
      <c r="FV9" s="65"/>
      <c r="FW9" s="65"/>
      <c r="FX9" s="65"/>
      <c r="FY9" s="65"/>
      <c r="FZ9" s="65"/>
      <c r="GA9" s="65"/>
      <c r="GB9" s="65"/>
      <c r="GC9" s="65"/>
      <c r="GD9" s="65"/>
      <c r="GE9" s="65"/>
      <c r="GF9" s="65"/>
      <c r="GG9" s="65"/>
      <c r="GH9" s="65"/>
      <c r="GI9" s="65"/>
      <c r="GJ9" s="65"/>
      <c r="GK9" s="65"/>
      <c r="GL9" s="65"/>
      <c r="GM9" s="65"/>
      <c r="GN9" s="65"/>
      <c r="GO9" s="65"/>
      <c r="GP9" s="65"/>
      <c r="GQ9" s="65"/>
      <c r="GR9" s="65"/>
      <c r="GS9" s="65"/>
      <c r="GT9" s="65"/>
      <c r="GU9" s="65"/>
      <c r="GV9" s="65"/>
      <c r="GW9" s="65"/>
      <c r="GX9" s="65"/>
      <c r="GY9" s="65"/>
      <c r="GZ9" s="65"/>
      <c r="HA9" s="65"/>
      <c r="HB9" s="65"/>
      <c r="HC9" s="65"/>
    </row>
    <row r="10" s="54" customFormat="true" ht="14.25" hidden="false" customHeight="true" outlineLevel="0" collapsed="false">
      <c r="A10" s="36"/>
      <c r="B10" s="36"/>
      <c r="C10" s="36"/>
      <c r="D10" s="36"/>
      <c r="E10" s="38" t="s">
        <v>53</v>
      </c>
      <c r="F10" s="38" t="s">
        <v>54</v>
      </c>
      <c r="G10" s="37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5"/>
      <c r="DX10" s="65"/>
      <c r="DY10" s="65"/>
      <c r="DZ10" s="65"/>
      <c r="EA10" s="65"/>
      <c r="EB10" s="65"/>
      <c r="EC10" s="65"/>
      <c r="ED10" s="65"/>
      <c r="EE10" s="65"/>
      <c r="EF10" s="65"/>
      <c r="EG10" s="65"/>
      <c r="EH10" s="65"/>
      <c r="EI10" s="65"/>
      <c r="EJ10" s="65"/>
      <c r="EK10" s="65"/>
      <c r="EL10" s="65"/>
      <c r="EM10" s="65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5"/>
      <c r="EY10" s="65"/>
      <c r="EZ10" s="65"/>
      <c r="FA10" s="65"/>
      <c r="FB10" s="65"/>
      <c r="FC10" s="65"/>
      <c r="FD10" s="65"/>
      <c r="FE10" s="65"/>
      <c r="FF10" s="65"/>
      <c r="FG10" s="65"/>
      <c r="FH10" s="65"/>
      <c r="FI10" s="65"/>
      <c r="FJ10" s="65"/>
      <c r="FK10" s="65"/>
      <c r="FL10" s="65"/>
      <c r="FM10" s="65"/>
      <c r="FN10" s="65"/>
      <c r="FO10" s="65"/>
      <c r="FP10" s="65"/>
      <c r="FQ10" s="65"/>
      <c r="FR10" s="65"/>
      <c r="FS10" s="65"/>
      <c r="FT10" s="65"/>
      <c r="FU10" s="65"/>
      <c r="FV10" s="65"/>
      <c r="FW10" s="65"/>
      <c r="FX10" s="65"/>
      <c r="FY10" s="65"/>
      <c r="FZ10" s="65"/>
      <c r="GA10" s="65"/>
      <c r="GB10" s="65"/>
      <c r="GC10" s="65"/>
      <c r="GD10" s="65"/>
      <c r="GE10" s="65"/>
      <c r="GF10" s="65"/>
      <c r="GG10" s="65"/>
      <c r="GH10" s="65"/>
      <c r="GI10" s="65"/>
      <c r="GJ10" s="65"/>
      <c r="GK10" s="65"/>
      <c r="GL10" s="65"/>
      <c r="GM10" s="65"/>
      <c r="GN10" s="65"/>
      <c r="GO10" s="65"/>
      <c r="GP10" s="65"/>
      <c r="GQ10" s="65"/>
      <c r="GR10" s="65"/>
      <c r="GS10" s="65"/>
      <c r="GT10" s="65"/>
      <c r="GU10" s="65"/>
      <c r="GV10" s="65"/>
      <c r="GW10" s="65"/>
      <c r="GX10" s="65"/>
      <c r="GY10" s="65"/>
      <c r="GZ10" s="65"/>
      <c r="HA10" s="65"/>
      <c r="HB10" s="65"/>
      <c r="HC10" s="65"/>
    </row>
    <row r="11" s="54" customFormat="true" ht="22.5" hidden="false" customHeight="true" outlineLevel="0" collapsed="false">
      <c r="A11" s="13" t="n">
        <v>1</v>
      </c>
      <c r="B11" s="14" t="str">
        <f aca="false">'1. KTHH L3'!B21</f>
        <v>D3</v>
      </c>
      <c r="C11" s="15" t="n">
        <f aca="false">'1. KTHH L3'!C21</f>
        <v>0</v>
      </c>
      <c r="D11" s="13" t="n">
        <f aca="false">'1. KTHH L3'!Q21</f>
        <v>19.63</v>
      </c>
      <c r="E11" s="42" t="n">
        <f aca="false">Chạy!E3+Chạy!E7</f>
        <v>2.1</v>
      </c>
      <c r="F11" s="43" t="n">
        <f aca="false">(E11+E12)*D11/2</f>
        <v>41.223</v>
      </c>
      <c r="G11" s="44"/>
      <c r="H11" s="39"/>
      <c r="I11" s="39"/>
      <c r="K11" s="39"/>
      <c r="L11" s="65"/>
    </row>
    <row r="12" s="65" customFormat="true" ht="22.5" hidden="false" customHeight="true" outlineLevel="0" collapsed="false">
      <c r="A12" s="13" t="n">
        <v>2</v>
      </c>
      <c r="B12" s="14" t="str">
        <f aca="false">'1. KTHH L3'!B22</f>
        <v>1</v>
      </c>
      <c r="C12" s="15" t="n">
        <f aca="false">'1. KTHH L3'!C22</f>
        <v>19.63</v>
      </c>
      <c r="D12" s="13" t="n">
        <f aca="false">'1. KTHH L3'!Q22</f>
        <v>17.17</v>
      </c>
      <c r="E12" s="42" t="n">
        <f aca="false">Chạy!E11+Chạy!E15</f>
        <v>2.1</v>
      </c>
      <c r="F12" s="43" t="n">
        <f aca="false">(E12+E13)*D12/2</f>
        <v>36.057</v>
      </c>
      <c r="G12" s="44"/>
      <c r="H12" s="39"/>
      <c r="I12" s="39"/>
      <c r="K12" s="39"/>
    </row>
    <row r="13" s="39" customFormat="true" ht="22.5" hidden="false" customHeight="true" outlineLevel="0" collapsed="false">
      <c r="A13" s="13" t="n">
        <v>3</v>
      </c>
      <c r="B13" s="14" t="str">
        <f aca="false">'1. KTHH L3'!B23</f>
        <v>2</v>
      </c>
      <c r="C13" s="15" t="n">
        <f aca="false">'1. KTHH L3'!C23</f>
        <v>36.8</v>
      </c>
      <c r="D13" s="13" t="n">
        <f aca="false">'1. KTHH L3'!Q23</f>
        <v>17.18</v>
      </c>
      <c r="E13" s="42" t="n">
        <f aca="false">Chạy!E19+Chạy!E23</f>
        <v>2.1</v>
      </c>
      <c r="F13" s="43" t="n">
        <f aca="false">(E13+E14)*D13/2</f>
        <v>36.078</v>
      </c>
      <c r="G13" s="44"/>
      <c r="L13" s="65"/>
    </row>
    <row r="14" s="41" customFormat="true" ht="22.5" hidden="false" customHeight="true" outlineLevel="0" collapsed="false">
      <c r="A14" s="13" t="n">
        <v>4</v>
      </c>
      <c r="B14" s="14" t="str">
        <f aca="false">'1. KTHH L3'!B24</f>
        <v>3</v>
      </c>
      <c r="C14" s="15" t="n">
        <f aca="false">'1. KTHH L3'!C24</f>
        <v>53.98</v>
      </c>
      <c r="D14" s="13" t="n">
        <f aca="false">'1. KTHH L3'!Q24</f>
        <v>12.97</v>
      </c>
      <c r="E14" s="42" t="n">
        <f aca="false">Chạy!E27+Chạy!E31</f>
        <v>2.1</v>
      </c>
      <c r="F14" s="43" t="n">
        <f aca="false">(E14+E15)*D14/2</f>
        <v>27.237</v>
      </c>
      <c r="G14" s="44"/>
      <c r="H14" s="39"/>
      <c r="I14" s="39"/>
      <c r="K14" s="39"/>
      <c r="L14" s="65"/>
    </row>
    <row r="15" s="41" customFormat="true" ht="22.5" hidden="false" customHeight="true" outlineLevel="0" collapsed="false">
      <c r="A15" s="13" t="n">
        <v>5</v>
      </c>
      <c r="B15" s="14" t="str">
        <f aca="false">'1. KTHH L3'!B25</f>
        <v>D2</v>
      </c>
      <c r="C15" s="15" t="n">
        <f aca="false">'1. KTHH L3'!C25</f>
        <v>66.95</v>
      </c>
      <c r="D15" s="13" t="n">
        <f aca="false">'1. KTHH L3'!Q25</f>
        <v>10.68</v>
      </c>
      <c r="E15" s="42" t="n">
        <f aca="false">Chạy!E35+Chạy!E39</f>
        <v>2.1</v>
      </c>
      <c r="F15" s="43" t="n">
        <f aca="false">(E15+E16)*D15/2</f>
        <v>22.428</v>
      </c>
      <c r="G15" s="44"/>
      <c r="H15" s="39"/>
      <c r="I15" s="39"/>
      <c r="K15" s="39"/>
      <c r="L15" s="65"/>
    </row>
    <row r="16" s="41" customFormat="true" ht="22.5" hidden="false" customHeight="true" outlineLevel="0" collapsed="false">
      <c r="A16" s="13" t="n">
        <v>6</v>
      </c>
      <c r="B16" s="14" t="str">
        <f aca="false">'1. KTHH L3'!B26</f>
        <v>4</v>
      </c>
      <c r="C16" s="15" t="n">
        <f aca="false">'1. KTHH L3'!C26</f>
        <v>77.63</v>
      </c>
      <c r="D16" s="13" t="n">
        <f aca="false">'1. KTHH L3'!Q26</f>
        <v>17.17</v>
      </c>
      <c r="E16" s="42" t="n">
        <f aca="false">Chạy!E43+Chạy!E47</f>
        <v>2.1</v>
      </c>
      <c r="F16" s="43" t="n">
        <f aca="false">(E16+E17)*D16/2</f>
        <v>36.057</v>
      </c>
      <c r="G16" s="44"/>
      <c r="H16" s="39"/>
      <c r="I16" s="39"/>
      <c r="K16" s="39"/>
      <c r="L16" s="65"/>
    </row>
    <row r="17" s="41" customFormat="true" ht="22.5" hidden="false" customHeight="true" outlineLevel="0" collapsed="false">
      <c r="A17" s="13" t="n">
        <v>7</v>
      </c>
      <c r="B17" s="14" t="str">
        <f aca="false">'1. KTHH L3'!B27</f>
        <v>5</v>
      </c>
      <c r="C17" s="15" t="n">
        <f aca="false">'1. KTHH L3'!C27</f>
        <v>94.8</v>
      </c>
      <c r="D17" s="13" t="n">
        <f aca="false">'1. KTHH L3'!Q27</f>
        <v>17.17</v>
      </c>
      <c r="E17" s="42" t="n">
        <f aca="false">Chạy!E51+Chạy!E55</f>
        <v>2.1</v>
      </c>
      <c r="F17" s="43" t="n">
        <f aca="false">(E17+E18)*D17/2</f>
        <v>36.057</v>
      </c>
      <c r="G17" s="44"/>
      <c r="H17" s="39"/>
      <c r="I17" s="39"/>
      <c r="K17" s="39"/>
      <c r="L17" s="65"/>
    </row>
    <row r="18" s="41" customFormat="true" ht="22.5" hidden="false" customHeight="true" outlineLevel="0" collapsed="false">
      <c r="A18" s="13" t="n">
        <v>8</v>
      </c>
      <c r="B18" s="14" t="str">
        <f aca="false">'1. KTHH L3'!B28</f>
        <v>6</v>
      </c>
      <c r="C18" s="15" t="n">
        <f aca="false">'1. KTHH L3'!C28</f>
        <v>111.97</v>
      </c>
      <c r="D18" s="13" t="n">
        <f aca="false">'1. KTHH L3'!Q28</f>
        <v>14.49</v>
      </c>
      <c r="E18" s="42" t="n">
        <f aca="false">Chạy!E59+Chạy!E63</f>
        <v>2.1</v>
      </c>
      <c r="F18" s="43" t="n">
        <f aca="false">(E18+E19)*D18/2</f>
        <v>30.429</v>
      </c>
      <c r="G18" s="44"/>
      <c r="H18" s="39"/>
      <c r="I18" s="39"/>
      <c r="K18" s="39"/>
      <c r="L18" s="65"/>
    </row>
    <row r="19" s="41" customFormat="true" ht="22.5" hidden="false" customHeight="true" outlineLevel="0" collapsed="false">
      <c r="A19" s="13" t="n">
        <v>9</v>
      </c>
      <c r="B19" s="14" t="str">
        <f aca="false">'1. KTHH L3'!B29</f>
        <v>D1</v>
      </c>
      <c r="C19" s="15" t="n">
        <f aca="false">'1. KTHH L3'!C29</f>
        <v>126.46</v>
      </c>
      <c r="D19" s="13"/>
      <c r="E19" s="42" t="n">
        <f aca="false">Chạy!E67+Chạy!E71</f>
        <v>2.1</v>
      </c>
      <c r="F19" s="43"/>
      <c r="G19" s="44"/>
      <c r="H19" s="39"/>
      <c r="I19" s="39"/>
      <c r="K19" s="39"/>
      <c r="L19" s="65"/>
    </row>
    <row r="20" customFormat="false" ht="15" hidden="false" customHeight="true" outlineLevel="0" collapsed="false">
      <c r="A20" s="36" t="s">
        <v>55</v>
      </c>
      <c r="B20" s="36"/>
      <c r="C20" s="36"/>
      <c r="D20" s="36"/>
      <c r="E20" s="47"/>
      <c r="F20" s="48" t="n">
        <f aca="false">SUM(F11:F19)</f>
        <v>265.566</v>
      </c>
      <c r="G20" s="49"/>
      <c r="I20" s="69"/>
    </row>
    <row r="21" customFormat="false" ht="15" hidden="false" customHeight="true" outlineLevel="0" collapsed="false">
      <c r="A21" s="20"/>
      <c r="B21" s="20"/>
      <c r="C21" s="20"/>
      <c r="D21" s="20"/>
      <c r="E21" s="54"/>
      <c r="F21" s="55"/>
      <c r="G21" s="55"/>
      <c r="I21" s="69"/>
    </row>
    <row r="22" customFormat="false" ht="15" hidden="false" customHeight="true" outlineLevel="0" collapsed="false">
      <c r="A22" s="19" t="s">
        <v>47</v>
      </c>
      <c r="B22" s="19"/>
      <c r="C22" s="19"/>
      <c r="D22" s="57" t="s">
        <v>56</v>
      </c>
      <c r="E22" s="19" t="s">
        <v>48</v>
      </c>
      <c r="F22" s="19"/>
      <c r="G22" s="19"/>
    </row>
    <row r="23" customFormat="false" ht="15" hidden="false" customHeight="true" outlineLevel="0" collapsed="false">
      <c r="A23" s="59"/>
      <c r="B23" s="59"/>
      <c r="C23" s="59"/>
      <c r="D23" s="60"/>
      <c r="E23" s="59"/>
      <c r="F23" s="59"/>
      <c r="G23" s="59"/>
    </row>
    <row r="24" customFormat="false" ht="15" hidden="false" customHeight="true" outlineLevel="0" collapsed="false">
      <c r="A24" s="59"/>
      <c r="B24" s="59"/>
      <c r="C24" s="61"/>
      <c r="D24" s="61"/>
      <c r="E24" s="59"/>
      <c r="F24" s="59"/>
      <c r="G24" s="61"/>
    </row>
    <row r="25" customFormat="false" ht="15" hidden="false" customHeight="true" outlineLevel="0" collapsed="false">
      <c r="A25" s="59"/>
      <c r="B25" s="59"/>
      <c r="C25" s="59"/>
      <c r="D25" s="60"/>
      <c r="E25" s="59"/>
      <c r="F25" s="59"/>
      <c r="G25" s="59"/>
    </row>
    <row r="26" customFormat="false" ht="15" hidden="false" customHeight="true" outlineLevel="0" collapsed="false">
      <c r="A26" s="59"/>
      <c r="B26" s="59"/>
      <c r="C26" s="59"/>
      <c r="D26" s="60"/>
      <c r="E26" s="59"/>
      <c r="F26" s="59"/>
      <c r="G26" s="59"/>
    </row>
    <row r="27" customFormat="false" ht="15" hidden="false" customHeight="true" outlineLevel="0" collapsed="false">
      <c r="A27" s="59"/>
      <c r="B27" s="59"/>
      <c r="C27" s="59"/>
      <c r="D27" s="60"/>
      <c r="E27" s="59"/>
      <c r="F27" s="59"/>
      <c r="G27" s="59"/>
    </row>
    <row r="28" customFormat="false" ht="15" hidden="false" customHeight="true" outlineLevel="0" collapsed="false">
      <c r="A28" s="19" t="s">
        <v>49</v>
      </c>
      <c r="B28" s="19"/>
      <c r="C28" s="19"/>
      <c r="D28" s="21"/>
      <c r="E28" s="19" t="s">
        <v>50</v>
      </c>
      <c r="F28" s="19"/>
      <c r="G28" s="19"/>
    </row>
    <row r="29" customFormat="false" ht="12.75" hidden="false" customHeight="false" outlineLevel="0" collapsed="false">
      <c r="A29" s="63"/>
      <c r="B29" s="63"/>
      <c r="C29" s="63"/>
      <c r="D29" s="63"/>
      <c r="E29" s="63"/>
      <c r="F29" s="63"/>
      <c r="G29" s="63"/>
    </row>
    <row r="30" customFormat="false" ht="12.75" hidden="false" customHeight="false" outlineLevel="0" collapsed="false">
      <c r="A30" s="63"/>
      <c r="B30" s="63"/>
      <c r="C30" s="63"/>
      <c r="D30" s="63"/>
      <c r="E30" s="63"/>
      <c r="F30" s="63"/>
      <c r="G30" s="63"/>
    </row>
    <row r="31" customFormat="false" ht="12.75" hidden="false" customHeight="false" outlineLevel="0" collapsed="false">
      <c r="A31" s="63"/>
      <c r="B31" s="63"/>
      <c r="C31" s="63"/>
      <c r="D31" s="63"/>
      <c r="E31" s="63"/>
      <c r="F31" s="63"/>
      <c r="G31" s="63"/>
    </row>
    <row r="32" customFormat="false" ht="12.75" hidden="false" customHeight="false" outlineLevel="0" collapsed="false">
      <c r="A32" s="63"/>
      <c r="B32" s="63"/>
      <c r="C32" s="63"/>
      <c r="D32" s="63"/>
      <c r="E32" s="63"/>
      <c r="F32" s="63"/>
      <c r="G32" s="63"/>
    </row>
    <row r="33" customFormat="false" ht="12.75" hidden="false" customHeight="false" outlineLevel="0" collapsed="false">
      <c r="A33" s="63"/>
      <c r="B33" s="63"/>
      <c r="C33" s="63"/>
      <c r="D33" s="63"/>
      <c r="E33" s="63"/>
      <c r="F33" s="63"/>
      <c r="G33" s="63"/>
    </row>
    <row r="34" customFormat="false" ht="12.75" hidden="false" customHeight="false" outlineLevel="0" collapsed="false">
      <c r="A34" s="63"/>
      <c r="B34" s="63"/>
      <c r="C34" s="63"/>
      <c r="D34" s="63"/>
      <c r="E34" s="63"/>
      <c r="F34" s="63"/>
      <c r="G34" s="63"/>
    </row>
    <row r="35" customFormat="false" ht="12.75" hidden="false" customHeight="false" outlineLevel="0" collapsed="false">
      <c r="A35" s="63"/>
      <c r="B35" s="63"/>
      <c r="C35" s="63"/>
      <c r="D35" s="63"/>
      <c r="E35" s="63"/>
      <c r="F35" s="63"/>
      <c r="G35" s="63"/>
    </row>
    <row r="36" customFormat="false" ht="12.75" hidden="false" customHeight="false" outlineLevel="0" collapsed="false">
      <c r="A36" s="63"/>
      <c r="B36" s="63"/>
      <c r="C36" s="63"/>
      <c r="D36" s="63"/>
      <c r="E36" s="63"/>
      <c r="F36" s="63"/>
      <c r="G36" s="63"/>
    </row>
    <row r="37" customFormat="false" ht="12.75" hidden="false" customHeight="false" outlineLevel="0" collapsed="false">
      <c r="A37" s="63"/>
      <c r="B37" s="63"/>
      <c r="C37" s="63"/>
      <c r="D37" s="63"/>
      <c r="E37" s="63"/>
      <c r="F37" s="63"/>
      <c r="G37" s="63"/>
    </row>
    <row r="38" customFormat="false" ht="12.75" hidden="false" customHeight="false" outlineLevel="0" collapsed="false">
      <c r="A38" s="63"/>
      <c r="B38" s="63"/>
      <c r="C38" s="63"/>
      <c r="D38" s="63"/>
      <c r="E38" s="63"/>
      <c r="F38" s="63"/>
      <c r="G38" s="63"/>
    </row>
    <row r="39" customFormat="false" ht="12.75" hidden="false" customHeight="false" outlineLevel="0" collapsed="false">
      <c r="A39" s="63"/>
      <c r="B39" s="63"/>
      <c r="C39" s="63"/>
      <c r="D39" s="63"/>
      <c r="E39" s="63"/>
      <c r="F39" s="63"/>
      <c r="G39" s="63"/>
    </row>
    <row r="40" customFormat="false" ht="12.75" hidden="false" customHeight="false" outlineLevel="0" collapsed="false">
      <c r="A40" s="63"/>
      <c r="B40" s="63"/>
      <c r="C40" s="63"/>
      <c r="D40" s="63"/>
      <c r="E40" s="63"/>
      <c r="F40" s="63"/>
      <c r="G40" s="63"/>
    </row>
    <row r="41" customFormat="false" ht="12.75" hidden="false" customHeight="false" outlineLevel="0" collapsed="false">
      <c r="A41" s="63"/>
      <c r="B41" s="63"/>
      <c r="C41" s="63"/>
      <c r="D41" s="63"/>
      <c r="E41" s="63"/>
      <c r="F41" s="63"/>
      <c r="G41" s="63"/>
    </row>
    <row r="42" customFormat="false" ht="12.75" hidden="false" customHeight="false" outlineLevel="0" collapsed="false">
      <c r="A42" s="63"/>
      <c r="B42" s="63"/>
      <c r="C42" s="63"/>
      <c r="D42" s="63"/>
      <c r="E42" s="63"/>
      <c r="F42" s="63"/>
      <c r="G42" s="63"/>
    </row>
    <row r="43" customFormat="false" ht="12.75" hidden="false" customHeight="false" outlineLevel="0" collapsed="false">
      <c r="A43" s="63"/>
      <c r="B43" s="63"/>
      <c r="C43" s="63"/>
      <c r="D43" s="63"/>
      <c r="E43" s="63"/>
      <c r="F43" s="63"/>
      <c r="G43" s="63"/>
    </row>
    <row r="44" customFormat="false" ht="12.75" hidden="false" customHeight="false" outlineLevel="0" collapsed="false">
      <c r="A44" s="63"/>
      <c r="B44" s="63"/>
      <c r="C44" s="63"/>
      <c r="D44" s="63"/>
      <c r="E44" s="63"/>
      <c r="F44" s="63"/>
      <c r="G44" s="63"/>
    </row>
    <row r="45" customFormat="false" ht="12.75" hidden="false" customHeight="false" outlineLevel="0" collapsed="false">
      <c r="A45" s="63"/>
      <c r="B45" s="63"/>
      <c r="C45" s="63"/>
      <c r="D45" s="63"/>
      <c r="E45" s="63"/>
      <c r="F45" s="63"/>
      <c r="G45" s="63"/>
    </row>
    <row r="46" customFormat="false" ht="12.75" hidden="false" customHeight="false" outlineLevel="0" collapsed="false">
      <c r="A46" s="63"/>
      <c r="B46" s="63"/>
      <c r="C46" s="63"/>
      <c r="D46" s="63"/>
      <c r="E46" s="63"/>
      <c r="F46" s="63"/>
      <c r="G46" s="63"/>
    </row>
    <row r="47" customFormat="false" ht="12.75" hidden="false" customHeight="false" outlineLevel="0" collapsed="false">
      <c r="A47" s="63"/>
      <c r="B47" s="63"/>
      <c r="C47" s="63"/>
      <c r="D47" s="63"/>
      <c r="E47" s="63"/>
      <c r="F47" s="63"/>
      <c r="G47" s="63"/>
    </row>
    <row r="48" customFormat="false" ht="12.75" hidden="false" customHeight="false" outlineLevel="0" collapsed="false">
      <c r="A48" s="63"/>
      <c r="B48" s="63"/>
      <c r="C48" s="63"/>
      <c r="D48" s="63"/>
      <c r="E48" s="63"/>
      <c r="F48" s="63"/>
      <c r="G48" s="63"/>
    </row>
    <row r="49" customFormat="false" ht="12.75" hidden="false" customHeight="false" outlineLevel="0" collapsed="false">
      <c r="A49" s="63"/>
      <c r="B49" s="63"/>
      <c r="C49" s="63"/>
      <c r="D49" s="63"/>
      <c r="E49" s="63"/>
      <c r="F49" s="63"/>
      <c r="G49" s="63"/>
    </row>
    <row r="50" customFormat="false" ht="12.75" hidden="false" customHeight="false" outlineLevel="0" collapsed="false">
      <c r="A50" s="63"/>
      <c r="B50" s="63"/>
      <c r="C50" s="63"/>
      <c r="D50" s="63"/>
      <c r="E50" s="63"/>
      <c r="F50" s="63"/>
      <c r="G50" s="63"/>
    </row>
    <row r="51" customFormat="false" ht="12.75" hidden="false" customHeight="false" outlineLevel="0" collapsed="false">
      <c r="A51" s="63"/>
      <c r="B51" s="63"/>
      <c r="C51" s="63"/>
      <c r="D51" s="63"/>
      <c r="E51" s="63"/>
      <c r="F51" s="63"/>
      <c r="G51" s="63"/>
    </row>
    <row r="52" customFormat="false" ht="12.75" hidden="false" customHeight="false" outlineLevel="0" collapsed="false">
      <c r="A52" s="63"/>
      <c r="B52" s="63"/>
      <c r="C52" s="63"/>
      <c r="D52" s="63"/>
      <c r="E52" s="63"/>
      <c r="F52" s="63"/>
      <c r="G52" s="63"/>
    </row>
    <row r="53" customFormat="false" ht="12.75" hidden="false" customHeight="false" outlineLevel="0" collapsed="false">
      <c r="A53" s="63"/>
      <c r="B53" s="63"/>
      <c r="C53" s="63"/>
      <c r="D53" s="63"/>
      <c r="E53" s="63"/>
      <c r="F53" s="63"/>
      <c r="G53" s="63"/>
    </row>
    <row r="54" customFormat="false" ht="12.75" hidden="false" customHeight="false" outlineLevel="0" collapsed="false">
      <c r="A54" s="63"/>
      <c r="B54" s="63"/>
      <c r="C54" s="63"/>
      <c r="D54" s="63"/>
      <c r="E54" s="63"/>
      <c r="F54" s="63"/>
      <c r="G54" s="63"/>
    </row>
    <row r="55" customFormat="false" ht="12.75" hidden="false" customHeight="false" outlineLevel="0" collapsed="false">
      <c r="A55" s="63"/>
      <c r="B55" s="63"/>
      <c r="C55" s="63"/>
      <c r="D55" s="63"/>
      <c r="E55" s="63"/>
      <c r="F55" s="63"/>
      <c r="G55" s="63"/>
    </row>
    <row r="56" customFormat="false" ht="12.75" hidden="false" customHeight="false" outlineLevel="0" collapsed="false">
      <c r="A56" s="63"/>
      <c r="B56" s="63"/>
      <c r="C56" s="63"/>
      <c r="D56" s="63"/>
      <c r="E56" s="63"/>
      <c r="F56" s="63"/>
      <c r="G56" s="63"/>
    </row>
    <row r="57" customFormat="false" ht="12.75" hidden="false" customHeight="false" outlineLevel="0" collapsed="false">
      <c r="A57" s="63"/>
      <c r="B57" s="63"/>
      <c r="C57" s="63"/>
      <c r="D57" s="63"/>
      <c r="E57" s="63"/>
      <c r="F57" s="63"/>
      <c r="G57" s="63"/>
    </row>
    <row r="58" customFormat="false" ht="12.75" hidden="false" customHeight="false" outlineLevel="0" collapsed="false">
      <c r="A58" s="63"/>
      <c r="B58" s="63"/>
      <c r="C58" s="63"/>
      <c r="D58" s="63"/>
      <c r="E58" s="63"/>
      <c r="F58" s="63"/>
      <c r="G58" s="63"/>
    </row>
    <row r="59" customFormat="false" ht="12.75" hidden="false" customHeight="false" outlineLevel="0" collapsed="false">
      <c r="A59" s="63"/>
      <c r="B59" s="63"/>
      <c r="C59" s="63"/>
      <c r="D59" s="63"/>
      <c r="E59" s="63"/>
      <c r="F59" s="63"/>
      <c r="G59" s="63"/>
    </row>
    <row r="60" customFormat="false" ht="12.75" hidden="false" customHeight="false" outlineLevel="0" collapsed="false">
      <c r="A60" s="63"/>
      <c r="B60" s="63"/>
      <c r="C60" s="63"/>
      <c r="D60" s="63"/>
      <c r="E60" s="63"/>
      <c r="F60" s="63"/>
      <c r="G60" s="63"/>
    </row>
    <row r="61" customFormat="false" ht="12.75" hidden="false" customHeight="false" outlineLevel="0" collapsed="false">
      <c r="A61" s="63"/>
      <c r="B61" s="63"/>
      <c r="C61" s="63"/>
      <c r="D61" s="63"/>
      <c r="E61" s="63"/>
      <c r="F61" s="63"/>
      <c r="G61" s="63"/>
    </row>
    <row r="62" customFormat="false" ht="12.75" hidden="false" customHeight="false" outlineLevel="0" collapsed="false">
      <c r="A62" s="63"/>
      <c r="B62" s="63"/>
      <c r="C62" s="63"/>
      <c r="D62" s="63"/>
      <c r="E62" s="63"/>
      <c r="F62" s="63"/>
      <c r="G62" s="63"/>
    </row>
    <row r="63" customFormat="false" ht="12.75" hidden="false" customHeight="false" outlineLevel="0" collapsed="false">
      <c r="A63" s="63"/>
      <c r="B63" s="63"/>
      <c r="C63" s="63"/>
      <c r="D63" s="63"/>
      <c r="E63" s="63"/>
      <c r="F63" s="63"/>
      <c r="G63" s="63"/>
    </row>
    <row r="64" customFormat="false" ht="12.75" hidden="false" customHeight="false" outlineLevel="0" collapsed="false">
      <c r="A64" s="63"/>
      <c r="B64" s="63"/>
      <c r="C64" s="63"/>
      <c r="D64" s="63"/>
      <c r="E64" s="63"/>
      <c r="F64" s="63"/>
      <c r="G64" s="63"/>
    </row>
    <row r="65" customFormat="false" ht="12.75" hidden="false" customHeight="false" outlineLevel="0" collapsed="false">
      <c r="A65" s="63"/>
      <c r="B65" s="63"/>
      <c r="C65" s="63"/>
      <c r="D65" s="63"/>
      <c r="E65" s="63"/>
      <c r="F65" s="63"/>
      <c r="G65" s="63"/>
    </row>
    <row r="66" customFormat="false" ht="12.75" hidden="false" customHeight="false" outlineLevel="0" collapsed="false">
      <c r="A66" s="63"/>
      <c r="B66" s="63"/>
      <c r="C66" s="63"/>
      <c r="D66" s="63"/>
      <c r="E66" s="63"/>
      <c r="F66" s="63"/>
      <c r="G66" s="63"/>
    </row>
    <row r="67" customFormat="false" ht="12.75" hidden="false" customHeight="false" outlineLevel="0" collapsed="false">
      <c r="A67" s="63"/>
      <c r="B67" s="63"/>
      <c r="C67" s="63"/>
      <c r="D67" s="63"/>
      <c r="E67" s="63"/>
      <c r="F67" s="63"/>
      <c r="G67" s="63"/>
    </row>
    <row r="68" customFormat="false" ht="12.75" hidden="false" customHeight="false" outlineLevel="0" collapsed="false">
      <c r="A68" s="63"/>
      <c r="B68" s="63"/>
      <c r="C68" s="63"/>
      <c r="D68" s="63"/>
      <c r="E68" s="63"/>
      <c r="F68" s="63"/>
      <c r="G68" s="63"/>
    </row>
    <row r="69" customFormat="false" ht="12.75" hidden="false" customHeight="false" outlineLevel="0" collapsed="false">
      <c r="A69" s="63"/>
      <c r="B69" s="63"/>
      <c r="C69" s="63"/>
      <c r="D69" s="63"/>
      <c r="E69" s="63"/>
      <c r="F69" s="63"/>
      <c r="G69" s="63"/>
    </row>
    <row r="70" customFormat="false" ht="12.75" hidden="false" customHeight="false" outlineLevel="0" collapsed="false">
      <c r="A70" s="63"/>
      <c r="B70" s="63"/>
      <c r="C70" s="63"/>
      <c r="D70" s="63"/>
      <c r="E70" s="63"/>
      <c r="F70" s="63"/>
      <c r="G70" s="63"/>
    </row>
    <row r="71" customFormat="false" ht="12.75" hidden="false" customHeight="false" outlineLevel="0" collapsed="false">
      <c r="A71" s="63"/>
      <c r="B71" s="63"/>
      <c r="C71" s="63"/>
      <c r="D71" s="63"/>
      <c r="E71" s="63"/>
      <c r="F71" s="63"/>
      <c r="G71" s="63"/>
    </row>
    <row r="72" customFormat="false" ht="12.75" hidden="false" customHeight="false" outlineLevel="0" collapsed="false">
      <c r="A72" s="63"/>
      <c r="B72" s="63"/>
      <c r="C72" s="63"/>
      <c r="D72" s="63"/>
      <c r="E72" s="63"/>
      <c r="F72" s="63"/>
      <c r="G72" s="63"/>
    </row>
    <row r="73" customFormat="false" ht="12.75" hidden="false" customHeight="false" outlineLevel="0" collapsed="false">
      <c r="A73" s="63"/>
      <c r="B73" s="63"/>
      <c r="C73" s="63"/>
      <c r="D73" s="63"/>
      <c r="E73" s="63"/>
      <c r="F73" s="63"/>
      <c r="G73" s="63"/>
    </row>
    <row r="74" customFormat="false" ht="12.75" hidden="false" customHeight="false" outlineLevel="0" collapsed="false">
      <c r="A74" s="63"/>
      <c r="B74" s="63"/>
      <c r="C74" s="63"/>
      <c r="D74" s="63"/>
      <c r="E74" s="63"/>
      <c r="F74" s="63"/>
      <c r="G74" s="63"/>
    </row>
    <row r="75" customFormat="false" ht="12.75" hidden="false" customHeight="false" outlineLevel="0" collapsed="false">
      <c r="A75" s="63"/>
      <c r="B75" s="63"/>
      <c r="C75" s="63"/>
      <c r="D75" s="63"/>
      <c r="E75" s="63"/>
      <c r="F75" s="63"/>
      <c r="G75" s="63"/>
    </row>
    <row r="76" customFormat="false" ht="12.75" hidden="false" customHeight="false" outlineLevel="0" collapsed="false">
      <c r="A76" s="63"/>
      <c r="B76" s="63"/>
      <c r="C76" s="63"/>
      <c r="D76" s="63"/>
      <c r="E76" s="63"/>
      <c r="F76" s="63"/>
      <c r="G76" s="63"/>
    </row>
    <row r="77" customFormat="false" ht="12.75" hidden="false" customHeight="false" outlineLevel="0" collapsed="false">
      <c r="A77" s="63"/>
      <c r="B77" s="63"/>
      <c r="C77" s="63"/>
      <c r="D77" s="63"/>
      <c r="E77" s="63"/>
      <c r="F77" s="63"/>
      <c r="G77" s="63"/>
    </row>
    <row r="78" customFormat="false" ht="12.75" hidden="false" customHeight="false" outlineLevel="0" collapsed="false">
      <c r="A78" s="63"/>
      <c r="B78" s="63"/>
      <c r="C78" s="63"/>
      <c r="D78" s="63"/>
      <c r="E78" s="63"/>
      <c r="F78" s="63"/>
      <c r="G78" s="63"/>
    </row>
    <row r="79" customFormat="false" ht="12.75" hidden="false" customHeight="false" outlineLevel="0" collapsed="false">
      <c r="A79" s="63"/>
      <c r="B79" s="63"/>
      <c r="C79" s="63"/>
      <c r="D79" s="63"/>
      <c r="E79" s="63"/>
      <c r="F79" s="63"/>
      <c r="G79" s="63"/>
    </row>
    <row r="80" customFormat="false" ht="12.75" hidden="false" customHeight="false" outlineLevel="0" collapsed="false">
      <c r="A80" s="63"/>
      <c r="B80" s="63"/>
      <c r="C80" s="63"/>
      <c r="D80" s="63"/>
      <c r="E80" s="63"/>
      <c r="F80" s="63"/>
      <c r="G80" s="63"/>
    </row>
    <row r="81" customFormat="false" ht="12.75" hidden="false" customHeight="false" outlineLevel="0" collapsed="false">
      <c r="A81" s="63"/>
      <c r="B81" s="63"/>
      <c r="C81" s="63"/>
      <c r="D81" s="63"/>
      <c r="E81" s="63"/>
      <c r="F81" s="63"/>
      <c r="G81" s="63"/>
    </row>
    <row r="82" customFormat="false" ht="12.75" hidden="false" customHeight="false" outlineLevel="0" collapsed="false">
      <c r="A82" s="63"/>
      <c r="B82" s="63"/>
      <c r="C82" s="63"/>
      <c r="D82" s="63"/>
      <c r="E82" s="63"/>
      <c r="F82" s="63"/>
      <c r="G82" s="63"/>
    </row>
    <row r="83" customFormat="false" ht="12.75" hidden="false" customHeight="false" outlineLevel="0" collapsed="false">
      <c r="A83" s="63"/>
      <c r="B83" s="63"/>
      <c r="C83" s="63"/>
      <c r="D83" s="63"/>
      <c r="E83" s="63"/>
      <c r="F83" s="63"/>
      <c r="G83" s="63"/>
    </row>
    <row r="84" customFormat="false" ht="12.75" hidden="false" customHeight="false" outlineLevel="0" collapsed="false">
      <c r="A84" s="63"/>
      <c r="B84" s="63"/>
      <c r="C84" s="63"/>
      <c r="D84" s="63"/>
      <c r="E84" s="63"/>
      <c r="F84" s="63"/>
      <c r="G84" s="63"/>
    </row>
    <row r="85" customFormat="false" ht="12.75" hidden="false" customHeight="false" outlineLevel="0" collapsed="false">
      <c r="A85" s="63"/>
      <c r="B85" s="63"/>
      <c r="C85" s="63"/>
      <c r="D85" s="63"/>
      <c r="E85" s="63"/>
      <c r="F85" s="63"/>
      <c r="G85" s="63"/>
    </row>
    <row r="86" customFormat="false" ht="12.75" hidden="false" customHeight="false" outlineLevel="0" collapsed="false">
      <c r="A86" s="63"/>
      <c r="B86" s="63"/>
      <c r="C86" s="63"/>
      <c r="D86" s="63"/>
      <c r="E86" s="63"/>
      <c r="F86" s="63"/>
      <c r="G86" s="63"/>
    </row>
    <row r="87" customFormat="false" ht="12.75" hidden="false" customHeight="false" outlineLevel="0" collapsed="false">
      <c r="A87" s="63"/>
      <c r="B87" s="63"/>
      <c r="C87" s="63"/>
      <c r="D87" s="63"/>
      <c r="E87" s="63"/>
      <c r="F87" s="63"/>
      <c r="G87" s="63"/>
    </row>
    <row r="88" customFormat="false" ht="12.75" hidden="false" customHeight="false" outlineLevel="0" collapsed="false">
      <c r="A88" s="63"/>
      <c r="B88" s="63"/>
      <c r="C88" s="63"/>
      <c r="D88" s="63"/>
      <c r="E88" s="63"/>
      <c r="F88" s="63"/>
      <c r="G88" s="63"/>
    </row>
    <row r="89" customFormat="false" ht="12.75" hidden="false" customHeight="false" outlineLevel="0" collapsed="false">
      <c r="A89" s="63"/>
      <c r="B89" s="63"/>
      <c r="C89" s="63"/>
      <c r="D89" s="63"/>
      <c r="E89" s="63"/>
      <c r="F89" s="63"/>
      <c r="G89" s="63"/>
    </row>
    <row r="90" customFormat="false" ht="12.75" hidden="false" customHeight="false" outlineLevel="0" collapsed="false">
      <c r="A90" s="63"/>
      <c r="B90" s="63"/>
      <c r="C90" s="63"/>
      <c r="D90" s="63"/>
      <c r="E90" s="63"/>
      <c r="F90" s="63"/>
      <c r="G90" s="63"/>
    </row>
    <row r="91" customFormat="false" ht="12.75" hidden="false" customHeight="false" outlineLevel="0" collapsed="false">
      <c r="A91" s="63"/>
      <c r="B91" s="63"/>
      <c r="C91" s="63"/>
      <c r="D91" s="63"/>
      <c r="E91" s="63"/>
      <c r="F91" s="63"/>
      <c r="G91" s="63"/>
    </row>
    <row r="92" customFormat="false" ht="12.75" hidden="false" customHeight="false" outlineLevel="0" collapsed="false">
      <c r="A92" s="63"/>
      <c r="B92" s="63"/>
      <c r="C92" s="63"/>
      <c r="D92" s="63"/>
      <c r="E92" s="63"/>
      <c r="F92" s="63"/>
      <c r="G92" s="63"/>
    </row>
    <row r="93" customFormat="false" ht="12.75" hidden="false" customHeight="false" outlineLevel="0" collapsed="false">
      <c r="A93" s="63"/>
      <c r="B93" s="63"/>
      <c r="C93" s="63"/>
      <c r="D93" s="63"/>
      <c r="E93" s="63"/>
      <c r="F93" s="63"/>
      <c r="G93" s="63"/>
    </row>
    <row r="94" customFormat="false" ht="12.75" hidden="false" customHeight="false" outlineLevel="0" collapsed="false">
      <c r="A94" s="63"/>
      <c r="B94" s="63"/>
      <c r="C94" s="63"/>
      <c r="D94" s="63"/>
      <c r="E94" s="63"/>
      <c r="F94" s="63"/>
      <c r="G94" s="63"/>
    </row>
    <row r="95" customFormat="false" ht="12.75" hidden="false" customHeight="false" outlineLevel="0" collapsed="false">
      <c r="A95" s="63"/>
      <c r="B95" s="63"/>
      <c r="C95" s="63"/>
      <c r="D95" s="63"/>
      <c r="E95" s="63"/>
      <c r="F95" s="63"/>
      <c r="G95" s="63"/>
    </row>
    <row r="96" customFormat="false" ht="12.75" hidden="false" customHeight="false" outlineLevel="0" collapsed="false">
      <c r="A96" s="63"/>
      <c r="B96" s="63"/>
      <c r="C96" s="63"/>
      <c r="D96" s="63"/>
      <c r="E96" s="63"/>
      <c r="F96" s="63"/>
      <c r="G96" s="63"/>
    </row>
    <row r="97" customFormat="false" ht="12.75" hidden="false" customHeight="false" outlineLevel="0" collapsed="false">
      <c r="A97" s="63"/>
      <c r="B97" s="63"/>
      <c r="C97" s="63"/>
      <c r="D97" s="63"/>
      <c r="E97" s="63"/>
      <c r="F97" s="63"/>
      <c r="G97" s="63"/>
    </row>
    <row r="98" customFormat="false" ht="12.75" hidden="false" customHeight="false" outlineLevel="0" collapsed="false">
      <c r="A98" s="63"/>
      <c r="B98" s="63"/>
      <c r="C98" s="63"/>
      <c r="D98" s="63"/>
      <c r="E98" s="63"/>
      <c r="F98" s="63"/>
      <c r="G98" s="63"/>
    </row>
    <row r="99" customFormat="false" ht="12.75" hidden="false" customHeight="false" outlineLevel="0" collapsed="false">
      <c r="A99" s="63"/>
      <c r="B99" s="63"/>
      <c r="C99" s="63"/>
      <c r="D99" s="63"/>
      <c r="E99" s="63"/>
      <c r="F99" s="63"/>
      <c r="G99" s="63"/>
    </row>
    <row r="100" customFormat="false" ht="12.75" hidden="false" customHeight="false" outlineLevel="0" collapsed="false">
      <c r="A100" s="63"/>
      <c r="B100" s="63"/>
      <c r="C100" s="63"/>
      <c r="D100" s="63"/>
      <c r="E100" s="63"/>
      <c r="F100" s="63"/>
      <c r="G100" s="63"/>
    </row>
    <row r="101" customFormat="false" ht="12.75" hidden="false" customHeight="false" outlineLevel="0" collapsed="false">
      <c r="A101" s="63"/>
      <c r="B101" s="63"/>
      <c r="C101" s="63"/>
      <c r="D101" s="63"/>
      <c r="E101" s="63"/>
      <c r="F101" s="63"/>
      <c r="G101" s="63"/>
    </row>
    <row r="102" customFormat="false" ht="12.75" hidden="false" customHeight="false" outlineLevel="0" collapsed="false">
      <c r="A102" s="63"/>
      <c r="B102" s="63"/>
      <c r="C102" s="63"/>
      <c r="D102" s="63"/>
      <c r="E102" s="63"/>
      <c r="F102" s="63"/>
      <c r="G102" s="63"/>
    </row>
    <row r="103" customFormat="false" ht="12.75" hidden="false" customHeight="false" outlineLevel="0" collapsed="false">
      <c r="A103" s="63"/>
      <c r="B103" s="63"/>
      <c r="C103" s="63"/>
      <c r="D103" s="63"/>
      <c r="E103" s="63"/>
      <c r="F103" s="63"/>
      <c r="G103" s="63"/>
    </row>
    <row r="104" customFormat="false" ht="12.75" hidden="false" customHeight="false" outlineLevel="0" collapsed="false">
      <c r="A104" s="63"/>
      <c r="B104" s="63"/>
      <c r="C104" s="63"/>
      <c r="D104" s="63"/>
      <c r="E104" s="63"/>
      <c r="F104" s="63"/>
      <c r="G104" s="63"/>
    </row>
    <row r="105" customFormat="false" ht="12.75" hidden="false" customHeight="false" outlineLevel="0" collapsed="false">
      <c r="A105" s="63"/>
      <c r="B105" s="63"/>
      <c r="C105" s="63"/>
      <c r="D105" s="63"/>
      <c r="E105" s="63"/>
      <c r="F105" s="63"/>
      <c r="G105" s="63"/>
    </row>
  </sheetData>
  <mergeCells count="18">
    <mergeCell ref="A1:G1"/>
    <mergeCell ref="A2:G2"/>
    <mergeCell ref="A3:G3"/>
    <mergeCell ref="A4:G4"/>
    <mergeCell ref="A5:G5"/>
    <mergeCell ref="A6:G6"/>
    <mergeCell ref="D7:G7"/>
    <mergeCell ref="A9:A10"/>
    <mergeCell ref="B9:B10"/>
    <mergeCell ref="C9:C10"/>
    <mergeCell ref="D9:D10"/>
    <mergeCell ref="E9:F9"/>
    <mergeCell ref="G9:G10"/>
    <mergeCell ref="A20:D20"/>
    <mergeCell ref="A22:C22"/>
    <mergeCell ref="E22:G22"/>
    <mergeCell ref="A28:C28"/>
    <mergeCell ref="E28:G28"/>
  </mergeCells>
  <printOptions headings="false" gridLines="false" gridLinesSet="true" horizontalCentered="false" verticalCentered="false"/>
  <pageMargins left="0.979861111111111" right="0.159722222222222" top="0.45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5"/>
  <sheetViews>
    <sheetView showFormulas="false" showGridLines="true" showRowColHeaders="true" showZeros="true" rightToLeft="false" tabSelected="false" showOutlineSymbols="true" defaultGridColor="true" view="normal" topLeftCell="A25" colorId="64" zoomScale="85" zoomScaleNormal="85" zoomScalePageLayoutView="100" workbookViewId="0">
      <selection pane="topLeft" activeCell="O19" activeCellId="0" sqref="O19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8"/>
    <col collapsed="false" customWidth="true" hidden="false" outlineLevel="0" max="3" min="3" style="1" width="14"/>
    <col collapsed="false" customWidth="true" hidden="false" outlineLevel="0" max="4" min="4" style="1" width="11.71"/>
    <col collapsed="false" customWidth="true" hidden="false" outlineLevel="0" max="7" min="7" style="1" width="11.71"/>
    <col collapsed="false" customWidth="true" hidden="false" outlineLevel="0" max="10" min="10" style="1" width="11.85"/>
    <col collapsed="false" customWidth="true" hidden="false" outlineLevel="0" max="13" min="13" style="1" width="11.85"/>
    <col collapsed="false" customWidth="true" hidden="false" outlineLevel="0" max="16" min="16" style="1" width="7.57"/>
  </cols>
  <sheetData>
    <row r="1" customFormat="false" ht="20.25" hidden="false" customHeight="true" outlineLevel="0" collapsed="false">
      <c r="A1" s="3" t="s">
        <v>27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customFormat="false" ht="15" hidden="false" customHeight="false" outlineLevel="0" collapsed="false">
      <c r="A2" s="74" t="str">
        <f>"Kèm theo BBNT số: "&amp;VLOOKUP(AZ2,'[1]Tuyến XB6A'!$A$2:$G$60,7,0)&amp;VLOOKUP(AZ2,'[1]Tuyến XB6A'!$A$2:$G$60,4,0)</f>
        <v xml:space="preserve">Kèm theo BBNT số: 23.NĐXB6A/CVXD ngày 06 tháng 09 năm 2026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AZ2">
        <v>23</v>
      </c>
    </row>
    <row r="3" customFormat="false" ht="15" hidden="false" customHeight="false" outlineLevel="0" collapsed="false">
      <c r="A3" s="22" t="s">
        <v>29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customFormat="false" ht="15" hidden="false" customHeight="false" outlineLevel="0" collapsed="false">
      <c r="A4" s="22" t="s">
        <v>30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customFormat="false" ht="15" hidden="false" customHeight="false" outlineLevel="0" collapsed="false">
      <c r="A5" s="22" t="s">
        <v>31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</row>
    <row r="6" customFormat="false" ht="15" hidden="false" customHeight="false" outlineLevel="0" collapsed="false">
      <c r="A6" s="22" t="s">
        <v>32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</row>
    <row r="7" customFormat="false" ht="15" hidden="false" customHeight="false" outlineLevel="0" collapsed="false">
      <c r="A7" s="21" t="s">
        <v>33</v>
      </c>
      <c r="C7" s="22"/>
      <c r="D7" s="22" t="str">
        <f>VLOOKUP(AZ2,'[1]Tuyến XB6A'!$A$2:$B$60,2,0)</f>
        <v xml:space="preserve">Đắp đất lề đường lớp 4, độ chặt K&gt;=0,95 đoạn từ Km0+000,00 - Km0+126,46</v>
      </c>
      <c r="F7" s="22"/>
      <c r="G7" s="22"/>
      <c r="I7" s="22"/>
      <c r="J7" s="22"/>
      <c r="K7" s="22"/>
      <c r="L7" s="22"/>
      <c r="M7" s="22"/>
      <c r="N7" s="22"/>
      <c r="O7" s="22"/>
      <c r="P7" s="22"/>
      <c r="Q7" s="22"/>
    </row>
    <row r="8" customFormat="false" ht="15" hidden="false" customHeight="false" outlineLevel="0" collapsed="false">
      <c r="A8" s="21" t="s">
        <v>35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</row>
    <row r="18" customFormat="false" ht="15" hidden="false" customHeight="true" outlineLevel="0" collapsed="false">
      <c r="A18" s="10" t="s">
        <v>36</v>
      </c>
      <c r="B18" s="10" t="s">
        <v>37</v>
      </c>
      <c r="C18" s="10" t="s">
        <v>38</v>
      </c>
      <c r="D18" s="11" t="s">
        <v>39</v>
      </c>
      <c r="E18" s="11"/>
      <c r="F18" s="11"/>
      <c r="G18" s="11" t="s">
        <v>40</v>
      </c>
      <c r="H18" s="11"/>
      <c r="I18" s="11"/>
      <c r="J18" s="11" t="s">
        <v>41</v>
      </c>
      <c r="K18" s="11"/>
      <c r="L18" s="11"/>
      <c r="M18" s="11" t="s">
        <v>42</v>
      </c>
      <c r="N18" s="11"/>
      <c r="O18" s="11"/>
      <c r="P18" s="10" t="s">
        <v>43</v>
      </c>
    </row>
    <row r="19" customFormat="false" ht="30" hidden="false" customHeight="true" outlineLevel="0" collapsed="false">
      <c r="A19" s="10"/>
      <c r="B19" s="10"/>
      <c r="C19" s="10"/>
      <c r="D19" s="11" t="s">
        <v>44</v>
      </c>
      <c r="E19" s="11" t="s">
        <v>45</v>
      </c>
      <c r="F19" s="11" t="s">
        <v>46</v>
      </c>
      <c r="G19" s="11" t="s">
        <v>44</v>
      </c>
      <c r="H19" s="11" t="s">
        <v>45</v>
      </c>
      <c r="I19" s="11" t="s">
        <v>46</v>
      </c>
      <c r="J19" s="11" t="s">
        <v>44</v>
      </c>
      <c r="K19" s="11" t="s">
        <v>45</v>
      </c>
      <c r="L19" s="11" t="s">
        <v>46</v>
      </c>
      <c r="M19" s="11" t="s">
        <v>44</v>
      </c>
      <c r="N19" s="11" t="s">
        <v>45</v>
      </c>
      <c r="O19" s="11" t="s">
        <v>46</v>
      </c>
      <c r="P19" s="10"/>
    </row>
    <row r="20" customFormat="false" ht="15" hidden="false" customHeight="false" outlineLevel="0" collapsed="false">
      <c r="A20" s="13" t="n">
        <v>1</v>
      </c>
      <c r="B20" s="14" t="s">
        <v>17</v>
      </c>
      <c r="C20" s="15" t="n">
        <v>0</v>
      </c>
      <c r="D20" s="16" t="n">
        <f aca="false">Chạy!G2</f>
        <v>2.86</v>
      </c>
      <c r="E20" s="16" t="n">
        <f aca="false">D20+F20</f>
        <v>2.924</v>
      </c>
      <c r="F20" s="16" t="n">
        <f aca="false">RANDBETWEEN(-30,100)/1000</f>
        <v>0.064</v>
      </c>
      <c r="G20" s="16" t="n">
        <f aca="false">Chạy!I2</f>
        <v>2.58</v>
      </c>
      <c r="H20" s="16" t="n">
        <f aca="false">G20+I20</f>
        <v>2.599</v>
      </c>
      <c r="I20" s="16" t="n">
        <f aca="false">RANDBETWEEN(-30,100)/1000</f>
        <v>0.019</v>
      </c>
      <c r="J20" s="16" t="n">
        <f aca="false">Chạy!M6</f>
        <v>2.77</v>
      </c>
      <c r="K20" s="16" t="n">
        <f aca="false">J20+L20</f>
        <v>2.824</v>
      </c>
      <c r="L20" s="16" t="n">
        <f aca="false">RANDBETWEEN(-30,100)/1000</f>
        <v>0.054</v>
      </c>
      <c r="M20" s="16" t="n">
        <f aca="false">Chạy!O6</f>
        <v>2.77</v>
      </c>
      <c r="N20" s="16" t="n">
        <f aca="false">M20+O20</f>
        <v>2.792</v>
      </c>
      <c r="O20" s="16" t="n">
        <f aca="false">RANDBETWEEN(-30,100)/1000</f>
        <v>0.022</v>
      </c>
      <c r="P20" s="17"/>
      <c r="Q20" s="18" t="n">
        <v>19.63</v>
      </c>
    </row>
    <row r="21" customFormat="false" ht="15" hidden="false" customHeight="false" outlineLevel="0" collapsed="false">
      <c r="A21" s="13" t="n">
        <v>2</v>
      </c>
      <c r="B21" s="14" t="s">
        <v>19</v>
      </c>
      <c r="C21" s="15" t="n">
        <f aca="false">C20+Q20</f>
        <v>19.63</v>
      </c>
      <c r="D21" s="16" t="n">
        <f aca="false">Chạy!G10</f>
        <v>2.86</v>
      </c>
      <c r="E21" s="16" t="n">
        <f aca="false">D21+F21</f>
        <v>2.955</v>
      </c>
      <c r="F21" s="16" t="n">
        <f aca="false">RANDBETWEEN(-30,100)/1000</f>
        <v>0.095</v>
      </c>
      <c r="G21" s="16" t="n">
        <f aca="false">Chạy!I10</f>
        <v>2.58</v>
      </c>
      <c r="H21" s="16" t="n">
        <f aca="false">G21+I21</f>
        <v>2.66</v>
      </c>
      <c r="I21" s="16" t="n">
        <f aca="false">RANDBETWEEN(-30,100)/1000</f>
        <v>0.08</v>
      </c>
      <c r="J21" s="16" t="n">
        <f aca="false">Chạy!M14</f>
        <v>2.77</v>
      </c>
      <c r="K21" s="16" t="n">
        <f aca="false">J21+L21</f>
        <v>2.757</v>
      </c>
      <c r="L21" s="16" t="n">
        <f aca="false">RANDBETWEEN(-30,100)/1000</f>
        <v>-0.013</v>
      </c>
      <c r="M21" s="16" t="n">
        <f aca="false">Chạy!O14</f>
        <v>2.77</v>
      </c>
      <c r="N21" s="16" t="n">
        <f aca="false">M21+O21</f>
        <v>2.765</v>
      </c>
      <c r="O21" s="16" t="n">
        <f aca="false">RANDBETWEEN(-30,100)/1000</f>
        <v>-0.005</v>
      </c>
      <c r="P21" s="17"/>
      <c r="Q21" s="18" t="n">
        <v>17.17</v>
      </c>
    </row>
    <row r="22" customFormat="false" ht="15" hidden="false" customHeight="false" outlineLevel="0" collapsed="false">
      <c r="A22" s="13" t="n">
        <v>3</v>
      </c>
      <c r="B22" s="14" t="s">
        <v>20</v>
      </c>
      <c r="C22" s="15" t="n">
        <f aca="false">C21+Q21</f>
        <v>36.8</v>
      </c>
      <c r="D22" s="16" t="n">
        <f aca="false">Chạy!G18</f>
        <v>2.87</v>
      </c>
      <c r="E22" s="16" t="n">
        <f aca="false">D22+F22</f>
        <v>2.871</v>
      </c>
      <c r="F22" s="16" t="n">
        <f aca="false">RANDBETWEEN(-30,100)/1000</f>
        <v>0.001</v>
      </c>
      <c r="G22" s="16" t="n">
        <f aca="false">Chạy!I18</f>
        <v>2.59</v>
      </c>
      <c r="H22" s="16" t="n">
        <f aca="false">G22+I22</f>
        <v>2.65</v>
      </c>
      <c r="I22" s="16" t="n">
        <f aca="false">RANDBETWEEN(-30,100)/1000</f>
        <v>0.06</v>
      </c>
      <c r="J22" s="16" t="n">
        <f aca="false">Chạy!M22</f>
        <v>2.78</v>
      </c>
      <c r="K22" s="16" t="n">
        <f aca="false">J22+L22</f>
        <v>2.807</v>
      </c>
      <c r="L22" s="16" t="n">
        <f aca="false">RANDBETWEEN(-30,100)/1000</f>
        <v>0.027</v>
      </c>
      <c r="M22" s="16" t="n">
        <f aca="false">Chạy!O22</f>
        <v>2.77</v>
      </c>
      <c r="N22" s="16" t="n">
        <f aca="false">M22+O22</f>
        <v>2.788</v>
      </c>
      <c r="O22" s="16" t="n">
        <f aca="false">RANDBETWEEN(-30,100)/1000</f>
        <v>0.018</v>
      </c>
      <c r="P22" s="17"/>
      <c r="Q22" s="18" t="n">
        <v>17.18</v>
      </c>
    </row>
    <row r="23" customFormat="false" ht="15" hidden="false" customHeight="false" outlineLevel="0" collapsed="false">
      <c r="A23" s="13" t="n">
        <v>4</v>
      </c>
      <c r="B23" s="14" t="s">
        <v>21</v>
      </c>
      <c r="C23" s="15" t="n">
        <f aca="false">C22+Q22</f>
        <v>53.98</v>
      </c>
      <c r="D23" s="16" t="n">
        <f aca="false">Chạy!G26</f>
        <v>2.88</v>
      </c>
      <c r="E23" s="16" t="n">
        <f aca="false">D23+F23</f>
        <v>2.938</v>
      </c>
      <c r="F23" s="16" t="n">
        <f aca="false">RANDBETWEEN(-30,100)/1000</f>
        <v>0.058</v>
      </c>
      <c r="G23" s="16" t="n">
        <f aca="false">Chạy!I26</f>
        <v>2.6</v>
      </c>
      <c r="H23" s="16" t="n">
        <f aca="false">G23+I23</f>
        <v>2.616</v>
      </c>
      <c r="I23" s="16" t="n">
        <f aca="false">RANDBETWEEN(-30,100)/1000</f>
        <v>0.016</v>
      </c>
      <c r="J23" s="16" t="n">
        <f aca="false">Chạy!M30</f>
        <v>2.79</v>
      </c>
      <c r="K23" s="16" t="n">
        <f aca="false">J23+L23</f>
        <v>2.803</v>
      </c>
      <c r="L23" s="16" t="n">
        <f aca="false">RANDBETWEEN(-30,100)/1000</f>
        <v>0.013</v>
      </c>
      <c r="M23" s="16" t="n">
        <f aca="false">Chạy!O30</f>
        <v>2.78</v>
      </c>
      <c r="N23" s="16" t="n">
        <f aca="false">M23+O23</f>
        <v>2.826</v>
      </c>
      <c r="O23" s="16" t="n">
        <f aca="false">RANDBETWEEN(-30,100)/1000</f>
        <v>0.046</v>
      </c>
      <c r="P23" s="17"/>
      <c r="Q23" s="18" t="n">
        <v>12.97</v>
      </c>
    </row>
    <row r="24" customFormat="false" ht="15" hidden="false" customHeight="false" outlineLevel="0" collapsed="false">
      <c r="A24" s="13" t="n">
        <v>5</v>
      </c>
      <c r="B24" s="14" t="s">
        <v>22</v>
      </c>
      <c r="C24" s="15" t="n">
        <f aca="false">C23+Q23</f>
        <v>66.95</v>
      </c>
      <c r="D24" s="16" t="n">
        <f aca="false">Chạy!G34</f>
        <v>2.88</v>
      </c>
      <c r="E24" s="16" t="n">
        <f aca="false">D24+F24</f>
        <v>2.973</v>
      </c>
      <c r="F24" s="16" t="n">
        <f aca="false">RANDBETWEEN(-30,100)/1000</f>
        <v>0.093</v>
      </c>
      <c r="G24" s="16" t="n">
        <f aca="false">Chạy!I34</f>
        <v>2.6</v>
      </c>
      <c r="H24" s="16" t="n">
        <f aca="false">G24+I24</f>
        <v>2.694</v>
      </c>
      <c r="I24" s="16" t="n">
        <f aca="false">RANDBETWEEN(-30,100)/1000</f>
        <v>0.094</v>
      </c>
      <c r="J24" s="16" t="n">
        <f aca="false">Chạy!M38</f>
        <v>2.79</v>
      </c>
      <c r="K24" s="16" t="n">
        <f aca="false">J24+L24</f>
        <v>2.811</v>
      </c>
      <c r="L24" s="16" t="n">
        <f aca="false">RANDBETWEEN(-30,100)/1000</f>
        <v>0.021</v>
      </c>
      <c r="M24" s="16" t="n">
        <f aca="false">Chạy!O38</f>
        <v>2.79</v>
      </c>
      <c r="N24" s="16" t="n">
        <f aca="false">M24+O24</f>
        <v>2.886</v>
      </c>
      <c r="O24" s="16" t="n">
        <f aca="false">RANDBETWEEN(-30,100)/1000</f>
        <v>0.096</v>
      </c>
      <c r="P24" s="17"/>
      <c r="Q24" s="18" t="n">
        <v>10.68</v>
      </c>
    </row>
    <row r="25" customFormat="false" ht="15" hidden="false" customHeight="false" outlineLevel="0" collapsed="false">
      <c r="A25" s="13" t="n">
        <v>6</v>
      </c>
      <c r="B25" s="14" t="s">
        <v>23</v>
      </c>
      <c r="C25" s="15" t="n">
        <f aca="false">C24+Q24</f>
        <v>77.63</v>
      </c>
      <c r="D25" s="16" t="n">
        <f aca="false">Chạy!G42</f>
        <v>2.89</v>
      </c>
      <c r="E25" s="16" t="n">
        <f aca="false">D25+F25</f>
        <v>2.878</v>
      </c>
      <c r="F25" s="16" t="n">
        <f aca="false">RANDBETWEEN(-30,100)/1000</f>
        <v>-0.012</v>
      </c>
      <c r="G25" s="16" t="n">
        <f aca="false">Chạy!I42</f>
        <v>2.61</v>
      </c>
      <c r="H25" s="16" t="n">
        <f aca="false">G25+I25</f>
        <v>2.61</v>
      </c>
      <c r="I25" s="16" t="n">
        <f aca="false">RANDBETWEEN(-30,100)/1000</f>
        <v>0</v>
      </c>
      <c r="J25" s="16" t="n">
        <f aca="false">Chạy!M46</f>
        <v>2.8</v>
      </c>
      <c r="K25" s="16" t="n">
        <f aca="false">J25+L25</f>
        <v>2.835</v>
      </c>
      <c r="L25" s="16" t="n">
        <f aca="false">RANDBETWEEN(-30,100)/1000</f>
        <v>0.035</v>
      </c>
      <c r="M25" s="16" t="n">
        <f aca="false">Chạy!O46</f>
        <v>2.79</v>
      </c>
      <c r="N25" s="16" t="n">
        <f aca="false">M25+O25</f>
        <v>2.8</v>
      </c>
      <c r="O25" s="16" t="n">
        <f aca="false">RANDBETWEEN(-30,100)/1000</f>
        <v>0.01</v>
      </c>
      <c r="P25" s="17"/>
      <c r="Q25" s="18" t="n">
        <v>17.17</v>
      </c>
    </row>
    <row r="26" customFormat="false" ht="15" hidden="false" customHeight="false" outlineLevel="0" collapsed="false">
      <c r="A26" s="13" t="n">
        <v>7</v>
      </c>
      <c r="B26" s="14" t="s">
        <v>24</v>
      </c>
      <c r="C26" s="15" t="n">
        <f aca="false">C25+Q25</f>
        <v>94.8</v>
      </c>
      <c r="D26" s="16" t="n">
        <f aca="false">Chạy!G50</f>
        <v>2.9</v>
      </c>
      <c r="E26" s="16" t="n">
        <f aca="false">D26+F26</f>
        <v>2.933</v>
      </c>
      <c r="F26" s="16" t="n">
        <f aca="false">RANDBETWEEN(-30,100)/1000</f>
        <v>0.033</v>
      </c>
      <c r="G26" s="16" t="n">
        <f aca="false">Chạy!I50</f>
        <v>2.62</v>
      </c>
      <c r="H26" s="16" t="n">
        <f aca="false">G26+I26</f>
        <v>2.656</v>
      </c>
      <c r="I26" s="16" t="n">
        <f aca="false">RANDBETWEEN(-30,100)/1000</f>
        <v>0.036</v>
      </c>
      <c r="J26" s="16" t="n">
        <f aca="false">Chạy!M54</f>
        <v>2.81</v>
      </c>
      <c r="K26" s="16" t="n">
        <f aca="false">J26+L26</f>
        <v>2.908</v>
      </c>
      <c r="L26" s="16" t="n">
        <f aca="false">RANDBETWEEN(-30,100)/1000</f>
        <v>0.098</v>
      </c>
      <c r="M26" s="16" t="n">
        <f aca="false">Chạy!O54</f>
        <v>2.8</v>
      </c>
      <c r="N26" s="16" t="n">
        <f aca="false">M26+O26</f>
        <v>2.809</v>
      </c>
      <c r="O26" s="16" t="n">
        <f aca="false">RANDBETWEEN(-30,100)/1000</f>
        <v>0.009</v>
      </c>
      <c r="P26" s="17"/>
      <c r="Q26" s="18" t="n">
        <v>17.17</v>
      </c>
    </row>
    <row r="27" customFormat="false" ht="15" hidden="false" customHeight="false" outlineLevel="0" collapsed="false">
      <c r="A27" s="13" t="n">
        <v>8</v>
      </c>
      <c r="B27" s="14" t="s">
        <v>25</v>
      </c>
      <c r="C27" s="15" t="n">
        <f aca="false">C26+Q26</f>
        <v>111.97</v>
      </c>
      <c r="D27" s="16" t="n">
        <f aca="false">Chạy!G58</f>
        <v>2.91</v>
      </c>
      <c r="E27" s="16" t="n">
        <f aca="false">D27+F27</f>
        <v>2.922</v>
      </c>
      <c r="F27" s="16" t="n">
        <f aca="false">RANDBETWEEN(-30,100)/1000</f>
        <v>0.012</v>
      </c>
      <c r="G27" s="16" t="n">
        <f aca="false">Chạy!I58</f>
        <v>2.62</v>
      </c>
      <c r="H27" s="16" t="n">
        <f aca="false">G27+I27</f>
        <v>2.719</v>
      </c>
      <c r="I27" s="16" t="n">
        <f aca="false">RANDBETWEEN(-30,100)/1000</f>
        <v>0.099</v>
      </c>
      <c r="J27" s="16" t="n">
        <f aca="false">Chạy!M62</f>
        <v>2.81</v>
      </c>
      <c r="K27" s="16" t="n">
        <f aca="false">J27+L27</f>
        <v>2.91</v>
      </c>
      <c r="L27" s="16" t="n">
        <f aca="false">RANDBETWEEN(-30,100)/1000</f>
        <v>0.1</v>
      </c>
      <c r="M27" s="16" t="n">
        <f aca="false">Chạy!O62</f>
        <v>2.81</v>
      </c>
      <c r="N27" s="16" t="n">
        <f aca="false">M27+O27</f>
        <v>2.907</v>
      </c>
      <c r="O27" s="16" t="n">
        <f aca="false">RANDBETWEEN(-30,100)/1000</f>
        <v>0.097</v>
      </c>
      <c r="P27" s="17"/>
      <c r="Q27" s="18" t="n">
        <v>14.49</v>
      </c>
    </row>
    <row r="28" customFormat="false" ht="15" hidden="false" customHeight="false" outlineLevel="0" collapsed="false">
      <c r="A28" s="13" t="n">
        <v>9</v>
      </c>
      <c r="B28" s="14" t="s">
        <v>26</v>
      </c>
      <c r="C28" s="15" t="n">
        <f aca="false">C27+Q27</f>
        <v>126.46</v>
      </c>
      <c r="D28" s="16" t="n">
        <f aca="false">Chạy!G66</f>
        <v>2.91</v>
      </c>
      <c r="E28" s="16" t="n">
        <f aca="false">D28+F28</f>
        <v>2.995</v>
      </c>
      <c r="F28" s="16" t="n">
        <f aca="false">RANDBETWEEN(-30,100)/1000</f>
        <v>0.085</v>
      </c>
      <c r="G28" s="16" t="n">
        <f aca="false">Chạy!I66</f>
        <v>2.62</v>
      </c>
      <c r="H28" s="16" t="n">
        <f aca="false">G28+I28</f>
        <v>2.628</v>
      </c>
      <c r="I28" s="16" t="n">
        <f aca="false">RANDBETWEEN(-30,100)/1000</f>
        <v>0.008</v>
      </c>
      <c r="J28" s="16" t="n">
        <f aca="false">Chạy!M70</f>
        <v>2.81</v>
      </c>
      <c r="K28" s="16" t="n">
        <f aca="false">J28+L28</f>
        <v>2.859</v>
      </c>
      <c r="L28" s="16" t="n">
        <f aca="false">RANDBETWEEN(-30,100)/1000</f>
        <v>0.049</v>
      </c>
      <c r="M28" s="16" t="n">
        <f aca="false">Chạy!O70</f>
        <v>2.81</v>
      </c>
      <c r="N28" s="16" t="n">
        <f aca="false">M28+O28</f>
        <v>2.858</v>
      </c>
      <c r="O28" s="16" t="n">
        <f aca="false">RANDBETWEEN(-30,100)/1000</f>
        <v>0.048</v>
      </c>
      <c r="P28" s="17"/>
      <c r="Q28" s="18"/>
    </row>
    <row r="30" customFormat="false" ht="15" hidden="false" customHeight="false" outlineLevel="0" collapsed="false">
      <c r="C30" s="19" t="s">
        <v>47</v>
      </c>
      <c r="D30" s="19"/>
      <c r="E30" s="19"/>
      <c r="F30" s="19"/>
      <c r="G30" s="20"/>
      <c r="H30" s="20"/>
      <c r="I30" s="20"/>
      <c r="K30" s="19" t="s">
        <v>48</v>
      </c>
      <c r="L30" s="19"/>
      <c r="M30" s="19"/>
      <c r="N30" s="19"/>
      <c r="O30" s="21"/>
    </row>
    <row r="31" customFormat="false" ht="15" hidden="false" customHeight="false" outlineLevel="0" collapsed="false">
      <c r="D31" s="22"/>
      <c r="E31" s="22"/>
      <c r="G31" s="22"/>
      <c r="H31" s="22"/>
      <c r="J31" s="22"/>
      <c r="K31" s="22"/>
      <c r="L31" s="22"/>
      <c r="M31" s="22"/>
      <c r="N31" s="22"/>
      <c r="O31" s="22"/>
    </row>
    <row r="32" customFormat="false" ht="15" hidden="false" customHeight="false" outlineLevel="0" collapsed="false">
      <c r="D32" s="22"/>
      <c r="E32" s="22"/>
      <c r="G32" s="22"/>
      <c r="H32" s="22"/>
      <c r="J32" s="22"/>
      <c r="K32" s="22"/>
      <c r="L32" s="22"/>
      <c r="M32" s="22"/>
      <c r="N32" s="22"/>
      <c r="O32" s="22"/>
    </row>
    <row r="33" customFormat="false" ht="15" hidden="false" customHeight="false" outlineLevel="0" collapsed="false">
      <c r="D33" s="22"/>
      <c r="E33" s="22"/>
      <c r="G33" s="22"/>
      <c r="H33" s="22"/>
      <c r="J33" s="22"/>
      <c r="K33" s="22"/>
      <c r="L33" s="22"/>
      <c r="M33" s="22"/>
      <c r="N33" s="22"/>
      <c r="O33" s="22"/>
    </row>
    <row r="34" customFormat="false" ht="15" hidden="false" customHeight="false" outlineLevel="0" collapsed="false">
      <c r="D34" s="22"/>
      <c r="E34" s="22"/>
      <c r="G34" s="22"/>
      <c r="H34" s="22"/>
      <c r="J34" s="22"/>
      <c r="K34" s="22"/>
      <c r="L34" s="22"/>
      <c r="M34" s="22"/>
      <c r="N34" s="22"/>
      <c r="O34" s="22"/>
    </row>
    <row r="35" customFormat="false" ht="15" hidden="false" customHeight="false" outlineLevel="0" collapsed="false">
      <c r="C35" s="19" t="s">
        <v>49</v>
      </c>
      <c r="D35" s="19"/>
      <c r="E35" s="19"/>
      <c r="F35" s="19"/>
      <c r="G35" s="20"/>
      <c r="H35" s="20"/>
      <c r="I35" s="20"/>
      <c r="J35" s="21"/>
      <c r="K35" s="19" t="s">
        <v>63</v>
      </c>
      <c r="L35" s="19"/>
      <c r="M35" s="19"/>
      <c r="N35" s="19"/>
      <c r="O35" s="21"/>
    </row>
  </sheetData>
  <mergeCells count="14">
    <mergeCell ref="A1:P1"/>
    <mergeCell ref="A2:P2"/>
    <mergeCell ref="A18:A19"/>
    <mergeCell ref="B18:B19"/>
    <mergeCell ref="C18:C19"/>
    <mergeCell ref="D18:F18"/>
    <mergeCell ref="G18:I18"/>
    <mergeCell ref="J18:L18"/>
    <mergeCell ref="M18:O18"/>
    <mergeCell ref="P18:P19"/>
    <mergeCell ref="C30:F30"/>
    <mergeCell ref="K30:N30"/>
    <mergeCell ref="C35:F35"/>
    <mergeCell ref="K35:N35"/>
  </mergeCells>
  <printOptions headings="false" gridLines="false" gridLinesSet="true" horizontalCentered="false" verticalCentered="false"/>
  <pageMargins left="0.354166666666667" right="0.196527777777778" top="0.747916666666667" bottom="0.39375" header="0.511811023622047" footer="0.157638888888889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C10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M21" activeCellId="0" sqref="M21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1.43"/>
    <col collapsed="false" customWidth="true" hidden="false" outlineLevel="0" max="3" min="3" style="23" width="17.86"/>
    <col collapsed="false" customWidth="true" hidden="false" outlineLevel="0" max="4" min="4" style="24" width="12.71"/>
    <col collapsed="false" customWidth="true" hidden="false" outlineLevel="0" max="5" min="5" style="24" width="15.42"/>
    <col collapsed="false" customWidth="true" hidden="false" outlineLevel="0" max="6" min="6" style="24" width="15.29"/>
    <col collapsed="false" customWidth="true" hidden="false" outlineLevel="0" max="7" min="7" style="24" width="8.29"/>
    <col collapsed="false" customWidth="true" hidden="false" outlineLevel="0" max="8" min="8" style="23" width="4.86"/>
    <col collapsed="false" customWidth="true" hidden="false" outlineLevel="0" max="9" min="9" style="23" width="10"/>
    <col collapsed="false" customWidth="true" hidden="false" outlineLevel="0" max="10" min="10" style="23" width="11.43"/>
    <col collapsed="false" customWidth="true" hidden="false" outlineLevel="0" max="12" min="11" style="23" width="10.57"/>
    <col collapsed="false" customWidth="true" hidden="false" outlineLevel="0" max="13" min="13" style="23" width="11.29"/>
    <col collapsed="false" customWidth="true" hidden="false" outlineLevel="0" max="14" min="14" style="23" width="10.57"/>
    <col collapsed="false" customWidth="true" hidden="false" outlineLevel="0" max="15" min="15" style="23" width="6.43"/>
    <col collapsed="false" customWidth="true" hidden="false" outlineLevel="0" max="16" min="16" style="23" width="10.57"/>
    <col collapsed="false" customWidth="true" hidden="false" outlineLevel="0" max="17" min="17" style="23" width="10.29"/>
    <col collapsed="false" customWidth="false" hidden="false" outlineLevel="0" max="16384" min="18" style="23" width="9.29"/>
  </cols>
  <sheetData>
    <row r="1" s="26" customFormat="true" ht="21" hidden="false" customHeight="true" outlineLevel="0" collapsed="false">
      <c r="A1" s="25" t="s">
        <v>51</v>
      </c>
      <c r="B1" s="25"/>
      <c r="C1" s="25"/>
      <c r="D1" s="25"/>
      <c r="E1" s="25"/>
      <c r="F1" s="25"/>
      <c r="G1" s="25"/>
    </row>
    <row r="2" s="75" customFormat="true" ht="15.75" hidden="false" customHeight="true" outlineLevel="0" collapsed="false">
      <c r="A2" s="27" t="str">
        <f>"Kèm theo BBNT số: "&amp;VLOOKUP(AZ2,'[1]Tuyến XB6A'!$A$2:$G$60,7,0)&amp;VLOOKUP(AZ2,'[1]Tuyến XB6A'!$A$2:$G$60,4,0)</f>
        <v xml:space="preserve">Kèm theo BBNT số: 23.NĐXB6A/CVXD ngày 06 tháng 09 năm 2026</v>
      </c>
      <c r="B2" s="27"/>
      <c r="C2" s="27"/>
      <c r="D2" s="27"/>
      <c r="E2" s="27"/>
      <c r="F2" s="27"/>
      <c r="G2" s="27"/>
      <c r="AZ2">
        <v>23</v>
      </c>
    </row>
    <row r="3" s="33" customFormat="true" ht="37.5" hidden="false" customHeight="true" outlineLevel="0" collapsed="false">
      <c r="A3" s="28" t="s">
        <v>29</v>
      </c>
      <c r="B3" s="28"/>
      <c r="C3" s="28"/>
      <c r="D3" s="28"/>
      <c r="E3" s="28"/>
      <c r="F3" s="28"/>
      <c r="G3" s="28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G3" s="76"/>
      <c r="CH3" s="76"/>
      <c r="CI3" s="76"/>
      <c r="CJ3" s="76"/>
      <c r="CK3" s="76"/>
      <c r="CL3" s="76"/>
      <c r="CM3" s="76"/>
      <c r="CN3" s="76"/>
      <c r="CO3" s="76"/>
      <c r="CP3" s="76"/>
      <c r="CQ3" s="76"/>
      <c r="CR3" s="76"/>
      <c r="CS3" s="76"/>
      <c r="CT3" s="76"/>
      <c r="CU3" s="76"/>
      <c r="CV3" s="76"/>
      <c r="CW3" s="76"/>
      <c r="CX3" s="76"/>
      <c r="CY3" s="76"/>
      <c r="CZ3" s="76"/>
      <c r="DA3" s="76"/>
      <c r="DB3" s="76"/>
      <c r="DC3" s="76"/>
      <c r="DD3" s="76"/>
      <c r="DE3" s="76"/>
      <c r="DF3" s="76"/>
      <c r="DG3" s="76"/>
      <c r="DH3" s="76"/>
      <c r="DI3" s="76"/>
      <c r="DJ3" s="76"/>
      <c r="DK3" s="76"/>
      <c r="DL3" s="76"/>
      <c r="DM3" s="76"/>
      <c r="DN3" s="76"/>
      <c r="DO3" s="76"/>
      <c r="DP3" s="76"/>
      <c r="DQ3" s="76"/>
      <c r="DR3" s="76"/>
      <c r="DS3" s="76"/>
      <c r="DT3" s="76"/>
      <c r="DU3" s="76"/>
      <c r="DV3" s="76"/>
      <c r="DW3" s="76"/>
      <c r="DX3" s="76"/>
      <c r="DY3" s="76"/>
      <c r="DZ3" s="76"/>
      <c r="EA3" s="76"/>
      <c r="EB3" s="76"/>
      <c r="EC3" s="76"/>
      <c r="ED3" s="76"/>
      <c r="EE3" s="76"/>
      <c r="EF3" s="76"/>
      <c r="EG3" s="76"/>
      <c r="EH3" s="76"/>
      <c r="EI3" s="76"/>
      <c r="EJ3" s="76"/>
      <c r="EK3" s="76"/>
      <c r="EL3" s="76"/>
      <c r="EM3" s="76"/>
      <c r="EN3" s="76"/>
      <c r="EO3" s="76"/>
      <c r="EP3" s="76"/>
      <c r="EQ3" s="76"/>
      <c r="ER3" s="76"/>
      <c r="ES3" s="76"/>
      <c r="ET3" s="76"/>
      <c r="EU3" s="76"/>
      <c r="EV3" s="76"/>
      <c r="EW3" s="76"/>
      <c r="EX3" s="76"/>
      <c r="EY3" s="76"/>
      <c r="EZ3" s="76"/>
      <c r="FA3" s="76"/>
      <c r="FB3" s="76"/>
      <c r="FC3" s="76"/>
      <c r="FD3" s="76"/>
      <c r="FE3" s="76"/>
      <c r="FF3" s="76"/>
      <c r="FG3" s="76"/>
      <c r="FH3" s="76"/>
      <c r="FI3" s="76"/>
      <c r="FJ3" s="76"/>
      <c r="FK3" s="76"/>
      <c r="FL3" s="76"/>
      <c r="FM3" s="76"/>
      <c r="FN3" s="76"/>
      <c r="FO3" s="76"/>
      <c r="FP3" s="76"/>
      <c r="FQ3" s="76"/>
      <c r="FR3" s="76"/>
      <c r="FS3" s="76"/>
      <c r="FT3" s="76"/>
      <c r="FU3" s="76"/>
      <c r="FV3" s="76"/>
      <c r="FW3" s="76"/>
      <c r="FX3" s="76"/>
      <c r="FY3" s="76"/>
      <c r="FZ3" s="76"/>
      <c r="GA3" s="76"/>
      <c r="GB3" s="76"/>
      <c r="GC3" s="76"/>
      <c r="GD3" s="76"/>
      <c r="GE3" s="76"/>
      <c r="GF3" s="76"/>
      <c r="GG3" s="76"/>
      <c r="GH3" s="76"/>
      <c r="GI3" s="76"/>
      <c r="GJ3" s="76"/>
      <c r="GK3" s="76"/>
      <c r="GL3" s="76"/>
      <c r="GM3" s="76"/>
      <c r="GN3" s="76"/>
      <c r="GO3" s="76"/>
      <c r="GP3" s="76"/>
      <c r="GQ3" s="76"/>
      <c r="GR3" s="76"/>
      <c r="GS3" s="76"/>
      <c r="GT3" s="76"/>
      <c r="GU3" s="76"/>
      <c r="GV3" s="76"/>
      <c r="GW3" s="76"/>
      <c r="GX3" s="76"/>
      <c r="GY3" s="76"/>
      <c r="GZ3" s="76"/>
      <c r="HA3" s="76"/>
      <c r="HB3" s="76"/>
      <c r="HC3" s="76"/>
    </row>
    <row r="4" s="33" customFormat="true" ht="37.5" hidden="false" customHeight="true" outlineLevel="0" collapsed="false">
      <c r="A4" s="28" t="s">
        <v>30</v>
      </c>
      <c r="B4" s="28"/>
      <c r="C4" s="28"/>
      <c r="D4" s="28"/>
      <c r="E4" s="28"/>
      <c r="F4" s="28"/>
      <c r="G4" s="28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  <c r="BU4" s="76"/>
      <c r="BV4" s="76"/>
      <c r="BW4" s="76"/>
      <c r="BX4" s="76"/>
      <c r="BY4" s="76"/>
      <c r="BZ4" s="76"/>
      <c r="CA4" s="76"/>
      <c r="CB4" s="76"/>
      <c r="CC4" s="76"/>
      <c r="CD4" s="76"/>
      <c r="CE4" s="76"/>
      <c r="CF4" s="76"/>
      <c r="CG4" s="76"/>
      <c r="CH4" s="76"/>
      <c r="CI4" s="76"/>
      <c r="CJ4" s="76"/>
      <c r="CK4" s="76"/>
      <c r="CL4" s="76"/>
      <c r="CM4" s="76"/>
      <c r="CN4" s="76"/>
      <c r="CO4" s="76"/>
      <c r="CP4" s="76"/>
      <c r="CQ4" s="76"/>
      <c r="CR4" s="76"/>
      <c r="CS4" s="76"/>
      <c r="CT4" s="76"/>
      <c r="CU4" s="76"/>
      <c r="CV4" s="76"/>
      <c r="CW4" s="76"/>
      <c r="CX4" s="76"/>
      <c r="CY4" s="76"/>
      <c r="CZ4" s="76"/>
      <c r="DA4" s="76"/>
      <c r="DB4" s="76"/>
      <c r="DC4" s="76"/>
      <c r="DD4" s="76"/>
      <c r="DE4" s="76"/>
      <c r="DF4" s="76"/>
      <c r="DG4" s="76"/>
      <c r="DH4" s="76"/>
      <c r="DI4" s="76"/>
      <c r="DJ4" s="76"/>
      <c r="DK4" s="76"/>
      <c r="DL4" s="76"/>
      <c r="DM4" s="76"/>
      <c r="DN4" s="76"/>
      <c r="DO4" s="76"/>
      <c r="DP4" s="76"/>
      <c r="DQ4" s="76"/>
      <c r="DR4" s="76"/>
      <c r="DS4" s="76"/>
      <c r="DT4" s="76"/>
      <c r="DU4" s="76"/>
      <c r="DV4" s="76"/>
      <c r="DW4" s="76"/>
      <c r="DX4" s="76"/>
      <c r="DY4" s="76"/>
      <c r="DZ4" s="76"/>
      <c r="EA4" s="76"/>
      <c r="EB4" s="76"/>
      <c r="EC4" s="76"/>
      <c r="ED4" s="76"/>
      <c r="EE4" s="76"/>
      <c r="EF4" s="76"/>
      <c r="EG4" s="76"/>
      <c r="EH4" s="76"/>
      <c r="EI4" s="76"/>
      <c r="EJ4" s="76"/>
      <c r="EK4" s="76"/>
      <c r="EL4" s="76"/>
      <c r="EM4" s="76"/>
      <c r="EN4" s="76"/>
      <c r="EO4" s="76"/>
      <c r="EP4" s="76"/>
      <c r="EQ4" s="76"/>
      <c r="ER4" s="76"/>
      <c r="ES4" s="76"/>
      <c r="ET4" s="76"/>
      <c r="EU4" s="76"/>
      <c r="EV4" s="76"/>
      <c r="EW4" s="76"/>
      <c r="EX4" s="76"/>
      <c r="EY4" s="76"/>
      <c r="EZ4" s="76"/>
      <c r="FA4" s="76"/>
      <c r="FB4" s="76"/>
      <c r="FC4" s="76"/>
      <c r="FD4" s="76"/>
      <c r="FE4" s="76"/>
      <c r="FF4" s="76"/>
      <c r="FG4" s="76"/>
      <c r="FH4" s="76"/>
      <c r="FI4" s="76"/>
      <c r="FJ4" s="76"/>
      <c r="FK4" s="76"/>
      <c r="FL4" s="76"/>
      <c r="FM4" s="76"/>
      <c r="FN4" s="76"/>
      <c r="FO4" s="76"/>
      <c r="FP4" s="76"/>
      <c r="FQ4" s="76"/>
      <c r="FR4" s="76"/>
      <c r="FS4" s="76"/>
      <c r="FT4" s="76"/>
      <c r="FU4" s="76"/>
      <c r="FV4" s="76"/>
      <c r="FW4" s="76"/>
      <c r="FX4" s="76"/>
      <c r="FY4" s="76"/>
      <c r="FZ4" s="76"/>
      <c r="GA4" s="76"/>
      <c r="GB4" s="76"/>
      <c r="GC4" s="76"/>
      <c r="GD4" s="76"/>
      <c r="GE4" s="76"/>
      <c r="GF4" s="76"/>
      <c r="GG4" s="76"/>
      <c r="GH4" s="76"/>
      <c r="GI4" s="76"/>
      <c r="GJ4" s="76"/>
      <c r="GK4" s="76"/>
      <c r="GL4" s="76"/>
      <c r="GM4" s="76"/>
      <c r="GN4" s="76"/>
      <c r="GO4" s="76"/>
      <c r="GP4" s="76"/>
      <c r="GQ4" s="76"/>
      <c r="GR4" s="76"/>
      <c r="GS4" s="76"/>
      <c r="GT4" s="76"/>
      <c r="GU4" s="76"/>
      <c r="GV4" s="76"/>
      <c r="GW4" s="76"/>
      <c r="GX4" s="76"/>
      <c r="GY4" s="76"/>
      <c r="GZ4" s="76"/>
      <c r="HA4" s="76"/>
      <c r="HB4" s="76"/>
      <c r="HC4" s="76"/>
    </row>
    <row r="5" s="33" customFormat="true" ht="15.75" hidden="false" customHeight="true" outlineLevel="0" collapsed="false">
      <c r="A5" s="28" t="s">
        <v>31</v>
      </c>
      <c r="B5" s="28"/>
      <c r="C5" s="28"/>
      <c r="D5" s="28"/>
      <c r="E5" s="28"/>
      <c r="F5" s="28"/>
      <c r="G5" s="28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  <c r="CL5" s="76"/>
      <c r="CM5" s="76"/>
      <c r="CN5" s="76"/>
      <c r="CO5" s="76"/>
      <c r="CP5" s="76"/>
      <c r="CQ5" s="76"/>
      <c r="CR5" s="76"/>
      <c r="CS5" s="76"/>
      <c r="CT5" s="76"/>
      <c r="CU5" s="76"/>
      <c r="CV5" s="76"/>
      <c r="CW5" s="76"/>
      <c r="CX5" s="76"/>
      <c r="CY5" s="76"/>
      <c r="CZ5" s="76"/>
      <c r="DA5" s="76"/>
      <c r="DB5" s="76"/>
      <c r="DC5" s="76"/>
      <c r="DD5" s="76"/>
      <c r="DE5" s="76"/>
      <c r="DF5" s="76"/>
      <c r="DG5" s="76"/>
      <c r="DH5" s="76"/>
      <c r="DI5" s="76"/>
      <c r="DJ5" s="76"/>
      <c r="DK5" s="76"/>
      <c r="DL5" s="76"/>
      <c r="DM5" s="76"/>
      <c r="DN5" s="76"/>
      <c r="DO5" s="76"/>
      <c r="DP5" s="76"/>
      <c r="DQ5" s="76"/>
      <c r="DR5" s="76"/>
      <c r="DS5" s="76"/>
      <c r="DT5" s="76"/>
      <c r="DU5" s="76"/>
      <c r="DV5" s="76"/>
      <c r="DW5" s="76"/>
      <c r="DX5" s="76"/>
      <c r="DY5" s="76"/>
      <c r="DZ5" s="76"/>
      <c r="EA5" s="76"/>
      <c r="EB5" s="76"/>
      <c r="EC5" s="76"/>
      <c r="ED5" s="76"/>
      <c r="EE5" s="76"/>
      <c r="EF5" s="76"/>
      <c r="EG5" s="76"/>
      <c r="EH5" s="76"/>
      <c r="EI5" s="76"/>
      <c r="EJ5" s="76"/>
      <c r="EK5" s="76"/>
      <c r="EL5" s="76"/>
      <c r="EM5" s="76"/>
      <c r="EN5" s="76"/>
      <c r="EO5" s="76"/>
      <c r="EP5" s="76"/>
      <c r="EQ5" s="76"/>
      <c r="ER5" s="76"/>
      <c r="ES5" s="76"/>
      <c r="ET5" s="76"/>
      <c r="EU5" s="76"/>
      <c r="EV5" s="76"/>
      <c r="EW5" s="76"/>
      <c r="EX5" s="76"/>
      <c r="EY5" s="76"/>
      <c r="EZ5" s="76"/>
      <c r="FA5" s="76"/>
      <c r="FB5" s="76"/>
      <c r="FC5" s="76"/>
      <c r="FD5" s="76"/>
      <c r="FE5" s="76"/>
      <c r="FF5" s="76"/>
      <c r="FG5" s="76"/>
      <c r="FH5" s="76"/>
      <c r="FI5" s="76"/>
      <c r="FJ5" s="76"/>
      <c r="FK5" s="76"/>
      <c r="FL5" s="76"/>
      <c r="FM5" s="76"/>
      <c r="FN5" s="76"/>
      <c r="FO5" s="76"/>
      <c r="FP5" s="76"/>
      <c r="FQ5" s="76"/>
      <c r="FR5" s="76"/>
      <c r="FS5" s="76"/>
      <c r="FT5" s="76"/>
      <c r="FU5" s="76"/>
      <c r="FV5" s="76"/>
      <c r="FW5" s="76"/>
      <c r="FX5" s="76"/>
      <c r="FY5" s="76"/>
      <c r="FZ5" s="76"/>
      <c r="GA5" s="76"/>
      <c r="GB5" s="76"/>
      <c r="GC5" s="76"/>
      <c r="GD5" s="76"/>
      <c r="GE5" s="76"/>
      <c r="GF5" s="76"/>
      <c r="GG5" s="76"/>
      <c r="GH5" s="76"/>
      <c r="GI5" s="76"/>
      <c r="GJ5" s="76"/>
      <c r="GK5" s="76"/>
      <c r="GL5" s="76"/>
      <c r="GM5" s="76"/>
      <c r="GN5" s="76"/>
      <c r="GO5" s="76"/>
      <c r="GP5" s="76"/>
      <c r="GQ5" s="76"/>
      <c r="GR5" s="76"/>
      <c r="GS5" s="76"/>
      <c r="GT5" s="76"/>
      <c r="GU5" s="76"/>
      <c r="GV5" s="76"/>
      <c r="GW5" s="76"/>
      <c r="GX5" s="76"/>
      <c r="GY5" s="76"/>
      <c r="GZ5" s="76"/>
      <c r="HA5" s="76"/>
      <c r="HB5" s="76"/>
      <c r="HC5" s="76"/>
    </row>
    <row r="6" s="33" customFormat="true" ht="15.75" hidden="false" customHeight="true" outlineLevel="0" collapsed="false">
      <c r="A6" s="28" t="s">
        <v>32</v>
      </c>
      <c r="B6" s="28"/>
      <c r="C6" s="28"/>
      <c r="D6" s="28"/>
      <c r="E6" s="28"/>
      <c r="F6" s="28"/>
      <c r="G6" s="28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6"/>
      <c r="BV6" s="76"/>
      <c r="BW6" s="76"/>
      <c r="BX6" s="76"/>
      <c r="BY6" s="76"/>
      <c r="BZ6" s="76"/>
      <c r="CA6" s="76"/>
      <c r="CB6" s="76"/>
      <c r="CC6" s="76"/>
      <c r="CD6" s="76"/>
      <c r="CE6" s="76"/>
      <c r="CF6" s="76"/>
      <c r="CG6" s="76"/>
      <c r="CH6" s="76"/>
      <c r="CI6" s="76"/>
      <c r="CJ6" s="76"/>
      <c r="CK6" s="76"/>
      <c r="CL6" s="76"/>
      <c r="CM6" s="76"/>
      <c r="CN6" s="76"/>
      <c r="CO6" s="76"/>
      <c r="CP6" s="76"/>
      <c r="CQ6" s="76"/>
      <c r="CR6" s="76"/>
      <c r="CS6" s="76"/>
      <c r="CT6" s="76"/>
      <c r="CU6" s="76"/>
      <c r="CV6" s="76"/>
      <c r="CW6" s="76"/>
      <c r="CX6" s="76"/>
      <c r="CY6" s="76"/>
      <c r="CZ6" s="76"/>
      <c r="DA6" s="76"/>
      <c r="DB6" s="76"/>
      <c r="DC6" s="76"/>
      <c r="DD6" s="76"/>
      <c r="DE6" s="76"/>
      <c r="DF6" s="76"/>
      <c r="DG6" s="76"/>
      <c r="DH6" s="76"/>
      <c r="DI6" s="76"/>
      <c r="DJ6" s="76"/>
      <c r="DK6" s="76"/>
      <c r="DL6" s="76"/>
      <c r="DM6" s="76"/>
      <c r="DN6" s="76"/>
      <c r="DO6" s="76"/>
      <c r="DP6" s="76"/>
      <c r="DQ6" s="76"/>
      <c r="DR6" s="76"/>
      <c r="DS6" s="76"/>
      <c r="DT6" s="76"/>
      <c r="DU6" s="76"/>
      <c r="DV6" s="76"/>
      <c r="DW6" s="76"/>
      <c r="DX6" s="76"/>
      <c r="DY6" s="76"/>
      <c r="DZ6" s="76"/>
      <c r="EA6" s="76"/>
      <c r="EB6" s="76"/>
      <c r="EC6" s="76"/>
      <c r="ED6" s="76"/>
      <c r="EE6" s="76"/>
      <c r="EF6" s="76"/>
      <c r="EG6" s="76"/>
      <c r="EH6" s="76"/>
      <c r="EI6" s="76"/>
      <c r="EJ6" s="76"/>
      <c r="EK6" s="76"/>
      <c r="EL6" s="76"/>
      <c r="EM6" s="76"/>
      <c r="EN6" s="76"/>
      <c r="EO6" s="76"/>
      <c r="EP6" s="76"/>
      <c r="EQ6" s="76"/>
      <c r="ER6" s="76"/>
      <c r="ES6" s="76"/>
      <c r="ET6" s="76"/>
      <c r="EU6" s="76"/>
      <c r="EV6" s="76"/>
      <c r="EW6" s="76"/>
      <c r="EX6" s="76"/>
      <c r="EY6" s="76"/>
      <c r="EZ6" s="76"/>
      <c r="FA6" s="76"/>
      <c r="FB6" s="76"/>
      <c r="FC6" s="76"/>
      <c r="FD6" s="76"/>
      <c r="FE6" s="76"/>
      <c r="FF6" s="76"/>
      <c r="FG6" s="76"/>
      <c r="FH6" s="76"/>
      <c r="FI6" s="76"/>
      <c r="FJ6" s="76"/>
      <c r="FK6" s="76"/>
      <c r="FL6" s="76"/>
      <c r="FM6" s="76"/>
      <c r="FN6" s="76"/>
      <c r="FO6" s="76"/>
      <c r="FP6" s="76"/>
      <c r="FQ6" s="76"/>
      <c r="FR6" s="76"/>
      <c r="FS6" s="76"/>
      <c r="FT6" s="76"/>
      <c r="FU6" s="76"/>
      <c r="FV6" s="76"/>
      <c r="FW6" s="76"/>
      <c r="FX6" s="76"/>
      <c r="FY6" s="76"/>
      <c r="FZ6" s="76"/>
      <c r="GA6" s="76"/>
      <c r="GB6" s="76"/>
      <c r="GC6" s="76"/>
      <c r="GD6" s="76"/>
      <c r="GE6" s="76"/>
      <c r="GF6" s="76"/>
      <c r="GG6" s="76"/>
      <c r="GH6" s="76"/>
      <c r="GI6" s="76"/>
      <c r="GJ6" s="76"/>
      <c r="GK6" s="76"/>
      <c r="GL6" s="76"/>
      <c r="GM6" s="76"/>
      <c r="GN6" s="76"/>
      <c r="GO6" s="76"/>
      <c r="GP6" s="76"/>
      <c r="GQ6" s="76"/>
      <c r="GR6" s="76"/>
      <c r="GS6" s="76"/>
      <c r="GT6" s="76"/>
      <c r="GU6" s="76"/>
      <c r="GV6" s="76"/>
      <c r="GW6" s="76"/>
      <c r="GX6" s="76"/>
      <c r="GY6" s="76"/>
      <c r="GZ6" s="76"/>
      <c r="HA6" s="76"/>
      <c r="HB6" s="76"/>
      <c r="HC6" s="76"/>
    </row>
    <row r="7" s="33" customFormat="true" ht="33" hidden="false" customHeight="true" outlineLevel="0" collapsed="false">
      <c r="A7" s="31" t="s">
        <v>33</v>
      </c>
      <c r="B7" s="32"/>
      <c r="D7" s="34" t="str">
        <f>VLOOKUP(AZ2,'[1]Tuyến XB6A'!$A$2:$B$60,2,0)</f>
        <v xml:space="preserve">Đắp đất lề đường lớp 4, độ chặt K&gt;=0,95 đoạn từ Km0+000,00 - Km0+126,46</v>
      </c>
      <c r="E7" s="34"/>
      <c r="F7" s="34"/>
      <c r="G7" s="34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6"/>
      <c r="BF7" s="76"/>
      <c r="BG7" s="76"/>
      <c r="BH7" s="76"/>
      <c r="BI7" s="76"/>
      <c r="BJ7" s="76"/>
      <c r="BK7" s="76"/>
      <c r="BL7" s="76"/>
      <c r="BM7" s="76"/>
      <c r="BN7" s="76"/>
      <c r="BO7" s="76"/>
      <c r="BP7" s="76"/>
      <c r="BQ7" s="76"/>
      <c r="BR7" s="76"/>
      <c r="BS7" s="76"/>
      <c r="BT7" s="76"/>
      <c r="BU7" s="76"/>
      <c r="BV7" s="76"/>
      <c r="BW7" s="76"/>
      <c r="BX7" s="76"/>
      <c r="BY7" s="76"/>
      <c r="BZ7" s="76"/>
      <c r="CA7" s="76"/>
      <c r="CB7" s="76"/>
      <c r="CC7" s="76"/>
      <c r="CD7" s="76"/>
      <c r="CE7" s="76"/>
      <c r="CF7" s="76"/>
      <c r="CG7" s="76"/>
      <c r="CH7" s="76"/>
      <c r="CI7" s="76"/>
      <c r="CJ7" s="76"/>
      <c r="CK7" s="76"/>
      <c r="CL7" s="76"/>
      <c r="CM7" s="76"/>
      <c r="CN7" s="76"/>
      <c r="CO7" s="76"/>
      <c r="CP7" s="76"/>
      <c r="CQ7" s="76"/>
      <c r="CR7" s="76"/>
      <c r="CS7" s="76"/>
      <c r="CT7" s="76"/>
      <c r="CU7" s="76"/>
      <c r="CV7" s="76"/>
      <c r="CW7" s="76"/>
      <c r="CX7" s="76"/>
      <c r="CY7" s="76"/>
      <c r="CZ7" s="76"/>
      <c r="DA7" s="76"/>
      <c r="DB7" s="76"/>
      <c r="DC7" s="76"/>
      <c r="DD7" s="76"/>
      <c r="DE7" s="76"/>
      <c r="DF7" s="76"/>
      <c r="DG7" s="76"/>
      <c r="DH7" s="76"/>
      <c r="DI7" s="76"/>
      <c r="DJ7" s="76"/>
      <c r="DK7" s="76"/>
      <c r="DL7" s="76"/>
      <c r="DM7" s="76"/>
      <c r="DN7" s="76"/>
      <c r="DO7" s="76"/>
      <c r="DP7" s="76"/>
      <c r="DQ7" s="76"/>
      <c r="DR7" s="76"/>
      <c r="DS7" s="76"/>
      <c r="DT7" s="76"/>
      <c r="DU7" s="76"/>
      <c r="DV7" s="76"/>
      <c r="DW7" s="76"/>
      <c r="DX7" s="76"/>
      <c r="DY7" s="76"/>
      <c r="DZ7" s="76"/>
      <c r="EA7" s="76"/>
      <c r="EB7" s="76"/>
      <c r="EC7" s="76"/>
      <c r="ED7" s="76"/>
      <c r="EE7" s="76"/>
      <c r="EF7" s="76"/>
      <c r="EG7" s="76"/>
      <c r="EH7" s="76"/>
      <c r="EI7" s="76"/>
      <c r="EJ7" s="76"/>
      <c r="EK7" s="76"/>
      <c r="EL7" s="76"/>
      <c r="EM7" s="76"/>
      <c r="EN7" s="76"/>
      <c r="EO7" s="76"/>
      <c r="EP7" s="76"/>
      <c r="EQ7" s="76"/>
      <c r="ER7" s="76"/>
      <c r="ES7" s="76"/>
      <c r="ET7" s="76"/>
      <c r="EU7" s="76"/>
      <c r="EV7" s="76"/>
      <c r="EW7" s="76"/>
      <c r="EX7" s="76"/>
      <c r="EY7" s="76"/>
      <c r="EZ7" s="76"/>
      <c r="FA7" s="76"/>
      <c r="FB7" s="76"/>
      <c r="FC7" s="76"/>
      <c r="FD7" s="76"/>
      <c r="FE7" s="76"/>
      <c r="FF7" s="76"/>
      <c r="FG7" s="76"/>
      <c r="FH7" s="76"/>
      <c r="FI7" s="76"/>
      <c r="FJ7" s="76"/>
      <c r="FK7" s="76"/>
      <c r="FL7" s="76"/>
      <c r="FM7" s="76"/>
      <c r="FN7" s="76"/>
      <c r="FO7" s="76"/>
      <c r="FP7" s="76"/>
      <c r="FQ7" s="76"/>
      <c r="FR7" s="76"/>
      <c r="FS7" s="76"/>
      <c r="FT7" s="76"/>
      <c r="FU7" s="76"/>
      <c r="FV7" s="76"/>
      <c r="FW7" s="76"/>
      <c r="FX7" s="76"/>
      <c r="FY7" s="76"/>
      <c r="FZ7" s="76"/>
      <c r="GA7" s="76"/>
      <c r="GB7" s="76"/>
      <c r="GC7" s="76"/>
      <c r="GD7" s="76"/>
      <c r="GE7" s="76"/>
      <c r="GF7" s="76"/>
      <c r="GG7" s="76"/>
      <c r="GH7" s="76"/>
      <c r="GI7" s="76"/>
      <c r="GJ7" s="76"/>
      <c r="GK7" s="76"/>
      <c r="GL7" s="76"/>
      <c r="GM7" s="76"/>
      <c r="GN7" s="76"/>
      <c r="GO7" s="76"/>
      <c r="GP7" s="76"/>
      <c r="GQ7" s="76"/>
      <c r="GR7" s="76"/>
      <c r="GS7" s="76"/>
      <c r="GT7" s="76"/>
      <c r="GU7" s="76"/>
      <c r="GV7" s="76"/>
      <c r="GW7" s="76"/>
      <c r="GX7" s="76"/>
      <c r="GY7" s="76"/>
      <c r="GZ7" s="76"/>
      <c r="HA7" s="76"/>
      <c r="HB7" s="76"/>
      <c r="HC7" s="76"/>
    </row>
    <row r="8" s="65" customFormat="true" ht="13.5" hidden="false" customHeight="true" outlineLevel="0" collapsed="false">
      <c r="A8" s="77"/>
      <c r="B8" s="77"/>
      <c r="C8" s="77"/>
      <c r="D8" s="77"/>
      <c r="E8" s="77"/>
      <c r="F8" s="77"/>
      <c r="G8" s="77"/>
    </row>
    <row r="9" s="41" customFormat="true" ht="15" hidden="false" customHeight="true" outlineLevel="0" collapsed="false">
      <c r="A9" s="36" t="s">
        <v>0</v>
      </c>
      <c r="B9" s="36" t="s">
        <v>37</v>
      </c>
      <c r="C9" s="36" t="s">
        <v>38</v>
      </c>
      <c r="D9" s="37" t="s">
        <v>52</v>
      </c>
      <c r="E9" s="38"/>
      <c r="F9" s="38"/>
      <c r="G9" s="37" t="s">
        <v>43</v>
      </c>
      <c r="H9" s="53"/>
      <c r="I9" s="69"/>
    </row>
    <row r="10" s="41" customFormat="true" ht="15" hidden="false" customHeight="true" outlineLevel="0" collapsed="false">
      <c r="A10" s="36"/>
      <c r="B10" s="36"/>
      <c r="C10" s="36"/>
      <c r="D10" s="36"/>
      <c r="E10" s="38" t="s">
        <v>53</v>
      </c>
      <c r="F10" s="38" t="s">
        <v>54</v>
      </c>
      <c r="G10" s="37"/>
      <c r="I10" s="69"/>
    </row>
    <row r="11" s="41" customFormat="true" ht="15" hidden="false" customHeight="true" outlineLevel="0" collapsed="false">
      <c r="A11" s="13" t="n">
        <v>1</v>
      </c>
      <c r="B11" s="14" t="str">
        <f aca="false">'1. KTHH L4'!B20</f>
        <v>D3</v>
      </c>
      <c r="C11" s="15" t="n">
        <f aca="false">'1. KTHH L4'!C20</f>
        <v>0</v>
      </c>
      <c r="D11" s="13" t="n">
        <f aca="false">'1. KTHH L4'!Q20</f>
        <v>19.63</v>
      </c>
      <c r="E11" s="42" t="n">
        <f aca="false">Chạy!E2+Chạy!E6</f>
        <v>3.12</v>
      </c>
      <c r="F11" s="43" t="n">
        <f aca="false">(E11+E12)*D11/2</f>
        <v>61.2456</v>
      </c>
      <c r="G11" s="44"/>
      <c r="H11" s="53"/>
      <c r="I11" s="69"/>
    </row>
    <row r="12" s="41" customFormat="true" ht="15" hidden="false" customHeight="true" outlineLevel="0" collapsed="false">
      <c r="A12" s="13" t="n">
        <v>2</v>
      </c>
      <c r="B12" s="14" t="str">
        <f aca="false">'1. KTHH L4'!B21</f>
        <v>1</v>
      </c>
      <c r="C12" s="15" t="n">
        <f aca="false">'1. KTHH L4'!C21</f>
        <v>19.63</v>
      </c>
      <c r="D12" s="13" t="n">
        <f aca="false">'1. KTHH L4'!Q21</f>
        <v>17.17</v>
      </c>
      <c r="E12" s="42" t="n">
        <f aca="false">Chạy!E10+Chạy!E14</f>
        <v>3.12</v>
      </c>
      <c r="F12" s="43" t="n">
        <f aca="false">(E12+E13)*D12/2</f>
        <v>53.5704</v>
      </c>
      <c r="G12" s="44"/>
      <c r="H12" s="53"/>
      <c r="I12" s="69"/>
    </row>
    <row r="13" s="41" customFormat="true" ht="15" hidden="false" customHeight="true" outlineLevel="0" collapsed="false">
      <c r="A13" s="13" t="n">
        <v>3</v>
      </c>
      <c r="B13" s="14" t="str">
        <f aca="false">'1. KTHH L4'!B22</f>
        <v>2</v>
      </c>
      <c r="C13" s="15" t="n">
        <f aca="false">'1. KTHH L4'!C22</f>
        <v>36.8</v>
      </c>
      <c r="D13" s="13" t="n">
        <f aca="false">'1. KTHH L4'!Q22</f>
        <v>17.18</v>
      </c>
      <c r="E13" s="42" t="n">
        <f aca="false">Chạy!E18+Chạy!E22</f>
        <v>3.12</v>
      </c>
      <c r="F13" s="43" t="n">
        <f aca="false">(E13+E14)*D13/2</f>
        <v>53.6016</v>
      </c>
      <c r="G13" s="44"/>
      <c r="H13" s="53"/>
      <c r="I13" s="69"/>
    </row>
    <row r="14" s="41" customFormat="true" ht="15" hidden="false" customHeight="true" outlineLevel="0" collapsed="false">
      <c r="A14" s="13" t="n">
        <v>4</v>
      </c>
      <c r="B14" s="14" t="str">
        <f aca="false">'1. KTHH L4'!B23</f>
        <v>3</v>
      </c>
      <c r="C14" s="15" t="n">
        <f aca="false">'1. KTHH L4'!C23</f>
        <v>53.98</v>
      </c>
      <c r="D14" s="13" t="n">
        <f aca="false">'1. KTHH L4'!Q23</f>
        <v>12.97</v>
      </c>
      <c r="E14" s="42" t="n">
        <f aca="false">Chạy!E26+Chạy!E30</f>
        <v>3.12</v>
      </c>
      <c r="F14" s="43" t="n">
        <f aca="false">(E14+E15)*D14/2</f>
        <v>40.4664</v>
      </c>
      <c r="G14" s="44"/>
      <c r="H14" s="53"/>
      <c r="I14" s="69"/>
    </row>
    <row r="15" s="41" customFormat="true" ht="15" hidden="false" customHeight="true" outlineLevel="0" collapsed="false">
      <c r="A15" s="13" t="n">
        <v>5</v>
      </c>
      <c r="B15" s="14" t="str">
        <f aca="false">'1. KTHH L4'!B24</f>
        <v>D2</v>
      </c>
      <c r="C15" s="15" t="n">
        <f aca="false">'1. KTHH L4'!C24</f>
        <v>66.95</v>
      </c>
      <c r="D15" s="13" t="n">
        <f aca="false">'1. KTHH L4'!Q24</f>
        <v>10.68</v>
      </c>
      <c r="E15" s="42" t="n">
        <f aca="false">Chạy!E34+Chạy!E38</f>
        <v>3.12</v>
      </c>
      <c r="F15" s="43" t="n">
        <f aca="false">(E15+E16)*D15/2</f>
        <v>33.3216</v>
      </c>
      <c r="G15" s="44"/>
      <c r="H15" s="53"/>
      <c r="I15" s="69"/>
    </row>
    <row r="16" s="41" customFormat="true" ht="15" hidden="false" customHeight="true" outlineLevel="0" collapsed="false">
      <c r="A16" s="13" t="n">
        <v>6</v>
      </c>
      <c r="B16" s="14" t="str">
        <f aca="false">'1. KTHH L4'!B25</f>
        <v>4</v>
      </c>
      <c r="C16" s="15" t="n">
        <f aca="false">'1. KTHH L4'!C25</f>
        <v>77.63</v>
      </c>
      <c r="D16" s="13" t="n">
        <f aca="false">'1. KTHH L4'!Q25</f>
        <v>17.17</v>
      </c>
      <c r="E16" s="42" t="n">
        <f aca="false">Chạy!E42+Chạy!E46</f>
        <v>3.12</v>
      </c>
      <c r="F16" s="43" t="n">
        <f aca="false">(E16+E17)*D16/2</f>
        <v>53.5704</v>
      </c>
      <c r="G16" s="44"/>
      <c r="H16" s="53"/>
      <c r="I16" s="69"/>
    </row>
    <row r="17" s="41" customFormat="true" ht="15" hidden="false" customHeight="true" outlineLevel="0" collapsed="false">
      <c r="A17" s="13" t="n">
        <v>7</v>
      </c>
      <c r="B17" s="14" t="str">
        <f aca="false">'1. KTHH L4'!B26</f>
        <v>5</v>
      </c>
      <c r="C17" s="15" t="n">
        <f aca="false">'1. KTHH L4'!C26</f>
        <v>94.8</v>
      </c>
      <c r="D17" s="13" t="n">
        <f aca="false">'1. KTHH L4'!Q26</f>
        <v>17.17</v>
      </c>
      <c r="E17" s="42" t="n">
        <f aca="false">Chạy!E50+Chạy!E54</f>
        <v>3.12</v>
      </c>
      <c r="F17" s="43" t="n">
        <f aca="false">(E17+E18)*D17/2</f>
        <v>53.5704</v>
      </c>
      <c r="G17" s="44"/>
      <c r="H17" s="53"/>
      <c r="I17" s="69"/>
    </row>
    <row r="18" s="41" customFormat="true" ht="15" hidden="false" customHeight="true" outlineLevel="0" collapsed="false">
      <c r="A18" s="13" t="n">
        <v>8</v>
      </c>
      <c r="B18" s="14" t="str">
        <f aca="false">'1. KTHH L4'!B27</f>
        <v>6</v>
      </c>
      <c r="C18" s="15" t="n">
        <f aca="false">'1. KTHH L4'!C27</f>
        <v>111.97</v>
      </c>
      <c r="D18" s="13" t="n">
        <f aca="false">'1. KTHH L4'!Q27</f>
        <v>14.49</v>
      </c>
      <c r="E18" s="42" t="n">
        <f aca="false">Chạy!E58+Chạy!E62</f>
        <v>3.12</v>
      </c>
      <c r="F18" s="43" t="n">
        <f aca="false">(E18+E19)*D18/2</f>
        <v>45.2088</v>
      </c>
      <c r="G18" s="44"/>
      <c r="H18" s="53"/>
      <c r="I18" s="69"/>
    </row>
    <row r="19" s="41" customFormat="true" ht="15" hidden="false" customHeight="true" outlineLevel="0" collapsed="false">
      <c r="A19" s="13" t="n">
        <v>9</v>
      </c>
      <c r="B19" s="14" t="str">
        <f aca="false">'1. KTHH L4'!B28</f>
        <v>D1</v>
      </c>
      <c r="C19" s="15" t="n">
        <f aca="false">'1. KTHH L4'!C28</f>
        <v>126.46</v>
      </c>
      <c r="D19" s="13"/>
      <c r="E19" s="42" t="n">
        <f aca="false">Chạy!E66+Chạy!E70</f>
        <v>3.12</v>
      </c>
      <c r="F19" s="43"/>
      <c r="G19" s="44"/>
      <c r="H19" s="53"/>
      <c r="I19" s="69"/>
    </row>
    <row r="20" customFormat="false" ht="15" hidden="false" customHeight="true" outlineLevel="0" collapsed="false">
      <c r="A20" s="36" t="s">
        <v>55</v>
      </c>
      <c r="B20" s="36"/>
      <c r="C20" s="36"/>
      <c r="D20" s="36"/>
      <c r="E20" s="47"/>
      <c r="F20" s="48" t="n">
        <f aca="false">SUM(F11:F19)</f>
        <v>394.5552</v>
      </c>
      <c r="G20" s="49"/>
      <c r="I20" s="69"/>
      <c r="J20" s="41"/>
      <c r="K20" s="41"/>
      <c r="L20" s="41"/>
      <c r="M20" s="41"/>
      <c r="N20" s="41"/>
      <c r="O20" s="41"/>
      <c r="P20" s="41"/>
      <c r="Q20" s="53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4"/>
      <c r="BO20" s="54"/>
      <c r="BP20" s="54"/>
      <c r="BQ20" s="54"/>
      <c r="BR20" s="54"/>
      <c r="BS20" s="54"/>
      <c r="BT20" s="54"/>
      <c r="BU20" s="54"/>
      <c r="BV20" s="54"/>
      <c r="BW20" s="54"/>
      <c r="BX20" s="54"/>
      <c r="BY20" s="54"/>
      <c r="BZ20" s="54"/>
      <c r="CA20" s="54"/>
      <c r="CB20" s="54"/>
      <c r="CC20" s="54"/>
      <c r="CD20" s="54"/>
      <c r="CE20" s="54"/>
      <c r="CF20" s="54"/>
      <c r="CG20" s="54"/>
      <c r="CH20" s="54"/>
      <c r="CI20" s="54"/>
      <c r="CJ20" s="54"/>
      <c r="CK20" s="54"/>
      <c r="CL20" s="54"/>
      <c r="CM20" s="54"/>
      <c r="CN20" s="54"/>
      <c r="CO20" s="54"/>
      <c r="CP20" s="54"/>
      <c r="CQ20" s="54"/>
      <c r="CR20" s="54"/>
      <c r="CS20" s="54"/>
      <c r="CT20" s="54"/>
      <c r="CU20" s="54"/>
      <c r="CV20" s="54"/>
      <c r="CW20" s="54"/>
      <c r="CX20" s="54"/>
      <c r="CY20" s="54"/>
      <c r="CZ20" s="54"/>
      <c r="DA20" s="54"/>
      <c r="DB20" s="54"/>
      <c r="DC20" s="54"/>
      <c r="DD20" s="54"/>
      <c r="DE20" s="54"/>
      <c r="DF20" s="54"/>
      <c r="DG20" s="54"/>
      <c r="DH20" s="54"/>
      <c r="DI20" s="54"/>
      <c r="DJ20" s="54"/>
      <c r="DK20" s="54"/>
      <c r="DL20" s="54"/>
      <c r="DM20" s="54"/>
      <c r="DN20" s="54"/>
      <c r="DO20" s="54"/>
      <c r="DP20" s="54"/>
      <c r="DQ20" s="54"/>
      <c r="DR20" s="54"/>
      <c r="DS20" s="54"/>
      <c r="DT20" s="54"/>
      <c r="DU20" s="54"/>
      <c r="DV20" s="54"/>
      <c r="DW20" s="54"/>
      <c r="DX20" s="54"/>
      <c r="DY20" s="54"/>
      <c r="DZ20" s="54"/>
      <c r="EA20" s="54"/>
      <c r="EB20" s="54"/>
      <c r="EC20" s="54"/>
      <c r="ED20" s="54"/>
      <c r="EE20" s="54"/>
      <c r="EF20" s="54"/>
      <c r="EG20" s="54"/>
      <c r="EH20" s="54"/>
      <c r="EI20" s="54"/>
      <c r="EJ20" s="54"/>
      <c r="EK20" s="54"/>
      <c r="EL20" s="54"/>
      <c r="EM20" s="54"/>
      <c r="EN20" s="54"/>
      <c r="EO20" s="54"/>
      <c r="EP20" s="54"/>
      <c r="EQ20" s="54"/>
      <c r="ER20" s="54"/>
      <c r="ES20" s="54"/>
      <c r="ET20" s="54"/>
      <c r="EU20" s="54"/>
      <c r="EV20" s="54"/>
      <c r="EW20" s="54"/>
      <c r="EX20" s="54"/>
      <c r="EY20" s="54"/>
      <c r="EZ20" s="54"/>
      <c r="FA20" s="54"/>
      <c r="FB20" s="54"/>
      <c r="FC20" s="54"/>
      <c r="FD20" s="54"/>
      <c r="FE20" s="54"/>
      <c r="FF20" s="54"/>
      <c r="FG20" s="54"/>
      <c r="FH20" s="54"/>
      <c r="FI20" s="54"/>
      <c r="FJ20" s="54"/>
      <c r="FK20" s="54"/>
      <c r="FL20" s="54"/>
      <c r="FM20" s="54"/>
      <c r="FN20" s="54"/>
      <c r="FO20" s="54"/>
      <c r="FP20" s="54"/>
      <c r="FQ20" s="54"/>
      <c r="FR20" s="54"/>
      <c r="FS20" s="54"/>
      <c r="FT20" s="54"/>
      <c r="FU20" s="54"/>
      <c r="FV20" s="54"/>
      <c r="FW20" s="54"/>
      <c r="FX20" s="54"/>
      <c r="FY20" s="54"/>
      <c r="FZ20" s="54"/>
      <c r="GA20" s="54"/>
      <c r="GB20" s="54"/>
      <c r="GC20" s="54"/>
      <c r="GD20" s="54"/>
      <c r="GE20" s="54"/>
      <c r="GF20" s="54"/>
      <c r="GG20" s="54"/>
      <c r="GH20" s="54"/>
      <c r="GI20" s="54"/>
      <c r="GJ20" s="54"/>
      <c r="GK20" s="54"/>
      <c r="GL20" s="54"/>
      <c r="GM20" s="54"/>
      <c r="GN20" s="54"/>
      <c r="GO20" s="54"/>
      <c r="GP20" s="54"/>
      <c r="GQ20" s="54"/>
      <c r="GR20" s="54"/>
      <c r="GS20" s="54"/>
      <c r="GT20" s="54"/>
      <c r="GU20" s="54"/>
      <c r="GV20" s="54"/>
      <c r="GW20" s="54"/>
      <c r="GX20" s="54"/>
      <c r="GY20" s="54"/>
    </row>
    <row r="21" customFormat="false" ht="14.25" hidden="false" customHeight="true" outlineLevel="0" collapsed="false">
      <c r="A21" s="20"/>
      <c r="B21" s="20"/>
      <c r="C21" s="20"/>
      <c r="D21" s="20"/>
      <c r="F21" s="55"/>
      <c r="G21" s="55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4"/>
      <c r="BQ21" s="54"/>
      <c r="BR21" s="54"/>
      <c r="BS21" s="54"/>
      <c r="BT21" s="54"/>
      <c r="BU21" s="54"/>
      <c r="BV21" s="54"/>
      <c r="BW21" s="54"/>
      <c r="BX21" s="54"/>
      <c r="BY21" s="54"/>
      <c r="BZ21" s="54"/>
      <c r="CA21" s="54"/>
      <c r="CB21" s="54"/>
      <c r="CC21" s="54"/>
      <c r="CD21" s="54"/>
      <c r="CE21" s="54"/>
      <c r="CF21" s="54"/>
      <c r="CG21" s="54"/>
      <c r="CH21" s="54"/>
      <c r="CI21" s="54"/>
      <c r="CJ21" s="54"/>
      <c r="CK21" s="54"/>
      <c r="CL21" s="54"/>
      <c r="CM21" s="54"/>
      <c r="CN21" s="54"/>
      <c r="CO21" s="54"/>
      <c r="CP21" s="54"/>
      <c r="CQ21" s="54"/>
      <c r="CR21" s="54"/>
      <c r="CS21" s="54"/>
      <c r="CT21" s="54"/>
      <c r="CU21" s="54"/>
      <c r="CV21" s="54"/>
      <c r="CW21" s="54"/>
      <c r="CX21" s="54"/>
      <c r="CY21" s="54"/>
      <c r="CZ21" s="54"/>
      <c r="DA21" s="54"/>
      <c r="DB21" s="54"/>
      <c r="DC21" s="54"/>
      <c r="DD21" s="54"/>
      <c r="DE21" s="54"/>
      <c r="DF21" s="54"/>
      <c r="DG21" s="54"/>
      <c r="DH21" s="54"/>
      <c r="DI21" s="54"/>
      <c r="DJ21" s="54"/>
      <c r="DK21" s="54"/>
      <c r="DL21" s="54"/>
      <c r="DM21" s="54"/>
      <c r="DN21" s="54"/>
      <c r="DO21" s="54"/>
      <c r="DP21" s="54"/>
      <c r="DQ21" s="54"/>
      <c r="DR21" s="54"/>
      <c r="DS21" s="54"/>
      <c r="DT21" s="54"/>
      <c r="DU21" s="54"/>
      <c r="DV21" s="54"/>
      <c r="DW21" s="54"/>
      <c r="DX21" s="54"/>
      <c r="DY21" s="54"/>
      <c r="DZ21" s="54"/>
      <c r="EA21" s="54"/>
      <c r="EB21" s="54"/>
      <c r="EC21" s="54"/>
      <c r="ED21" s="54"/>
      <c r="EE21" s="54"/>
      <c r="EF21" s="54"/>
      <c r="EG21" s="54"/>
      <c r="EH21" s="54"/>
      <c r="EI21" s="54"/>
      <c r="EJ21" s="54"/>
      <c r="EK21" s="54"/>
      <c r="EL21" s="54"/>
      <c r="EM21" s="54"/>
      <c r="EN21" s="54"/>
      <c r="EO21" s="54"/>
      <c r="EP21" s="54"/>
      <c r="EQ21" s="54"/>
      <c r="ER21" s="54"/>
      <c r="ES21" s="54"/>
      <c r="ET21" s="54"/>
      <c r="EU21" s="54"/>
      <c r="EV21" s="54"/>
      <c r="EW21" s="54"/>
      <c r="EX21" s="54"/>
      <c r="EY21" s="54"/>
      <c r="EZ21" s="54"/>
      <c r="FA21" s="54"/>
      <c r="FB21" s="54"/>
      <c r="FC21" s="54"/>
      <c r="FD21" s="54"/>
      <c r="FE21" s="54"/>
      <c r="FF21" s="54"/>
      <c r="FG21" s="54"/>
      <c r="FH21" s="54"/>
      <c r="FI21" s="54"/>
      <c r="FJ21" s="54"/>
      <c r="FK21" s="54"/>
      <c r="FL21" s="54"/>
      <c r="FM21" s="54"/>
      <c r="FN21" s="54"/>
      <c r="FO21" s="54"/>
      <c r="FP21" s="54"/>
      <c r="FQ21" s="54"/>
      <c r="FR21" s="54"/>
      <c r="FS21" s="54"/>
      <c r="FT21" s="54"/>
      <c r="FU21" s="54"/>
      <c r="FV21" s="54"/>
      <c r="FW21" s="54"/>
      <c r="FX21" s="54"/>
      <c r="FY21" s="54"/>
      <c r="FZ21" s="54"/>
      <c r="GA21" s="54"/>
      <c r="GB21" s="54"/>
      <c r="GC21" s="54"/>
      <c r="GD21" s="54"/>
      <c r="GE21" s="54"/>
      <c r="GF21" s="54"/>
      <c r="GG21" s="54"/>
      <c r="GH21" s="54"/>
      <c r="GI21" s="54"/>
      <c r="GJ21" s="54"/>
      <c r="GK21" s="54"/>
      <c r="GL21" s="54"/>
      <c r="GM21" s="54"/>
      <c r="GN21" s="54"/>
      <c r="GO21" s="54"/>
      <c r="GP21" s="54"/>
      <c r="GQ21" s="54"/>
      <c r="GR21" s="54"/>
      <c r="GS21" s="54"/>
      <c r="GT21" s="54"/>
      <c r="GU21" s="54"/>
      <c r="GV21" s="54"/>
      <c r="GW21" s="54"/>
      <c r="GX21" s="54"/>
      <c r="GY21" s="54"/>
    </row>
    <row r="22" customFormat="false" ht="15" hidden="false" customHeight="true" outlineLevel="0" collapsed="false">
      <c r="A22" s="19" t="s">
        <v>47</v>
      </c>
      <c r="B22" s="19"/>
      <c r="C22" s="19"/>
      <c r="D22" s="57" t="s">
        <v>56</v>
      </c>
      <c r="E22" s="19" t="s">
        <v>48</v>
      </c>
      <c r="F22" s="19"/>
      <c r="G22" s="19"/>
      <c r="Q22" s="58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54"/>
      <c r="BK22" s="54"/>
      <c r="BL22" s="54"/>
      <c r="BM22" s="54"/>
      <c r="BN22" s="54"/>
      <c r="BO22" s="54"/>
      <c r="BP22" s="54"/>
      <c r="BQ22" s="54"/>
      <c r="BR22" s="54"/>
      <c r="BS22" s="54"/>
      <c r="BT22" s="54"/>
      <c r="BU22" s="54"/>
      <c r="BV22" s="54"/>
      <c r="BW22" s="54"/>
      <c r="BX22" s="54"/>
      <c r="BY22" s="54"/>
      <c r="BZ22" s="54"/>
      <c r="CA22" s="54"/>
      <c r="CB22" s="54"/>
      <c r="CC22" s="54"/>
      <c r="CD22" s="54"/>
      <c r="CE22" s="54"/>
      <c r="CF22" s="54"/>
      <c r="CG22" s="54"/>
      <c r="CH22" s="54"/>
      <c r="CI22" s="54"/>
      <c r="CJ22" s="54"/>
      <c r="CK22" s="54"/>
      <c r="CL22" s="54"/>
      <c r="CM22" s="54"/>
      <c r="CN22" s="54"/>
      <c r="CO22" s="54"/>
      <c r="CP22" s="54"/>
      <c r="CQ22" s="54"/>
      <c r="CR22" s="54"/>
      <c r="CS22" s="54"/>
      <c r="CT22" s="54"/>
      <c r="CU22" s="54"/>
      <c r="CV22" s="54"/>
      <c r="CW22" s="54"/>
      <c r="CX22" s="54"/>
      <c r="CY22" s="54"/>
      <c r="CZ22" s="54"/>
      <c r="DA22" s="54"/>
      <c r="DB22" s="54"/>
      <c r="DC22" s="54"/>
      <c r="DD22" s="54"/>
      <c r="DE22" s="54"/>
      <c r="DF22" s="54"/>
      <c r="DG22" s="54"/>
      <c r="DH22" s="54"/>
      <c r="DI22" s="54"/>
      <c r="DJ22" s="54"/>
      <c r="DK22" s="54"/>
      <c r="DL22" s="54"/>
      <c r="DM22" s="54"/>
      <c r="DN22" s="54"/>
      <c r="DO22" s="54"/>
      <c r="DP22" s="54"/>
      <c r="DQ22" s="54"/>
      <c r="DR22" s="54"/>
      <c r="DS22" s="54"/>
      <c r="DT22" s="54"/>
      <c r="DU22" s="54"/>
      <c r="DV22" s="54"/>
      <c r="DW22" s="54"/>
      <c r="DX22" s="54"/>
      <c r="DY22" s="54"/>
      <c r="DZ22" s="54"/>
      <c r="EA22" s="54"/>
      <c r="EB22" s="54"/>
      <c r="EC22" s="54"/>
      <c r="ED22" s="54"/>
      <c r="EE22" s="54"/>
      <c r="EF22" s="54"/>
      <c r="EG22" s="54"/>
      <c r="EH22" s="54"/>
      <c r="EI22" s="54"/>
      <c r="EJ22" s="54"/>
      <c r="EK22" s="54"/>
      <c r="EL22" s="54"/>
      <c r="EM22" s="54"/>
      <c r="EN22" s="54"/>
      <c r="EO22" s="54"/>
      <c r="EP22" s="54"/>
      <c r="EQ22" s="54"/>
      <c r="ER22" s="54"/>
      <c r="ES22" s="54"/>
      <c r="ET22" s="54"/>
      <c r="EU22" s="54"/>
      <c r="EV22" s="54"/>
      <c r="EW22" s="54"/>
      <c r="EX22" s="54"/>
      <c r="EY22" s="54"/>
      <c r="EZ22" s="54"/>
      <c r="FA22" s="54"/>
      <c r="FB22" s="54"/>
      <c r="FC22" s="54"/>
      <c r="FD22" s="54"/>
      <c r="FE22" s="54"/>
      <c r="FF22" s="54"/>
      <c r="FG22" s="54"/>
      <c r="FH22" s="54"/>
      <c r="FI22" s="54"/>
      <c r="FJ22" s="54"/>
      <c r="FK22" s="54"/>
      <c r="FL22" s="54"/>
      <c r="FM22" s="54"/>
      <c r="FN22" s="54"/>
      <c r="FO22" s="54"/>
      <c r="FP22" s="54"/>
      <c r="FQ22" s="54"/>
      <c r="FR22" s="54"/>
      <c r="FS22" s="54"/>
      <c r="FT22" s="54"/>
      <c r="FU22" s="54"/>
      <c r="FV22" s="54"/>
      <c r="FW22" s="54"/>
      <c r="FX22" s="54"/>
      <c r="FY22" s="54"/>
      <c r="FZ22" s="54"/>
      <c r="GA22" s="54"/>
      <c r="GB22" s="54"/>
      <c r="GC22" s="54"/>
      <c r="GD22" s="54"/>
      <c r="GE22" s="54"/>
      <c r="GF22" s="54"/>
      <c r="GG22" s="54"/>
      <c r="GH22" s="54"/>
      <c r="GI22" s="54"/>
      <c r="GJ22" s="54"/>
      <c r="GK22" s="54"/>
      <c r="GL22" s="54"/>
      <c r="GM22" s="54"/>
      <c r="GN22" s="54"/>
      <c r="GO22" s="54"/>
      <c r="GP22" s="54"/>
      <c r="GQ22" s="54"/>
      <c r="GR22" s="54"/>
      <c r="GS22" s="54"/>
      <c r="GT22" s="54"/>
      <c r="GU22" s="54"/>
      <c r="GV22" s="54"/>
      <c r="GW22" s="54"/>
      <c r="GX22" s="54"/>
      <c r="GY22" s="54"/>
    </row>
    <row r="23" customFormat="false" ht="14.25" hidden="false" customHeight="true" outlineLevel="0" collapsed="false">
      <c r="A23" s="59"/>
      <c r="B23" s="59"/>
      <c r="C23" s="59"/>
      <c r="D23" s="60"/>
      <c r="E23" s="59"/>
      <c r="F23" s="59"/>
      <c r="G23" s="59"/>
      <c r="H23" s="54"/>
      <c r="I23" s="54"/>
      <c r="J23" s="54"/>
      <c r="K23" s="54"/>
      <c r="L23" s="54"/>
      <c r="M23" s="54"/>
      <c r="N23" s="54"/>
      <c r="O23" s="54"/>
      <c r="P23" s="54"/>
      <c r="Q23" s="54"/>
      <c r="GZ23" s="54"/>
    </row>
    <row r="24" customFormat="false" ht="15" hidden="false" customHeight="true" outlineLevel="0" collapsed="false">
      <c r="A24" s="59"/>
      <c r="B24" s="59"/>
      <c r="C24" s="61"/>
      <c r="D24" s="61"/>
      <c r="E24" s="59"/>
      <c r="F24" s="59"/>
      <c r="G24" s="61"/>
      <c r="H24" s="54"/>
      <c r="I24" s="54"/>
      <c r="J24" s="62"/>
      <c r="K24" s="54"/>
      <c r="L24" s="54"/>
      <c r="M24" s="54"/>
      <c r="N24" s="54"/>
      <c r="O24" s="54"/>
      <c r="P24" s="54"/>
      <c r="Q24" s="54"/>
      <c r="GZ24" s="54"/>
    </row>
    <row r="25" customFormat="false" ht="14.25" hidden="false" customHeight="true" outlineLevel="0" collapsed="false">
      <c r="A25" s="59"/>
      <c r="B25" s="59"/>
      <c r="C25" s="59"/>
      <c r="D25" s="60"/>
      <c r="E25" s="59"/>
      <c r="F25" s="59"/>
      <c r="G25" s="59"/>
      <c r="H25" s="54"/>
      <c r="I25" s="54"/>
      <c r="J25" s="54"/>
      <c r="K25" s="54"/>
      <c r="L25" s="54"/>
      <c r="M25" s="54"/>
      <c r="N25" s="54"/>
      <c r="O25" s="54"/>
      <c r="P25" s="54"/>
      <c r="Q25" s="54"/>
      <c r="GZ25" s="54"/>
    </row>
    <row r="26" customFormat="false" ht="14.25" hidden="false" customHeight="true" outlineLevel="0" collapsed="false">
      <c r="A26" s="59"/>
      <c r="B26" s="59"/>
      <c r="C26" s="59"/>
      <c r="D26" s="60"/>
      <c r="E26" s="59"/>
      <c r="F26" s="59"/>
      <c r="G26" s="59"/>
      <c r="H26" s="54"/>
      <c r="I26" s="54"/>
      <c r="J26" s="54"/>
      <c r="K26" s="54"/>
      <c r="L26" s="54"/>
      <c r="M26" s="54"/>
      <c r="N26" s="54"/>
      <c r="O26" s="54"/>
      <c r="P26" s="54"/>
      <c r="Q26" s="54"/>
      <c r="GZ26" s="54"/>
    </row>
    <row r="27" customFormat="false" ht="14.25" hidden="false" customHeight="true" outlineLevel="0" collapsed="false">
      <c r="A27" s="59"/>
      <c r="B27" s="59"/>
      <c r="C27" s="59"/>
      <c r="D27" s="60"/>
      <c r="E27" s="59"/>
      <c r="F27" s="59"/>
      <c r="G27" s="59"/>
      <c r="H27" s="54"/>
      <c r="I27" s="54"/>
      <c r="J27" s="54"/>
      <c r="K27" s="54"/>
      <c r="L27" s="54"/>
      <c r="M27" s="54"/>
      <c r="N27" s="54"/>
      <c r="O27" s="54"/>
      <c r="P27" s="54"/>
      <c r="Q27" s="54"/>
      <c r="GZ27" s="54"/>
    </row>
    <row r="28" customFormat="false" ht="14.25" hidden="false" customHeight="true" outlineLevel="0" collapsed="false">
      <c r="A28" s="19" t="s">
        <v>49</v>
      </c>
      <c r="B28" s="19"/>
      <c r="C28" s="19"/>
      <c r="D28" s="21"/>
      <c r="E28" s="19" t="str">
        <f aca="false">'1. KTHH L4'!K35</f>
        <v>Lê Minh Hải</v>
      </c>
      <c r="F28" s="19"/>
      <c r="G28" s="19"/>
      <c r="H28" s="54"/>
      <c r="I28" s="54"/>
      <c r="J28" s="54"/>
      <c r="K28" s="54"/>
      <c r="L28" s="54"/>
      <c r="M28" s="54"/>
      <c r="N28" s="54"/>
      <c r="O28" s="54"/>
      <c r="P28" s="54"/>
      <c r="Q28" s="54"/>
      <c r="GZ28" s="54"/>
    </row>
    <row r="29" customFormat="false" ht="12.75" hidden="false" customHeight="false" outlineLevel="0" collapsed="false">
      <c r="A29" s="63"/>
      <c r="B29" s="63"/>
      <c r="C29" s="63"/>
      <c r="D29" s="63"/>
      <c r="E29" s="63"/>
      <c r="F29" s="63"/>
      <c r="G29" s="63"/>
    </row>
    <row r="30" customFormat="false" ht="12.75" hidden="false" customHeight="false" outlineLevel="0" collapsed="false">
      <c r="A30" s="63"/>
      <c r="B30" s="63"/>
      <c r="C30" s="63"/>
      <c r="D30" s="63"/>
      <c r="E30" s="63"/>
      <c r="F30" s="63"/>
      <c r="G30" s="63"/>
    </row>
    <row r="31" customFormat="false" ht="12.75" hidden="false" customHeight="false" outlineLevel="0" collapsed="false">
      <c r="A31" s="63"/>
      <c r="B31" s="63"/>
      <c r="C31" s="63"/>
      <c r="D31" s="63"/>
      <c r="E31" s="63"/>
      <c r="F31" s="63"/>
      <c r="G31" s="63"/>
    </row>
    <row r="32" customFormat="false" ht="12.75" hidden="false" customHeight="false" outlineLevel="0" collapsed="false">
      <c r="A32" s="63"/>
      <c r="B32" s="63"/>
      <c r="C32" s="63"/>
      <c r="D32" s="63"/>
      <c r="E32" s="63"/>
      <c r="F32" s="63"/>
      <c r="G32" s="63"/>
    </row>
    <row r="33" customFormat="false" ht="12.75" hidden="false" customHeight="false" outlineLevel="0" collapsed="false">
      <c r="A33" s="63"/>
      <c r="B33" s="63"/>
      <c r="C33" s="63"/>
      <c r="D33" s="63"/>
      <c r="E33" s="63"/>
      <c r="F33" s="63"/>
      <c r="G33" s="63"/>
    </row>
    <row r="34" customFormat="false" ht="12.75" hidden="false" customHeight="false" outlineLevel="0" collapsed="false">
      <c r="A34" s="63"/>
      <c r="B34" s="63"/>
      <c r="C34" s="63"/>
      <c r="D34" s="63"/>
      <c r="E34" s="63"/>
      <c r="F34" s="63"/>
      <c r="G34" s="63"/>
    </row>
    <row r="35" customFormat="false" ht="12.75" hidden="false" customHeight="false" outlineLevel="0" collapsed="false">
      <c r="A35" s="63"/>
      <c r="B35" s="63"/>
      <c r="C35" s="63"/>
      <c r="D35" s="63"/>
      <c r="E35" s="63"/>
      <c r="F35" s="63"/>
      <c r="G35" s="63"/>
    </row>
    <row r="36" customFormat="false" ht="12.75" hidden="false" customHeight="false" outlineLevel="0" collapsed="false">
      <c r="A36" s="63"/>
      <c r="B36" s="63"/>
      <c r="C36" s="63"/>
      <c r="D36" s="63"/>
      <c r="E36" s="63"/>
      <c r="F36" s="63"/>
      <c r="G36" s="63"/>
    </row>
    <row r="37" customFormat="false" ht="12.75" hidden="false" customHeight="false" outlineLevel="0" collapsed="false">
      <c r="A37" s="63"/>
      <c r="B37" s="63"/>
      <c r="C37" s="63"/>
      <c r="D37" s="63"/>
      <c r="E37" s="63"/>
      <c r="F37" s="63"/>
      <c r="G37" s="63"/>
    </row>
    <row r="38" customFormat="false" ht="12.75" hidden="false" customHeight="false" outlineLevel="0" collapsed="false">
      <c r="A38" s="63"/>
      <c r="B38" s="63"/>
      <c r="C38" s="63"/>
      <c r="D38" s="63"/>
      <c r="E38" s="63"/>
      <c r="F38" s="63"/>
      <c r="G38" s="63"/>
    </row>
    <row r="39" customFormat="false" ht="12.75" hidden="false" customHeight="false" outlineLevel="0" collapsed="false">
      <c r="A39" s="63"/>
      <c r="B39" s="63"/>
      <c r="C39" s="63"/>
      <c r="D39" s="63"/>
      <c r="E39" s="63"/>
      <c r="F39" s="63"/>
      <c r="G39" s="63"/>
    </row>
    <row r="40" customFormat="false" ht="12.75" hidden="false" customHeight="false" outlineLevel="0" collapsed="false">
      <c r="A40" s="63"/>
      <c r="B40" s="63"/>
      <c r="C40" s="63"/>
      <c r="D40" s="63"/>
      <c r="E40" s="63"/>
      <c r="F40" s="63"/>
      <c r="G40" s="63"/>
    </row>
    <row r="41" customFormat="false" ht="12.75" hidden="false" customHeight="false" outlineLevel="0" collapsed="false">
      <c r="A41" s="63"/>
      <c r="B41" s="63"/>
      <c r="C41" s="63"/>
      <c r="D41" s="63"/>
      <c r="E41" s="63"/>
      <c r="F41" s="63"/>
      <c r="G41" s="63"/>
    </row>
    <row r="42" customFormat="false" ht="12.75" hidden="false" customHeight="false" outlineLevel="0" collapsed="false">
      <c r="A42" s="63"/>
      <c r="B42" s="63"/>
      <c r="C42" s="63"/>
      <c r="D42" s="63"/>
      <c r="E42" s="63"/>
      <c r="F42" s="63"/>
      <c r="G42" s="63"/>
    </row>
    <row r="43" customFormat="false" ht="12.75" hidden="false" customHeight="false" outlineLevel="0" collapsed="false">
      <c r="A43" s="63"/>
      <c r="B43" s="63"/>
      <c r="C43" s="63"/>
      <c r="D43" s="63"/>
      <c r="E43" s="63"/>
      <c r="F43" s="63"/>
      <c r="G43" s="63"/>
    </row>
    <row r="44" customFormat="false" ht="12.75" hidden="false" customHeight="false" outlineLevel="0" collapsed="false">
      <c r="A44" s="63"/>
      <c r="B44" s="63"/>
      <c r="C44" s="63"/>
      <c r="D44" s="63"/>
      <c r="E44" s="63"/>
      <c r="F44" s="63"/>
      <c r="G44" s="63"/>
    </row>
    <row r="45" customFormat="false" ht="12.75" hidden="false" customHeight="false" outlineLevel="0" collapsed="false">
      <c r="A45" s="63"/>
      <c r="B45" s="63"/>
      <c r="C45" s="63"/>
      <c r="D45" s="63"/>
      <c r="E45" s="63"/>
      <c r="F45" s="63"/>
      <c r="G45" s="63"/>
    </row>
    <row r="46" customFormat="false" ht="12.75" hidden="false" customHeight="false" outlineLevel="0" collapsed="false">
      <c r="A46" s="63"/>
      <c r="B46" s="63"/>
      <c r="C46" s="63"/>
      <c r="D46" s="63"/>
      <c r="E46" s="63"/>
      <c r="F46" s="63"/>
      <c r="G46" s="63"/>
    </row>
    <row r="47" customFormat="false" ht="12.75" hidden="false" customHeight="false" outlineLevel="0" collapsed="false">
      <c r="A47" s="63"/>
      <c r="B47" s="63"/>
      <c r="C47" s="63"/>
      <c r="D47" s="63"/>
      <c r="E47" s="63"/>
      <c r="F47" s="63"/>
      <c r="G47" s="63"/>
    </row>
    <row r="48" customFormat="false" ht="12.75" hidden="false" customHeight="false" outlineLevel="0" collapsed="false">
      <c r="A48" s="63"/>
      <c r="B48" s="63"/>
      <c r="C48" s="63"/>
      <c r="D48" s="63"/>
      <c r="E48" s="63"/>
      <c r="F48" s="63"/>
      <c r="G48" s="63"/>
    </row>
    <row r="49" customFormat="false" ht="12.75" hidden="false" customHeight="false" outlineLevel="0" collapsed="false">
      <c r="A49" s="63"/>
      <c r="B49" s="63"/>
      <c r="C49" s="63"/>
      <c r="D49" s="63"/>
      <c r="E49" s="63"/>
      <c r="F49" s="63"/>
      <c r="G49" s="63"/>
    </row>
    <row r="50" customFormat="false" ht="12.75" hidden="false" customHeight="false" outlineLevel="0" collapsed="false">
      <c r="A50" s="63"/>
      <c r="B50" s="63"/>
      <c r="C50" s="63"/>
      <c r="D50" s="63"/>
      <c r="E50" s="63"/>
      <c r="F50" s="63"/>
      <c r="G50" s="63"/>
    </row>
    <row r="51" customFormat="false" ht="12.75" hidden="false" customHeight="false" outlineLevel="0" collapsed="false">
      <c r="A51" s="63"/>
      <c r="B51" s="63"/>
      <c r="C51" s="63"/>
      <c r="D51" s="63"/>
      <c r="E51" s="63"/>
      <c r="F51" s="63"/>
      <c r="G51" s="63"/>
    </row>
    <row r="52" customFormat="false" ht="12.75" hidden="false" customHeight="false" outlineLevel="0" collapsed="false">
      <c r="A52" s="63"/>
      <c r="B52" s="63"/>
      <c r="C52" s="63"/>
      <c r="D52" s="63"/>
      <c r="E52" s="63"/>
      <c r="F52" s="63"/>
      <c r="G52" s="63"/>
    </row>
    <row r="53" customFormat="false" ht="12.75" hidden="false" customHeight="false" outlineLevel="0" collapsed="false">
      <c r="A53" s="63"/>
      <c r="B53" s="63"/>
      <c r="C53" s="63"/>
      <c r="D53" s="63"/>
      <c r="E53" s="63"/>
      <c r="F53" s="63"/>
      <c r="G53" s="63"/>
    </row>
    <row r="54" customFormat="false" ht="12.75" hidden="false" customHeight="false" outlineLevel="0" collapsed="false">
      <c r="A54" s="63"/>
      <c r="B54" s="63"/>
      <c r="C54" s="63"/>
      <c r="D54" s="63"/>
      <c r="E54" s="63"/>
      <c r="F54" s="63"/>
      <c r="G54" s="63"/>
    </row>
    <row r="55" customFormat="false" ht="12.75" hidden="false" customHeight="false" outlineLevel="0" collapsed="false">
      <c r="A55" s="63"/>
      <c r="B55" s="63"/>
      <c r="C55" s="63"/>
      <c r="D55" s="63"/>
      <c r="E55" s="63"/>
      <c r="F55" s="63"/>
      <c r="G55" s="63"/>
    </row>
    <row r="56" customFormat="false" ht="12.75" hidden="false" customHeight="false" outlineLevel="0" collapsed="false">
      <c r="A56" s="63"/>
      <c r="B56" s="63"/>
      <c r="C56" s="63"/>
      <c r="D56" s="63"/>
      <c r="E56" s="63"/>
      <c r="F56" s="63"/>
      <c r="G56" s="63"/>
    </row>
    <row r="57" customFormat="false" ht="12.75" hidden="false" customHeight="false" outlineLevel="0" collapsed="false">
      <c r="A57" s="63"/>
      <c r="B57" s="63"/>
      <c r="C57" s="63"/>
      <c r="D57" s="63"/>
      <c r="E57" s="63"/>
      <c r="F57" s="63"/>
      <c r="G57" s="63"/>
    </row>
    <row r="58" customFormat="false" ht="12.75" hidden="false" customHeight="false" outlineLevel="0" collapsed="false">
      <c r="A58" s="63"/>
      <c r="B58" s="63"/>
      <c r="C58" s="63"/>
      <c r="D58" s="63"/>
      <c r="E58" s="63"/>
      <c r="F58" s="63"/>
      <c r="G58" s="63"/>
    </row>
    <row r="59" customFormat="false" ht="12.75" hidden="false" customHeight="false" outlineLevel="0" collapsed="false">
      <c r="A59" s="63"/>
      <c r="B59" s="63"/>
      <c r="C59" s="63"/>
      <c r="D59" s="63"/>
      <c r="E59" s="63"/>
      <c r="F59" s="63"/>
      <c r="G59" s="63"/>
    </row>
    <row r="60" customFormat="false" ht="12.75" hidden="false" customHeight="false" outlineLevel="0" collapsed="false">
      <c r="A60" s="63"/>
      <c r="B60" s="63"/>
      <c r="C60" s="63"/>
      <c r="D60" s="63"/>
      <c r="E60" s="63"/>
      <c r="F60" s="63"/>
      <c r="G60" s="63"/>
    </row>
    <row r="61" customFormat="false" ht="12.75" hidden="false" customHeight="false" outlineLevel="0" collapsed="false">
      <c r="A61" s="63"/>
      <c r="B61" s="63"/>
      <c r="C61" s="63"/>
      <c r="D61" s="63"/>
      <c r="E61" s="63"/>
      <c r="F61" s="63"/>
      <c r="G61" s="63"/>
    </row>
    <row r="62" customFormat="false" ht="12.75" hidden="false" customHeight="false" outlineLevel="0" collapsed="false">
      <c r="A62" s="63"/>
      <c r="B62" s="63"/>
      <c r="C62" s="63"/>
      <c r="D62" s="63"/>
      <c r="E62" s="63"/>
      <c r="F62" s="63"/>
      <c r="G62" s="63"/>
    </row>
    <row r="63" customFormat="false" ht="12.75" hidden="false" customHeight="false" outlineLevel="0" collapsed="false">
      <c r="A63" s="63"/>
      <c r="B63" s="63"/>
      <c r="C63" s="63"/>
      <c r="D63" s="63"/>
      <c r="E63" s="63"/>
      <c r="F63" s="63"/>
      <c r="G63" s="63"/>
    </row>
    <row r="64" customFormat="false" ht="12.75" hidden="false" customHeight="false" outlineLevel="0" collapsed="false">
      <c r="A64" s="63"/>
      <c r="B64" s="63"/>
      <c r="C64" s="63"/>
      <c r="D64" s="63"/>
      <c r="E64" s="63"/>
      <c r="F64" s="63"/>
      <c r="G64" s="63"/>
    </row>
    <row r="65" customFormat="false" ht="12.75" hidden="false" customHeight="false" outlineLevel="0" collapsed="false">
      <c r="A65" s="63"/>
      <c r="B65" s="63"/>
      <c r="C65" s="63"/>
      <c r="D65" s="63"/>
      <c r="E65" s="63"/>
      <c r="F65" s="63"/>
      <c r="G65" s="63"/>
    </row>
    <row r="66" customFormat="false" ht="12.75" hidden="false" customHeight="false" outlineLevel="0" collapsed="false">
      <c r="A66" s="63"/>
      <c r="B66" s="63"/>
      <c r="C66" s="63"/>
      <c r="D66" s="63"/>
      <c r="E66" s="63"/>
      <c r="F66" s="63"/>
      <c r="G66" s="63"/>
    </row>
    <row r="67" customFormat="false" ht="12.75" hidden="false" customHeight="false" outlineLevel="0" collapsed="false">
      <c r="A67" s="63"/>
      <c r="B67" s="63"/>
      <c r="C67" s="63"/>
      <c r="D67" s="63"/>
      <c r="E67" s="63"/>
      <c r="F67" s="63"/>
      <c r="G67" s="63"/>
    </row>
    <row r="68" customFormat="false" ht="12.75" hidden="false" customHeight="false" outlineLevel="0" collapsed="false">
      <c r="A68" s="63"/>
      <c r="B68" s="63"/>
      <c r="C68" s="63"/>
      <c r="D68" s="63"/>
      <c r="E68" s="63"/>
      <c r="F68" s="63"/>
      <c r="G68" s="63"/>
    </row>
    <row r="69" customFormat="false" ht="12.75" hidden="false" customHeight="false" outlineLevel="0" collapsed="false">
      <c r="A69" s="63"/>
      <c r="B69" s="63"/>
      <c r="C69" s="63"/>
      <c r="D69" s="63"/>
      <c r="E69" s="63"/>
      <c r="F69" s="63"/>
      <c r="G69" s="63"/>
    </row>
    <row r="70" customFormat="false" ht="12.75" hidden="false" customHeight="false" outlineLevel="0" collapsed="false">
      <c r="A70" s="63"/>
      <c r="B70" s="63"/>
      <c r="C70" s="63"/>
      <c r="D70" s="63"/>
      <c r="E70" s="63"/>
      <c r="F70" s="63"/>
      <c r="G70" s="63"/>
    </row>
    <row r="71" customFormat="false" ht="12.75" hidden="false" customHeight="false" outlineLevel="0" collapsed="false">
      <c r="A71" s="63"/>
      <c r="B71" s="63"/>
      <c r="C71" s="63"/>
      <c r="D71" s="63"/>
      <c r="E71" s="63"/>
      <c r="F71" s="63"/>
      <c r="G71" s="63"/>
    </row>
    <row r="72" customFormat="false" ht="12.75" hidden="false" customHeight="false" outlineLevel="0" collapsed="false">
      <c r="A72" s="63"/>
      <c r="B72" s="63"/>
      <c r="C72" s="63"/>
      <c r="D72" s="63"/>
      <c r="E72" s="63"/>
      <c r="F72" s="63"/>
      <c r="G72" s="63"/>
    </row>
    <row r="73" customFormat="false" ht="12.75" hidden="false" customHeight="false" outlineLevel="0" collapsed="false">
      <c r="A73" s="63"/>
      <c r="B73" s="63"/>
      <c r="C73" s="63"/>
      <c r="D73" s="63"/>
      <c r="E73" s="63"/>
      <c r="F73" s="63"/>
      <c r="G73" s="63"/>
    </row>
    <row r="74" customFormat="false" ht="12.75" hidden="false" customHeight="false" outlineLevel="0" collapsed="false">
      <c r="A74" s="63"/>
      <c r="B74" s="63"/>
      <c r="C74" s="63"/>
      <c r="D74" s="63"/>
      <c r="E74" s="63"/>
      <c r="F74" s="63"/>
      <c r="G74" s="63"/>
    </row>
    <row r="75" customFormat="false" ht="12.75" hidden="false" customHeight="false" outlineLevel="0" collapsed="false">
      <c r="A75" s="63"/>
      <c r="B75" s="63"/>
      <c r="C75" s="63"/>
      <c r="D75" s="63"/>
      <c r="E75" s="63"/>
      <c r="F75" s="63"/>
      <c r="G75" s="63"/>
    </row>
    <row r="76" customFormat="false" ht="12.75" hidden="false" customHeight="false" outlineLevel="0" collapsed="false">
      <c r="A76" s="63"/>
      <c r="B76" s="63"/>
      <c r="C76" s="63"/>
      <c r="D76" s="63"/>
      <c r="E76" s="63"/>
      <c r="F76" s="63"/>
      <c r="G76" s="63"/>
    </row>
    <row r="77" customFormat="false" ht="12.75" hidden="false" customHeight="false" outlineLevel="0" collapsed="false">
      <c r="A77" s="63"/>
      <c r="B77" s="63"/>
      <c r="C77" s="63"/>
      <c r="D77" s="63"/>
      <c r="E77" s="63"/>
      <c r="F77" s="63"/>
      <c r="G77" s="63"/>
    </row>
    <row r="78" customFormat="false" ht="12.75" hidden="false" customHeight="false" outlineLevel="0" collapsed="false">
      <c r="A78" s="63"/>
      <c r="B78" s="63"/>
      <c r="C78" s="63"/>
      <c r="D78" s="63"/>
      <c r="E78" s="63"/>
      <c r="F78" s="63"/>
      <c r="G78" s="63"/>
    </row>
    <row r="79" customFormat="false" ht="12.75" hidden="false" customHeight="false" outlineLevel="0" collapsed="false">
      <c r="A79" s="63"/>
      <c r="B79" s="63"/>
      <c r="C79" s="63"/>
      <c r="D79" s="63"/>
      <c r="E79" s="63"/>
      <c r="F79" s="63"/>
      <c r="G79" s="63"/>
    </row>
    <row r="80" customFormat="false" ht="12.75" hidden="false" customHeight="false" outlineLevel="0" collapsed="false">
      <c r="A80" s="63"/>
      <c r="B80" s="63"/>
      <c r="C80" s="63"/>
      <c r="D80" s="63"/>
      <c r="E80" s="63"/>
      <c r="F80" s="63"/>
      <c r="G80" s="63"/>
    </row>
    <row r="81" customFormat="false" ht="12.75" hidden="false" customHeight="false" outlineLevel="0" collapsed="false">
      <c r="A81" s="63"/>
      <c r="B81" s="63"/>
      <c r="C81" s="63"/>
      <c r="D81" s="63"/>
      <c r="E81" s="63"/>
      <c r="F81" s="63"/>
      <c r="G81" s="63"/>
    </row>
    <row r="82" customFormat="false" ht="12.75" hidden="false" customHeight="false" outlineLevel="0" collapsed="false">
      <c r="A82" s="63"/>
      <c r="B82" s="63"/>
      <c r="C82" s="63"/>
      <c r="D82" s="63"/>
      <c r="E82" s="63"/>
      <c r="F82" s="63"/>
      <c r="G82" s="63"/>
    </row>
    <row r="83" customFormat="false" ht="12.75" hidden="false" customHeight="false" outlineLevel="0" collapsed="false">
      <c r="A83" s="63"/>
      <c r="B83" s="63"/>
      <c r="C83" s="63"/>
      <c r="D83" s="63"/>
      <c r="E83" s="63"/>
      <c r="F83" s="63"/>
      <c r="G83" s="63"/>
    </row>
    <row r="84" customFormat="false" ht="12.75" hidden="false" customHeight="false" outlineLevel="0" collapsed="false">
      <c r="A84" s="63"/>
      <c r="B84" s="63"/>
      <c r="C84" s="63"/>
      <c r="D84" s="63"/>
      <c r="E84" s="63"/>
      <c r="F84" s="63"/>
      <c r="G84" s="63"/>
    </row>
    <row r="85" customFormat="false" ht="12.75" hidden="false" customHeight="false" outlineLevel="0" collapsed="false">
      <c r="A85" s="63"/>
      <c r="B85" s="63"/>
      <c r="C85" s="63"/>
      <c r="D85" s="63"/>
      <c r="E85" s="63"/>
      <c r="F85" s="63"/>
      <c r="G85" s="63"/>
    </row>
    <row r="86" customFormat="false" ht="12.75" hidden="false" customHeight="false" outlineLevel="0" collapsed="false">
      <c r="A86" s="63"/>
      <c r="B86" s="63"/>
      <c r="C86" s="63"/>
      <c r="D86" s="63"/>
      <c r="E86" s="63"/>
      <c r="F86" s="63"/>
      <c r="G86" s="63"/>
    </row>
    <row r="87" customFormat="false" ht="12.75" hidden="false" customHeight="false" outlineLevel="0" collapsed="false">
      <c r="A87" s="63"/>
      <c r="B87" s="63"/>
      <c r="C87" s="63"/>
      <c r="D87" s="63"/>
      <c r="E87" s="63"/>
      <c r="F87" s="63"/>
      <c r="G87" s="63"/>
    </row>
    <row r="88" customFormat="false" ht="12.75" hidden="false" customHeight="false" outlineLevel="0" collapsed="false">
      <c r="A88" s="63"/>
      <c r="B88" s="63"/>
      <c r="C88" s="63"/>
      <c r="D88" s="63"/>
      <c r="E88" s="63"/>
      <c r="F88" s="63"/>
      <c r="G88" s="63"/>
    </row>
    <row r="89" customFormat="false" ht="12.75" hidden="false" customHeight="false" outlineLevel="0" collapsed="false">
      <c r="A89" s="63"/>
      <c r="B89" s="63"/>
      <c r="C89" s="63"/>
      <c r="D89" s="63"/>
      <c r="E89" s="63"/>
      <c r="F89" s="63"/>
      <c r="G89" s="63"/>
    </row>
    <row r="90" customFormat="false" ht="12.75" hidden="false" customHeight="false" outlineLevel="0" collapsed="false">
      <c r="A90" s="63"/>
      <c r="B90" s="63"/>
      <c r="C90" s="63"/>
      <c r="D90" s="63"/>
      <c r="E90" s="63"/>
      <c r="F90" s="63"/>
      <c r="G90" s="63"/>
    </row>
    <row r="91" customFormat="false" ht="12.75" hidden="false" customHeight="false" outlineLevel="0" collapsed="false">
      <c r="A91" s="63"/>
      <c r="B91" s="63"/>
      <c r="C91" s="63"/>
      <c r="D91" s="63"/>
      <c r="E91" s="63"/>
      <c r="F91" s="63"/>
      <c r="G91" s="63"/>
    </row>
    <row r="92" customFormat="false" ht="12.75" hidden="false" customHeight="false" outlineLevel="0" collapsed="false">
      <c r="A92" s="63"/>
      <c r="B92" s="63"/>
      <c r="C92" s="63"/>
      <c r="D92" s="63"/>
      <c r="E92" s="63"/>
      <c r="F92" s="63"/>
      <c r="G92" s="63"/>
    </row>
    <row r="93" customFormat="false" ht="12.75" hidden="false" customHeight="false" outlineLevel="0" collapsed="false">
      <c r="A93" s="63"/>
      <c r="B93" s="63"/>
      <c r="C93" s="63"/>
      <c r="D93" s="63"/>
      <c r="E93" s="63"/>
      <c r="F93" s="63"/>
      <c r="G93" s="63"/>
    </row>
    <row r="94" customFormat="false" ht="12.75" hidden="false" customHeight="false" outlineLevel="0" collapsed="false">
      <c r="A94" s="63"/>
      <c r="B94" s="63"/>
      <c r="C94" s="63"/>
      <c r="D94" s="63"/>
      <c r="E94" s="63"/>
      <c r="F94" s="63"/>
      <c r="G94" s="63"/>
    </row>
    <row r="95" customFormat="false" ht="12.75" hidden="false" customHeight="false" outlineLevel="0" collapsed="false">
      <c r="A95" s="63"/>
      <c r="B95" s="63"/>
      <c r="C95" s="63"/>
      <c r="D95" s="63"/>
      <c r="E95" s="63"/>
      <c r="F95" s="63"/>
      <c r="G95" s="63"/>
    </row>
    <row r="96" customFormat="false" ht="12.75" hidden="false" customHeight="false" outlineLevel="0" collapsed="false">
      <c r="A96" s="63"/>
      <c r="B96" s="63"/>
      <c r="C96" s="63"/>
      <c r="D96" s="63"/>
      <c r="E96" s="63"/>
      <c r="F96" s="63"/>
      <c r="G96" s="63"/>
    </row>
    <row r="97" customFormat="false" ht="12.75" hidden="false" customHeight="false" outlineLevel="0" collapsed="false">
      <c r="A97" s="63"/>
      <c r="B97" s="63"/>
      <c r="C97" s="63"/>
      <c r="D97" s="63"/>
      <c r="E97" s="63"/>
      <c r="F97" s="63"/>
      <c r="G97" s="63"/>
    </row>
    <row r="98" customFormat="false" ht="12.75" hidden="false" customHeight="false" outlineLevel="0" collapsed="false">
      <c r="A98" s="63"/>
      <c r="B98" s="63"/>
      <c r="C98" s="63"/>
      <c r="D98" s="63"/>
      <c r="E98" s="63"/>
      <c r="F98" s="63"/>
      <c r="G98" s="63"/>
    </row>
    <row r="99" customFormat="false" ht="12.75" hidden="false" customHeight="false" outlineLevel="0" collapsed="false">
      <c r="A99" s="63"/>
      <c r="B99" s="63"/>
      <c r="C99" s="63"/>
      <c r="D99" s="63"/>
      <c r="E99" s="63"/>
      <c r="F99" s="63"/>
      <c r="G99" s="63"/>
    </row>
    <row r="100" customFormat="false" ht="12.75" hidden="false" customHeight="false" outlineLevel="0" collapsed="false">
      <c r="A100" s="63"/>
      <c r="B100" s="63"/>
      <c r="C100" s="63"/>
      <c r="D100" s="63"/>
      <c r="E100" s="63"/>
      <c r="F100" s="63"/>
      <c r="G100" s="63"/>
    </row>
    <row r="101" customFormat="false" ht="12.75" hidden="false" customHeight="false" outlineLevel="0" collapsed="false">
      <c r="A101" s="63"/>
      <c r="B101" s="63"/>
      <c r="C101" s="63"/>
      <c r="D101" s="63"/>
      <c r="E101" s="63"/>
      <c r="F101" s="63"/>
      <c r="G101" s="63"/>
    </row>
    <row r="102" customFormat="false" ht="12.75" hidden="false" customHeight="false" outlineLevel="0" collapsed="false">
      <c r="A102" s="63"/>
      <c r="B102" s="63"/>
      <c r="C102" s="63"/>
      <c r="D102" s="63"/>
      <c r="E102" s="63"/>
      <c r="F102" s="63"/>
      <c r="G102" s="63"/>
    </row>
    <row r="103" customFormat="false" ht="12.75" hidden="false" customHeight="false" outlineLevel="0" collapsed="false">
      <c r="A103" s="63"/>
      <c r="B103" s="63"/>
      <c r="C103" s="63"/>
      <c r="D103" s="63"/>
      <c r="E103" s="63"/>
      <c r="F103" s="63"/>
      <c r="G103" s="63"/>
    </row>
    <row r="104" customFormat="false" ht="12.75" hidden="false" customHeight="false" outlineLevel="0" collapsed="false">
      <c r="A104" s="63"/>
      <c r="B104" s="63"/>
      <c r="C104" s="63"/>
      <c r="D104" s="63"/>
      <c r="E104" s="63"/>
      <c r="F104" s="63"/>
      <c r="G104" s="63"/>
    </row>
    <row r="105" customFormat="false" ht="12.75" hidden="false" customHeight="false" outlineLevel="0" collapsed="false">
      <c r="A105" s="63"/>
      <c r="B105" s="63"/>
      <c r="C105" s="63"/>
      <c r="D105" s="63"/>
      <c r="E105" s="63"/>
      <c r="F105" s="63"/>
      <c r="G105" s="63"/>
    </row>
  </sheetData>
  <mergeCells count="19">
    <mergeCell ref="A1:G1"/>
    <mergeCell ref="A2:G2"/>
    <mergeCell ref="A3:G3"/>
    <mergeCell ref="A4:G4"/>
    <mergeCell ref="A5:G5"/>
    <mergeCell ref="A6:G6"/>
    <mergeCell ref="D7:G7"/>
    <mergeCell ref="A8:G8"/>
    <mergeCell ref="A9:A10"/>
    <mergeCell ref="B9:B10"/>
    <mergeCell ref="C9:C10"/>
    <mergeCell ref="D9:D10"/>
    <mergeCell ref="E9:F9"/>
    <mergeCell ref="G9:G10"/>
    <mergeCell ref="A20:D20"/>
    <mergeCell ref="A22:C22"/>
    <mergeCell ref="E22:G22"/>
    <mergeCell ref="A28:C28"/>
    <mergeCell ref="E28:G28"/>
  </mergeCells>
  <printOptions headings="false" gridLines="false" gridLinesSet="true" horizontalCentered="false" verticalCentered="false"/>
  <pageMargins left="1.19027777777778" right="0.159722222222222" top="0.529861111111111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2024-10-17T09:21:54Z</dcterms:created>
  <dc:creator>Microsoft Cop.</dc:creator>
  <dc:description/>
  <dc:language>en-US</dc:language>
  <cp:lastModifiedBy>Microsoft Cop.</cp:lastModifiedBy>
  <cp:lastPrinted>2025-10-21T07:14:05Z</cp:lastPrinted>
  <dcterms:modified xsi:type="dcterms:W3CDTF">2026-10-14T02:59:20Z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