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a TT" sheetId="1" state="visible" r:id="rId3"/>
    <sheet name="PL.Khoi luong" sheetId="2" state="visible" r:id="rId4"/>
    <sheet name="PL.3A" sheetId="3" state="visible" r:id="rId5"/>
    <sheet name="KL con lai" sheetId="4" state="visible" r:id="rId6"/>
  </sheets>
  <definedNames>
    <definedName function="false" hidden="false" localSheetId="0" name="_xlnm.Print_Area" vbProcedure="false">'03a TT'!$A$12:$L$59</definedName>
    <definedName function="false" hidden="false" localSheetId="2" name="_xlnm.Print_Titles" vbProcedure="false">'PL.3A'!$10:$13</definedName>
    <definedName function="false" hidden="false" localSheetId="1" name="_xlnm.Print_Titles" vbProcedure="false">'PL.Khoi luong'!$5:$8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Tối đa 30% giá HĐ = 7.502.264.700 đ (Điều 9.3 HĐ). Nhập số tiền tạm ứng thực nhận.</t>
        </r>
      </text>
    </comment>
    <comment ref="C7" authorId="0">
      <text>
        <r>
          <rPr>
            <sz val="10"/>
            <rFont val="Arial"/>
            <family val="2"/>
          </rPr>
          <t xml:space="preserve">Điều 9.4.1 HĐ: không quá 90% giá trị KLHT được nghiệm thu</t>
        </r>
      </text>
    </comment>
    <comment ref="C9" authorId="0">
      <text>
        <r>
          <rPr>
            <sz val="10"/>
            <rFont val="Arial"/>
            <family val="2"/>
          </rPr>
          <t xml:space="preserve">Mặc định: thu hồi theo tỷ lệ Tạm ứng/Giá HĐ nhân giá trị KLHT nghiệm thu kỳ này; thu hồi hết khi luỹ kế KLHT đạt 80% giá HĐ; không vượt giá trị được thanh toán kỳ này. Nhập số để ghi đè.</t>
        </r>
      </text>
    </comment>
  </commentList>
</comments>
</file>

<file path=xl/sharedStrings.xml><?xml version="1.0" encoding="utf-8"?>
<sst xmlns="http://schemas.openxmlformats.org/spreadsheetml/2006/main" count="5247" uniqueCount="1188">
  <si>
    <t xml:space="preserve">THÔNG SỐ NHẬP (không in) – ô nền vàng</t>
  </si>
  <si>
    <t xml:space="preserve">Thanh toán lần thứ</t>
  </si>
  <si>
    <t xml:space="preserve">1</t>
  </si>
  <si>
    <t xml:space="preserve">Căn cứ xác định</t>
  </si>
  <si>
    <t xml:space="preserve">Biên bản nghiệm thu hoàn thành giai đoạn số ....../BBNT ngày ...../...../2026</t>
  </si>
  <si>
    <t xml:space="preserve">Tạm ứng đã nhận theo hợp đồng (đồng)</t>
  </si>
  <si>
    <t xml:space="preserve">Tạm ứng đã thu hồi đến hết kỳ trước (đồng)</t>
  </si>
  <si>
    <t xml:space="preserve">Đã thanh toán KLHT cho nhà thầu đến hết kỳ trước (đồng)</t>
  </si>
  <si>
    <t xml:space="preserve">Tỷ lệ thanh toán tối đa khi chưa quyết toán</t>
  </si>
  <si>
    <t xml:space="preserve">Tạm ứng đề nghị kỳ này (đồng)</t>
  </si>
  <si>
    <t xml:space="preserve">Thu hồi tạm ứng kỳ này (đồng) – để trống thì tự tính</t>
  </si>
  <si>
    <t xml:space="preserve">ỦY BAN NHÂN DÂN XÃ HOẰNG PHÚ</t>
  </si>
  <si>
    <t xml:space="preserve">Mẫu số 03a/TT</t>
  </si>
  <si>
    <t xml:space="preserve">BẢNG XÁC ĐỊNH GIÁ TRỊ KHỐI LƯỢNG CÔNG VIỆC HOÀN THÀNH</t>
  </si>
  <si>
    <t xml:space="preserve">Tên dự án: Hạ tầng kỹ thuật Khu dân cư và công viên Cây xanh, xã Hoằng Phú, tỉnh Thanh Hoá (được UBND huyện Hoằng Hóa phê duyệt tại Quyết định số 613/QĐ-UBND ngày 21/02/2025)</t>
  </si>
  <si>
    <t xml:space="preserve">Tên gói thầu: Gói thầu số 03: Thi công xây dựng công trình + thiết bị</t>
  </si>
  <si>
    <t xml:space="preserve">Căn cứ hợp đồng số: 10/2026/HĐ-TCXD ngày 09 tháng 10 năm 2026 (giá hợp đồng trọn gói: 25.007.549.000 đồng)</t>
  </si>
  <si>
    <t xml:space="preserve">Chủ đầu tư: Ủy ban nhân dân xã Hoằng Phú</t>
  </si>
  <si>
    <t xml:space="preserve">Nhà thầu: Công ty TNHH Hoàng Tuấn</t>
  </si>
  <si>
    <t xml:space="preserve">STT</t>
  </si>
  <si>
    <t xml:space="preserve">Chỉ tiêu</t>
  </si>
  <si>
    <t xml:space="preserve">Giá trị hợp đồng/Dự toán</t>
  </si>
  <si>
    <t xml:space="preserve">Giá trị KLHT chưa thanh toán đến hết kỳ trước</t>
  </si>
  <si>
    <t xml:space="preserve">Giá trị KLHT nghiệm thu trong kỳ này</t>
  </si>
  <si>
    <t xml:space="preserve">Giá trị KLHT đề nghị thanh toán kỳ này</t>
  </si>
  <si>
    <t xml:space="preserve">Giá trị KLHT chưa thanh toán đến hết kỳ này</t>
  </si>
  <si>
    <t xml:space="preserve">Luỹ kế giá trị KLHT đã thanh toán đến hết kỳ trước</t>
  </si>
  <si>
    <t xml:space="preserve">Luỹ kế giá trị KLHT đã thanh toán đến hết kỳ này</t>
  </si>
  <si>
    <t xml:space="preserve">Ghi chú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</si>
  <si>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</si>
  <si>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</si>
  <si>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</si>
  <si>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</si>
  <si>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</si>
  <si>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</si>
  <si>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(7)=(4)+(5)-(6)</t>
  </si>
  <si>
    <t xml:space="preserve">(8)</t>
  </si>
  <si>
    <t xml:space="preserve">(9)=(8)+(6)</t>
  </si>
  <si>
    <t xml:space="preserve">(10)</t>
  </si>
  <si>
    <t xml:space="preserve">I</t>
  </si>
  <si>
    <t xml:space="preserve">Công việc thực hiện thông qua hợp đồng</t>
  </si>
  <si>
    <t xml:space="preserve">II</t>
  </si>
  <si>
    <t xml:space="preserve">Công việc thực hiện không thông qua Hợp đồng (không bao gồm chi phí quản lý dự án)</t>
  </si>
  <si>
    <t xml:space="preserve">III</t>
  </si>
  <si>
    <t xml:space="preserve">Chi phí đảm bảo cho việc tổ chức thực hiện bồi thường, hỗ trợ, tái định cư</t>
  </si>
  <si>
    <t xml:space="preserve">IV</t>
  </si>
  <si>
    <t xml:space="preserve">Chi phí quản lý dự án</t>
  </si>
  <si>
    <t xml:space="preserve">Tổng cộng</t>
  </si>
  <si>
    <t xml:space="preserve"> 1.</t>
  </si>
  <si>
    <t xml:space="preserve">Giá trị tạm ứng chưa thu hồi đến hết kỳ trước:</t>
  </si>
  <si>
    <t xml:space="preserve">đồng</t>
  </si>
  <si>
    <t xml:space="preserve"> 2.</t>
  </si>
  <si>
    <t xml:space="preserve">Số tiền đã thanh toán khối lượng hoàn thành đến hết kỳ trước:</t>
  </si>
  <si>
    <t xml:space="preserve">2.1</t>
  </si>
  <si>
    <t xml:space="preserve">      Thanh toán cho nhà thầu:</t>
  </si>
  <si>
    <t xml:space="preserve">2.2</t>
  </si>
  <si>
    <t xml:space="preserve">      Tiền bảo hành công trình (trong trường hợp không bảo lãnh bảo hành):</t>
  </si>
  <si>
    <t xml:space="preserve">2.3</t>
  </si>
  <si>
    <t xml:space="preserve">      Chuyển vào tài khoản tạm giữ chờ quyết toán:</t>
  </si>
  <si>
    <t xml:space="preserve"> 3.</t>
  </si>
  <si>
    <t xml:space="preserve">Luỹ kế giá trị khối lượng thực hiện đến hết kỳ này:</t>
  </si>
  <si>
    <t xml:space="preserve"> 4.</t>
  </si>
  <si>
    <t xml:space="preserve">Thanh toán để thu hồi tạm ứng:</t>
  </si>
  <si>
    <t xml:space="preserve"> 5.</t>
  </si>
  <si>
    <t xml:space="preserve">Giá trị đề nghị giải ngân kỳ này:</t>
  </si>
  <si>
    <t xml:space="preserve">Số tiền bằng chữ: ............................................................................................................</t>
  </si>
  <si>
    <t xml:space="preserve">+</t>
  </si>
  <si>
    <t xml:space="preserve">      Tạm ứng:</t>
  </si>
  <si>
    <t xml:space="preserve">      Thanh toán khối lượng hoàn thành:</t>
  </si>
  <si>
    <t xml:space="preserve">      Thanh toán cho nhà thầu</t>
  </si>
  <si>
    <t xml:space="preserve">      Tiền bảo hành công trình (trong trường hợp không bảo lãnh bảo hành)</t>
  </si>
  <si>
    <t xml:space="preserve">      Chuyển vào tài khoản tạm giữ chờ quyết toán</t>
  </si>
  <si>
    <t xml:space="preserve">6.</t>
  </si>
  <si>
    <t xml:space="preserve">Luỹ kế giá trị giải ngân:</t>
  </si>
  <si>
    <t xml:space="preserve">6.1</t>
  </si>
  <si>
    <t xml:space="preserve">6.2</t>
  </si>
  <si>
    <t xml:space="preserve">Hoằng Phú, ngày       tháng      năm 2026</t>
  </si>
  <si>
    <t xml:space="preserve">ĐẠI DIỆN NHÀ THẦU</t>
  </si>
  <si>
    <t xml:space="preserve">ĐẠI DIỆN CHỦ ĐẦU TƯ</t>
  </si>
  <si>
    <t xml:space="preserve">GIÁM ĐỐC</t>
  </si>
  <si>
    <t xml:space="preserve">CHỦ TỊCH</t>
  </si>
  <si>
    <t xml:space="preserve">Nguyễn Duy Nở</t>
  </si>
  <si>
    <t xml:space="preserve">Nguyễn Thị Loan</t>
  </si>
  <si>
    <t xml:space="preserve">PHỤ LỤC KHỐI LƯỢNG NGHIỆM THU HOÀN THÀNH</t>
  </si>
  <si>
    <t xml:space="preserve">Dự án: Hạ tầng kỹ thuật Khu dân cư và công viên Cây xanh, xã Hoằng Phú, tỉnh Thanh Hoá (được UBND huyện Hoằng Hóa phê duyệt tại Quyết định số 613/QĐ-UBND ngày 21/02/2025)</t>
  </si>
  <si>
    <t xml:space="preserve">Nội dung công việc</t>
  </si>
  <si>
    <t xml:space="preserve">Đơn vị</t>
  </si>
  <si>
    <t xml:space="preserve">Khối lượng</t>
  </si>
  <si>
    <t xml:space="preserve">Khối lượng theo hợp đồng</t>
  </si>
  <si>
    <t xml:space="preserve">Thực hiện</t>
  </si>
  <si>
    <t xml:space="preserve">Luỹ kế đến hết kỳ trước</t>
  </si>
  <si>
    <t xml:space="preserve">Thực hiện kỳ này</t>
  </si>
  <si>
    <t xml:space="preserve">Luỹ kế đến hết kỳ này</t>
  </si>
  <si>
    <t xml:space="preserve">(7)=(5)+(6)</t>
  </si>
  <si>
    <t xml:space="preserve">HẠNG MỤC: GIAO THÔNG</t>
  </si>
  <si>
    <t xml:space="preserve">1.1</t>
  </si>
  <si>
    <t xml:space="preserve">GIAO THÔNG</t>
  </si>
  <si>
    <t xml:space="preserve">1.1.1</t>
  </si>
  <si>
    <t xml:space="preserve">BTN C16 lớp trên</t>
  </si>
  <si>
    <t xml:space="preserve">100tấn</t>
  </si>
  <si>
    <t xml:space="preserve">1.1.2</t>
  </si>
  <si>
    <t xml:space="preserve">Sản xuất bê tông nhựa</t>
  </si>
  <si>
    <t xml:space="preserve">1.1.3</t>
  </si>
  <si>
    <t xml:space="preserve">Vận chuyển đá dăm đen, bê tông nhựa từ trạm trộn đến vị trí đổ</t>
  </si>
  <si>
    <t xml:space="preserve">1.1.4</t>
  </si>
  <si>
    <t xml:space="preserve">Rải thảm mặt đường bê tông nhựa (Loại BTNC 16) dày 7cm</t>
  </si>
  <si>
    <t xml:space="preserve">100m2</t>
  </si>
  <si>
    <t xml:space="preserve">1.1.5</t>
  </si>
  <si>
    <t xml:space="preserve">Tưới lớp dính bám, thấm bám mặt đường</t>
  </si>
  <si>
    <t xml:space="preserve">1.1.6</t>
  </si>
  <si>
    <t xml:space="preserve">Móng cấp phối đá dăm loại 1 dày 15cm</t>
  </si>
  <si>
    <t xml:space="preserve">100m3</t>
  </si>
  <si>
    <t xml:space="preserve">1.1.7</t>
  </si>
  <si>
    <t xml:space="preserve">Móng cấp phối đá dăm loại 2 dày 18cm</t>
  </si>
  <si>
    <t xml:space="preserve">1.1.8</t>
  </si>
  <si>
    <t xml:space="preserve">Đất đắp K98</t>
  </si>
  <si>
    <t xml:space="preserve">m3</t>
  </si>
  <si>
    <t xml:space="preserve">1.1.9</t>
  </si>
  <si>
    <t xml:space="preserve">Đắp nền đường, độ chặt Y/C K = 0,98</t>
  </si>
  <si>
    <t xml:space="preserve">1.1.10</t>
  </si>
  <si>
    <t xml:space="preserve">Đất đắp K95</t>
  </si>
  <si>
    <t xml:space="preserve">1.1.11</t>
  </si>
  <si>
    <t xml:space="preserve">Đắp nền đường, độ chặt Y/C K = 0,95</t>
  </si>
  <si>
    <t xml:space="preserve">1.1.12</t>
  </si>
  <si>
    <t xml:space="preserve">Đào nền, đào khuôn đường</t>
  </si>
  <si>
    <t xml:space="preserve">1.1.13</t>
  </si>
  <si>
    <t xml:space="preserve">Đào đất không thích hợp</t>
  </si>
  <si>
    <t xml:space="preserve">1.2</t>
  </si>
  <si>
    <t xml:space="preserve">VẠCH SƠN KẺ ĐƯỜNG</t>
  </si>
  <si>
    <t xml:space="preserve">1.2.1</t>
  </si>
  <si>
    <t xml:space="preserve">Sơn kẻ đường bằng sơn dẻo nhiệt phản quang</t>
  </si>
  <si>
    <t xml:space="preserve">m2</t>
  </si>
  <si>
    <t xml:space="preserve">2</t>
  </si>
  <si>
    <t xml:space="preserve">HẠNG MỤC: THOÁT NƯỚC MƯA</t>
  </si>
  <si>
    <t xml:space="preserve">Phần rãnh thường (xây gạch)</t>
  </si>
  <si>
    <t xml:space="preserve">2.1.1</t>
  </si>
  <si>
    <t xml:space="preserve">Thi công lớp đá đệm móng</t>
  </si>
  <si>
    <t xml:space="preserve">2.1.2</t>
  </si>
  <si>
    <t xml:space="preserve">Bê tông móng M200, đá 1x2</t>
  </si>
  <si>
    <t xml:space="preserve">2.1.3</t>
  </si>
  <si>
    <t xml:space="preserve">Ván khuôn móng dài</t>
  </si>
  <si>
    <t xml:space="preserve">2.1.4</t>
  </si>
  <si>
    <t xml:space="preserve">Xây tường bằng gạch không nung, vữa XM M75</t>
  </si>
  <si>
    <t xml:space="preserve">2.1.5</t>
  </si>
  <si>
    <t xml:space="preserve">Trát tường, xây bằng gạch không nung, Vữa XM M75</t>
  </si>
  <si>
    <t xml:space="preserve">2.1.6</t>
  </si>
  <si>
    <t xml:space="preserve">Bê tông mũ mố M250, đá 1x2</t>
  </si>
  <si>
    <t xml:space="preserve">2.1.7</t>
  </si>
  <si>
    <t xml:space="preserve">Lắp dựng cốt thép mũ mố, ĐK ≤10mm</t>
  </si>
  <si>
    <t xml:space="preserve">tấn</t>
  </si>
  <si>
    <t xml:space="preserve">2.1.8</t>
  </si>
  <si>
    <t xml:space="preserve">Ván khuôn tấm đan</t>
  </si>
  <si>
    <t xml:space="preserve">2.1.9</t>
  </si>
  <si>
    <t xml:space="preserve">Bê tông tấm đan M250, đá 1x2</t>
  </si>
  <si>
    <t xml:space="preserve">2.1.10</t>
  </si>
  <si>
    <t xml:space="preserve">Cốt thép tấm đan ĐK ≤10mm</t>
  </si>
  <si>
    <t xml:space="preserve">2.1.11</t>
  </si>
  <si>
    <t xml:space="preserve">Cốt thép tấm đan ĐK &gt;10mm</t>
  </si>
  <si>
    <t xml:space="preserve">2.1.12</t>
  </si>
  <si>
    <t xml:space="preserve">Lắp đặt tấm đan</t>
  </si>
  <si>
    <t xml:space="preserve">1 cấu kiện</t>
  </si>
  <si>
    <t xml:space="preserve">Phần rãnh chịu lực (bê tông)</t>
  </si>
  <si>
    <t xml:space="preserve">2.2.1</t>
  </si>
  <si>
    <t xml:space="preserve">2.2.2</t>
  </si>
  <si>
    <t xml:space="preserve">2.2.3</t>
  </si>
  <si>
    <t xml:space="preserve">2.2.4</t>
  </si>
  <si>
    <t xml:space="preserve">Bê tông thành rãnh M200, đá 1x2</t>
  </si>
  <si>
    <t xml:space="preserve">2.2.5</t>
  </si>
  <si>
    <t xml:space="preserve">Ván khuôn thành rãnh</t>
  </si>
  <si>
    <t xml:space="preserve">2.2.6</t>
  </si>
  <si>
    <t xml:space="preserve">Lắp dựng cốt thép, ĐK ≤10mm</t>
  </si>
  <si>
    <t xml:space="preserve">2.2.7</t>
  </si>
  <si>
    <t xml:space="preserve">Lắp dựng cốt thép, ĐK ≤18mm</t>
  </si>
  <si>
    <t xml:space="preserve">2.2.8</t>
  </si>
  <si>
    <t xml:space="preserve">2.2.9</t>
  </si>
  <si>
    <t xml:space="preserve">2.2.10</t>
  </si>
  <si>
    <t xml:space="preserve">2.2.11</t>
  </si>
  <si>
    <t xml:space="preserve">2.2.12</t>
  </si>
  <si>
    <t xml:space="preserve">Phần hố thu nước</t>
  </si>
  <si>
    <t xml:space="preserve">2.3.1</t>
  </si>
  <si>
    <t xml:space="preserve">Bê tông lót móng, M100, đá 4x6</t>
  </si>
  <si>
    <t xml:space="preserve">2.3.2</t>
  </si>
  <si>
    <t xml:space="preserve">2.3.3</t>
  </si>
  <si>
    <t xml:space="preserve">Ván khuôn móng</t>
  </si>
  <si>
    <t xml:space="preserve">2.3.4</t>
  </si>
  <si>
    <t xml:space="preserve">2.3.5</t>
  </si>
  <si>
    <t xml:space="preserve">2.3.6</t>
  </si>
  <si>
    <t xml:space="preserve">2.3.7</t>
  </si>
  <si>
    <t xml:space="preserve">Bê tông tấm đan M250, đá 1x2,</t>
  </si>
  <si>
    <t xml:space="preserve">2.3.8</t>
  </si>
  <si>
    <t xml:space="preserve">2.3.9</t>
  </si>
  <si>
    <t xml:space="preserve">2.3.10</t>
  </si>
  <si>
    <t xml:space="preserve">Khung và nắp ga Composite</t>
  </si>
  <si>
    <t xml:space="preserve">bộ</t>
  </si>
  <si>
    <t xml:space="preserve">2.3.11</t>
  </si>
  <si>
    <t xml:space="preserve">Lắp đặt nắp ga Composite</t>
  </si>
  <si>
    <t xml:space="preserve">2.4</t>
  </si>
  <si>
    <t xml:space="preserve">Phần cửa thu loại 1</t>
  </si>
  <si>
    <t xml:space="preserve">2.4.1</t>
  </si>
  <si>
    <t xml:space="preserve">2.4.2</t>
  </si>
  <si>
    <t xml:space="preserve">2.4.3</t>
  </si>
  <si>
    <t xml:space="preserve">2.4.4</t>
  </si>
  <si>
    <t xml:space="preserve">Bê tông cửa thu M250, đá 1x2</t>
  </si>
  <si>
    <t xml:space="preserve">2.4.5</t>
  </si>
  <si>
    <t xml:space="preserve">2.4.6</t>
  </si>
  <si>
    <t xml:space="preserve">Song chắn rác bằng gang</t>
  </si>
  <si>
    <t xml:space="preserve">2.4.7</t>
  </si>
  <si>
    <t xml:space="preserve">Lắp đặt song chắn rác</t>
  </si>
  <si>
    <t xml:space="preserve">2.5</t>
  </si>
  <si>
    <t xml:space="preserve">Phần cửa thu loại 2</t>
  </si>
  <si>
    <t xml:space="preserve">2.5.1</t>
  </si>
  <si>
    <t xml:space="preserve">2.5.2</t>
  </si>
  <si>
    <t xml:space="preserve">2.5.3</t>
  </si>
  <si>
    <t xml:space="preserve">2.5.4</t>
  </si>
  <si>
    <t xml:space="preserve">2.5.5</t>
  </si>
  <si>
    <t xml:space="preserve">2.5.6</t>
  </si>
  <si>
    <t xml:space="preserve">2.5.7</t>
  </si>
  <si>
    <t xml:space="preserve">2.5.8</t>
  </si>
  <si>
    <t xml:space="preserve">3</t>
  </si>
  <si>
    <t xml:space="preserve">HẠNG MỤC: THOÁT NƯỚC THẢI</t>
  </si>
  <si>
    <t xml:space="preserve">3.1</t>
  </si>
  <si>
    <t xml:space="preserve">Phần cống D300</t>
  </si>
  <si>
    <t xml:space="preserve">3.1.1</t>
  </si>
  <si>
    <t xml:space="preserve">Ống cống BTCT D300 H10</t>
  </si>
  <si>
    <t xml:space="preserve">m</t>
  </si>
  <si>
    <t xml:space="preserve">3.1.2</t>
  </si>
  <si>
    <t xml:space="preserve">Ống cống BTCT D300 HL93</t>
  </si>
  <si>
    <t xml:space="preserve">3.1.3</t>
  </si>
  <si>
    <t xml:space="preserve">Lắp đặt ống cống</t>
  </si>
  <si>
    <t xml:space="preserve">3.1.4</t>
  </si>
  <si>
    <t xml:space="preserve">Ván khuôn gối cống</t>
  </si>
  <si>
    <t xml:space="preserve">3.1.5</t>
  </si>
  <si>
    <t xml:space="preserve">Cốt thép gối cống, ĐK ≤10mm</t>
  </si>
  <si>
    <t xml:space="preserve">3.1.6</t>
  </si>
  <si>
    <t xml:space="preserve">Bê tông gối cống M250, đá 1x2</t>
  </si>
  <si>
    <t xml:space="preserve">3.1.7</t>
  </si>
  <si>
    <t xml:space="preserve">Lắp đặt gối cống</t>
  </si>
  <si>
    <t xml:space="preserve">1cấu kiện</t>
  </si>
  <si>
    <t xml:space="preserve">3.1.8</t>
  </si>
  <si>
    <t xml:space="preserve">Gioăng cao su D300mm</t>
  </si>
  <si>
    <t xml:space="preserve">cái</t>
  </si>
  <si>
    <t xml:space="preserve">3.2</t>
  </si>
  <si>
    <t xml:space="preserve">Hệ thống thu gom</t>
  </si>
  <si>
    <t xml:space="preserve">3.2.1</t>
  </si>
  <si>
    <t xml:space="preserve">Lắp đặt ống nhựa PVC - Đường kính 140mm</t>
  </si>
  <si>
    <t xml:space="preserve">100m</t>
  </si>
  <si>
    <t xml:space="preserve">3.2.2</t>
  </si>
  <si>
    <t xml:space="preserve">Lắp đặt ba chạc nhựa PVC - Đường kính 140mm 45o</t>
  </si>
  <si>
    <t xml:space="preserve">3.2.3</t>
  </si>
  <si>
    <t xml:space="preserve">Lắp đặt colơ nhựa PVC - Đường kính 140mm 135o</t>
  </si>
  <si>
    <t xml:space="preserve">3.2.4</t>
  </si>
  <si>
    <t xml:space="preserve">Thử áp lực đường ống nhựa - Đường kính 140mm</t>
  </si>
  <si>
    <t xml:space="preserve">3.3</t>
  </si>
  <si>
    <t xml:space="preserve">Phần hố ga</t>
  </si>
  <si>
    <t xml:space="preserve">3.3.1</t>
  </si>
  <si>
    <t xml:space="preserve">Bê tông lót móng M100, đá 4x6</t>
  </si>
  <si>
    <t xml:space="preserve">3.3.2</t>
  </si>
  <si>
    <t xml:space="preserve">3.3.3</t>
  </si>
  <si>
    <t xml:space="preserve">3.3.4</t>
  </si>
  <si>
    <t xml:space="preserve">Láng vữa XM M100</t>
  </si>
  <si>
    <t xml:space="preserve">3.3.5</t>
  </si>
  <si>
    <t xml:space="preserve">3.3.6</t>
  </si>
  <si>
    <t xml:space="preserve">3.3.7</t>
  </si>
  <si>
    <t xml:space="preserve">Ván khuôn mũ mố</t>
  </si>
  <si>
    <t xml:space="preserve">3.3.8</t>
  </si>
  <si>
    <t xml:space="preserve">3.3.9</t>
  </si>
  <si>
    <t xml:space="preserve">3.3.10</t>
  </si>
  <si>
    <t xml:space="preserve">3.3.11</t>
  </si>
  <si>
    <t xml:space="preserve">Lắp dựng tấm đan</t>
  </si>
  <si>
    <t xml:space="preserve">4</t>
  </si>
  <si>
    <t xml:space="preserve">HẠNG MỤC: TUYNEN DỌC TUYẾN</t>
  </si>
  <si>
    <t xml:space="preserve">4.1</t>
  </si>
  <si>
    <t xml:space="preserve">Phần hố thăm tuynel dọc tuyến</t>
  </si>
  <si>
    <t xml:space="preserve">4.1.1</t>
  </si>
  <si>
    <t xml:space="preserve">4.1.2</t>
  </si>
  <si>
    <t xml:space="preserve">Bê tông móng M150, đá 1x2</t>
  </si>
  <si>
    <t xml:space="preserve">4.1.3</t>
  </si>
  <si>
    <t xml:space="preserve">4.1.4</t>
  </si>
  <si>
    <t xml:space="preserve">4.1.5</t>
  </si>
  <si>
    <t xml:space="preserve">4.1.6</t>
  </si>
  <si>
    <t xml:space="preserve">4.1.7</t>
  </si>
  <si>
    <t xml:space="preserve">4.1.8</t>
  </si>
  <si>
    <t xml:space="preserve">4.1.9</t>
  </si>
  <si>
    <t xml:space="preserve">4.1.10</t>
  </si>
  <si>
    <t xml:space="preserve">4.1.11</t>
  </si>
  <si>
    <t xml:space="preserve">Bê tông tấm đan M250, đá 1x2, PCB40</t>
  </si>
  <si>
    <t xml:space="preserve">4.1.12</t>
  </si>
  <si>
    <t xml:space="preserve">4.1.13</t>
  </si>
  <si>
    <t xml:space="preserve">4.2</t>
  </si>
  <si>
    <t xml:space="preserve">Phần tuynel dọc tuyến</t>
  </si>
  <si>
    <t xml:space="preserve">4.2.1</t>
  </si>
  <si>
    <t xml:space="preserve">4.2.2</t>
  </si>
  <si>
    <t xml:space="preserve">4.2.3</t>
  </si>
  <si>
    <t xml:space="preserve">4.2.4</t>
  </si>
  <si>
    <t xml:space="preserve">4.2.5</t>
  </si>
  <si>
    <t xml:space="preserve">4.2.6</t>
  </si>
  <si>
    <t xml:space="preserve">4.2.7</t>
  </si>
  <si>
    <t xml:space="preserve">Lắp đặt ống nhựa uPVC - Đường kính 48mm</t>
  </si>
  <si>
    <t xml:space="preserve">4.2.8</t>
  </si>
  <si>
    <t xml:space="preserve">Lắp đặt bịt nhựa uPVC - Đường kính 48mm</t>
  </si>
  <si>
    <t xml:space="preserve">4.2.9</t>
  </si>
  <si>
    <t xml:space="preserve">Lắp đặt ống nhựa uPVC - Đường kính 75mm</t>
  </si>
  <si>
    <t xml:space="preserve">4.2.10</t>
  </si>
  <si>
    <t xml:space="preserve">Lắp đặt bịt nhựa uPVC - Đường kính 75mm</t>
  </si>
  <si>
    <t xml:space="preserve">4.2.11</t>
  </si>
  <si>
    <t xml:space="preserve">Thép đỡ ống, ĐK 14mm</t>
  </si>
  <si>
    <t xml:space="preserve">4.2.12</t>
  </si>
  <si>
    <t xml:space="preserve">4.2.13</t>
  </si>
  <si>
    <t xml:space="preserve">4.2.14</t>
  </si>
  <si>
    <t xml:space="preserve">4.2.15</t>
  </si>
  <si>
    <t xml:space="preserve">4.2.16</t>
  </si>
  <si>
    <t xml:space="preserve">Lắp đặt ống thép tráng kẽm- Đường kính 200mm</t>
  </si>
  <si>
    <t xml:space="preserve">5</t>
  </si>
  <si>
    <t xml:space="preserve">HẠNG MỤC: LÁT HÈ, BÓ VĨA, ĐAN RÃNH, KHÓA HÈ, HỐ TRỒNG CÂY</t>
  </si>
  <si>
    <t xml:space="preserve">5.1</t>
  </si>
  <si>
    <t xml:space="preserve">Lát hè bằng gạch giả đá</t>
  </si>
  <si>
    <t xml:space="preserve">5.1.1</t>
  </si>
  <si>
    <t xml:space="preserve">Nilong lót chống mất nước</t>
  </si>
  <si>
    <t xml:space="preserve">5.1.2</t>
  </si>
  <si>
    <t xml:space="preserve">Bê tông móng hè M150, đá 1x2, PCB40</t>
  </si>
  <si>
    <t xml:space="preserve">5.1.3</t>
  </si>
  <si>
    <t xml:space="preserve">Lát hè bằng gạch giả đá KT: 400x400x50mm</t>
  </si>
  <si>
    <t xml:space="preserve">5.2</t>
  </si>
  <si>
    <t xml:space="preserve">Bó vỉa bê tông thẳng</t>
  </si>
  <si>
    <t xml:space="preserve">5.2.1</t>
  </si>
  <si>
    <t xml:space="preserve">Ván khuôn móng bó vỉa</t>
  </si>
  <si>
    <t xml:space="preserve">5.2.2</t>
  </si>
  <si>
    <t xml:space="preserve">Bê tông móng bó vỉa M150, đá 1x2</t>
  </si>
  <si>
    <t xml:space="preserve">5.2.3</t>
  </si>
  <si>
    <t xml:space="preserve">Vữa đệm bó vỉa dày 2cm, vữa XM M75</t>
  </si>
  <si>
    <t xml:space="preserve">5.2.4</t>
  </si>
  <si>
    <t xml:space="preserve">Ván khuôn bó vỉa</t>
  </si>
  <si>
    <t xml:space="preserve">5.2.5</t>
  </si>
  <si>
    <t xml:space="preserve">Bê tông bó vỉa M250, đá 1x2</t>
  </si>
  <si>
    <t xml:space="preserve">5.2.6</t>
  </si>
  <si>
    <t xml:space="preserve">Lắp đặt bó vỉa</t>
  </si>
  <si>
    <t xml:space="preserve">5.3</t>
  </si>
  <si>
    <t xml:space="preserve">Bó vỉa bê tông cong</t>
  </si>
  <si>
    <t xml:space="preserve">5.3.1</t>
  </si>
  <si>
    <t xml:space="preserve">5.3.2</t>
  </si>
  <si>
    <t xml:space="preserve">5.3.3</t>
  </si>
  <si>
    <t xml:space="preserve">5.3.4</t>
  </si>
  <si>
    <t xml:space="preserve">5.3.5</t>
  </si>
  <si>
    <t xml:space="preserve">5.3.6</t>
  </si>
  <si>
    <t xml:space="preserve">5.4</t>
  </si>
  <si>
    <t xml:space="preserve">Khóa hè</t>
  </si>
  <si>
    <t xml:space="preserve">5.4.1</t>
  </si>
  <si>
    <t xml:space="preserve">Ván khuôn móng khóa hè</t>
  </si>
  <si>
    <t xml:space="preserve">5.4.2</t>
  </si>
  <si>
    <t xml:space="preserve">Bê tông móng khóa hè M150, đá 1x2</t>
  </si>
  <si>
    <t xml:space="preserve">5.4.3</t>
  </si>
  <si>
    <t xml:space="preserve">Xây thành khóa hè bằng gạch không nung, vữa XM M75,</t>
  </si>
  <si>
    <t xml:space="preserve">5.4.4</t>
  </si>
  <si>
    <t xml:space="preserve">Trát thành khóa hè, Vữa XM M75</t>
  </si>
  <si>
    <t xml:space="preserve">5.5</t>
  </si>
  <si>
    <t xml:space="preserve">Hố trồng cây</t>
  </si>
  <si>
    <t xml:space="preserve">5.5.1</t>
  </si>
  <si>
    <t xml:space="preserve">Ván khuôn móng hố trồng cây</t>
  </si>
  <si>
    <t xml:space="preserve">5.5.2</t>
  </si>
  <si>
    <t xml:space="preserve">5.5.3</t>
  </si>
  <si>
    <t xml:space="preserve">Bê tông thành M200, đá 1x2</t>
  </si>
  <si>
    <t xml:space="preserve">5.5.4</t>
  </si>
  <si>
    <t xml:space="preserve">Vữa đệm dày 2cm, vữa XM M75</t>
  </si>
  <si>
    <t xml:space="preserve">5.6</t>
  </si>
  <si>
    <t xml:space="preserve">Đan rãnh</t>
  </si>
  <si>
    <t xml:space="preserve">5.6.1</t>
  </si>
  <si>
    <t xml:space="preserve">5.6.2</t>
  </si>
  <si>
    <t xml:space="preserve">5.6.3</t>
  </si>
  <si>
    <t xml:space="preserve">Móng cấp phối đá dăm loại 2</t>
  </si>
  <si>
    <t xml:space="preserve">5.6.4</t>
  </si>
  <si>
    <t xml:space="preserve">Móng cấp phối đá dăm loại 1</t>
  </si>
  <si>
    <t xml:space="preserve">5.6.5</t>
  </si>
  <si>
    <t xml:space="preserve">Bê tông đan rãnh M250, đá 1x2</t>
  </si>
  <si>
    <t xml:space="preserve">6</t>
  </si>
  <si>
    <t xml:space="preserve">HẠNG MỤC: CẦU KHẨU ĐỘ 12M</t>
  </si>
  <si>
    <t xml:space="preserve">Dầm bản DƯL L=12m:</t>
  </si>
  <si>
    <t xml:space="preserve">6.1.1</t>
  </si>
  <si>
    <t xml:space="preserve">Bê tông dầm chủ 40Mpa</t>
  </si>
  <si>
    <t xml:space="preserve">6.1.2</t>
  </si>
  <si>
    <t xml:space="preserve">Sản xuất, vận chuyển vữa bê tông</t>
  </si>
  <si>
    <t xml:space="preserve">6.1.3</t>
  </si>
  <si>
    <t xml:space="preserve">Cáp dự ứng lực D12,7mm</t>
  </si>
  <si>
    <t xml:space="preserve">6.1.4</t>
  </si>
  <si>
    <t xml:space="preserve">Ống nhựa bọc cáp D18/22</t>
  </si>
  <si>
    <t xml:space="preserve">6.1.5</t>
  </si>
  <si>
    <t xml:space="preserve">Ống tôn tạo lỗ dày 1mm</t>
  </si>
  <si>
    <t xml:space="preserve">6.1.6</t>
  </si>
  <si>
    <t xml:space="preserve">Lắp đặt ống tôn tạo lỗ</t>
  </si>
  <si>
    <t xml:space="preserve">6.1.7</t>
  </si>
  <si>
    <t xml:space="preserve">Keo Epoxy quét đầu dầm</t>
  </si>
  <si>
    <t xml:space="preserve">6.1.8</t>
  </si>
  <si>
    <t xml:space="preserve">Cốt thép dầm cầu ĐK ≤18mm</t>
  </si>
  <si>
    <t xml:space="preserve">6.1.9</t>
  </si>
  <si>
    <t xml:space="preserve">Cốt thép dầm cầu ĐK &gt;18mm</t>
  </si>
  <si>
    <t xml:space="preserve">6.1.10</t>
  </si>
  <si>
    <t xml:space="preserve">Lắp đặt gối cầu cao su</t>
  </si>
  <si>
    <t xml:space="preserve">6.1.11</t>
  </si>
  <si>
    <t xml:space="preserve">Ván khuôn dầm</t>
  </si>
  <si>
    <t xml:space="preserve">6.1.12</t>
  </si>
  <si>
    <t xml:space="preserve">Đầu neo kéo (luân chuyển các dầm)</t>
  </si>
  <si>
    <t xml:space="preserve">6.1.13</t>
  </si>
  <si>
    <t xml:space="preserve">Lắp đặt neo cáp dự ứng lực</t>
  </si>
  <si>
    <t xml:space="preserve">đầu neo</t>
  </si>
  <si>
    <t xml:space="preserve">Bản mặt cầu</t>
  </si>
  <si>
    <t xml:space="preserve">6.2.1</t>
  </si>
  <si>
    <t xml:space="preserve">Bê tông bản mặt cầu 30Mpa</t>
  </si>
  <si>
    <t xml:space="preserve">6.2.2</t>
  </si>
  <si>
    <t xml:space="preserve">6.2.3</t>
  </si>
  <si>
    <t xml:space="preserve">Cốt thép bản mặt cầu ĐK ≤10mm</t>
  </si>
  <si>
    <t xml:space="preserve">6.2.4</t>
  </si>
  <si>
    <t xml:space="preserve">Cốt thép bản mặt cầu ĐK ≤18mm</t>
  </si>
  <si>
    <t xml:space="preserve">6.2.5</t>
  </si>
  <si>
    <t xml:space="preserve">Ván khuôn bản mặt cầu</t>
  </si>
  <si>
    <t xml:space="preserve">6.3</t>
  </si>
  <si>
    <t xml:space="preserve">Đà giáo thi công</t>
  </si>
  <si>
    <t xml:space="preserve">6.3.1</t>
  </si>
  <si>
    <t xml:space="preserve">Gia công hệ khung dàn</t>
  </si>
  <si>
    <t xml:space="preserve">6.3.2</t>
  </si>
  <si>
    <t xml:space="preserve">Gia công hệ đà giáo thi công</t>
  </si>
  <si>
    <t xml:space="preserve">6.3.3</t>
  </si>
  <si>
    <t xml:space="preserve">Lắp dựng kết cấu thép hệ đà giáo thi công</t>
  </si>
  <si>
    <t xml:space="preserve">6.3.4</t>
  </si>
  <si>
    <t xml:space="preserve">Tháo dỡ kết cấu thép hệ đà giáo thi công</t>
  </si>
  <si>
    <t xml:space="preserve">6.4</t>
  </si>
  <si>
    <t xml:space="preserve">Lan can, gờ chắn bánh ngoài toàn cầu:</t>
  </si>
  <si>
    <t xml:space="preserve">6.4.1</t>
  </si>
  <si>
    <t xml:space="preserve">Bê tông lan can, gờ chắn 25Mpa</t>
  </si>
  <si>
    <t xml:space="preserve">6.4.2</t>
  </si>
  <si>
    <t xml:space="preserve">Lắp dựng cốt thép lan can, gờ chắn, ĐK ≤18mm</t>
  </si>
  <si>
    <t xml:space="preserve">6.4.3</t>
  </si>
  <si>
    <t xml:space="preserve">Ván khuôn lan can</t>
  </si>
  <si>
    <t xml:space="preserve">6.4.4</t>
  </si>
  <si>
    <t xml:space="preserve">Gia công lan can</t>
  </si>
  <si>
    <t xml:space="preserve">6.4.5</t>
  </si>
  <si>
    <t xml:space="preserve">Lắp dựng lan can</t>
  </si>
  <si>
    <t xml:space="preserve">6.4.6</t>
  </si>
  <si>
    <t xml:space="preserve">Bulong M22</t>
  </si>
  <si>
    <t xml:space="preserve">6.4.7</t>
  </si>
  <si>
    <t xml:space="preserve">Lắp đặt ống nhựa uPVC - Đường kính 110mm</t>
  </si>
  <si>
    <t xml:space="preserve">6.5</t>
  </si>
  <si>
    <t xml:space="preserve">Lớp phủ mặt cầu</t>
  </si>
  <si>
    <t xml:space="preserve">6.5.1</t>
  </si>
  <si>
    <t xml:space="preserve">6.5.2</t>
  </si>
  <si>
    <t xml:space="preserve">6.5.3</t>
  </si>
  <si>
    <t xml:space="preserve">6.5.4</t>
  </si>
  <si>
    <t xml:space="preserve">6.5.5</t>
  </si>
  <si>
    <t xml:space="preserve">6.5.6</t>
  </si>
  <si>
    <t xml:space="preserve">Sơn phòng nước mặt cầu</t>
  </si>
  <si>
    <t xml:space="preserve">1m2</t>
  </si>
  <si>
    <t xml:space="preserve">6.6</t>
  </si>
  <si>
    <t xml:space="preserve">Khe co giãn:</t>
  </si>
  <si>
    <t xml:space="preserve">6.6.1</t>
  </si>
  <si>
    <t xml:space="preserve">Lắp đặt khe co giãn răng lược</t>
  </si>
  <si>
    <t xml:space="preserve">6.6.2</t>
  </si>
  <si>
    <t xml:space="preserve">Cốt thép khe co giãn, ĐK ≤18mm</t>
  </si>
  <si>
    <t xml:space="preserve">6.6.3</t>
  </si>
  <si>
    <t xml:space="preserve">Gia công tấm chụp khe co giãn</t>
  </si>
  <si>
    <t xml:space="preserve">6.6.4</t>
  </si>
  <si>
    <t xml:space="preserve">Lắp đặt thép hình, thép bản khe co giãn</t>
  </si>
  <si>
    <t xml:space="preserve">6.6.5</t>
  </si>
  <si>
    <t xml:space="preserve">Bulong M12</t>
  </si>
  <si>
    <t xml:space="preserve">6.6.6</t>
  </si>
  <si>
    <t xml:space="preserve">Vữa không co ngót</t>
  </si>
  <si>
    <t xml:space="preserve">6.7</t>
  </si>
  <si>
    <t xml:space="preserve">Thoát nước mặt cầu</t>
  </si>
  <si>
    <t xml:space="preserve">6.7.1</t>
  </si>
  <si>
    <t xml:space="preserve">Bộ thoát nước</t>
  </si>
  <si>
    <t xml:space="preserve">6.7.2</t>
  </si>
  <si>
    <t xml:space="preserve">Lắp đặt bộ thoát nước</t>
  </si>
  <si>
    <t xml:space="preserve">6.7.3</t>
  </si>
  <si>
    <t xml:space="preserve">Nắp đậy</t>
  </si>
  <si>
    <t xml:space="preserve">6.7.4</t>
  </si>
  <si>
    <t xml:space="preserve">Thép đai định vị</t>
  </si>
  <si>
    <t xml:space="preserve">6.7.5</t>
  </si>
  <si>
    <t xml:space="preserve">6.8</t>
  </si>
  <si>
    <t xml:space="preserve">Mố, trụ cầu</t>
  </si>
  <si>
    <t xml:space="preserve">6.8.1</t>
  </si>
  <si>
    <t xml:space="preserve">Bê tông lót 12Mpa</t>
  </si>
  <si>
    <t xml:space="preserve">6.8.2</t>
  </si>
  <si>
    <t xml:space="preserve">Bê tông mố, trụ cầu 30Mpa</t>
  </si>
  <si>
    <t xml:space="preserve">6.8.3</t>
  </si>
  <si>
    <t xml:space="preserve">6.8.4</t>
  </si>
  <si>
    <t xml:space="preserve">Lắp dựng cốt thép mố, trụ ĐK ≤10mm</t>
  </si>
  <si>
    <t xml:space="preserve">6.8.5</t>
  </si>
  <si>
    <t xml:space="preserve">Cốt thép mố, trụ ĐK ≤18mm</t>
  </si>
  <si>
    <t xml:space="preserve">6.8.6</t>
  </si>
  <si>
    <t xml:space="preserve">Cốt thép mố, trụ ĐK &gt;18mm</t>
  </si>
  <si>
    <t xml:space="preserve">6.8.7</t>
  </si>
  <si>
    <t xml:space="preserve">Ván khuôn mố, trụ</t>
  </si>
  <si>
    <t xml:space="preserve">6.8.8</t>
  </si>
  <si>
    <t xml:space="preserve">Vữa không co ngót (Sika grout 214-11)</t>
  </si>
  <si>
    <t xml:space="preserve">6.8.9</t>
  </si>
  <si>
    <t xml:space="preserve">Quét nhựa đường lòng mố</t>
  </si>
  <si>
    <t xml:space="preserve">6.9</t>
  </si>
  <si>
    <t xml:space="preserve">Mặt đường trên mố</t>
  </si>
  <si>
    <t xml:space="preserve">6.9.1</t>
  </si>
  <si>
    <t xml:space="preserve">6.9.2</t>
  </si>
  <si>
    <t xml:space="preserve">6.9.3</t>
  </si>
  <si>
    <t xml:space="preserve">6.9.4</t>
  </si>
  <si>
    <t xml:space="preserve">6.9.5</t>
  </si>
  <si>
    <t xml:space="preserve">6.9.6</t>
  </si>
  <si>
    <t xml:space="preserve">6.9.7</t>
  </si>
  <si>
    <t xml:space="preserve">6.9.8</t>
  </si>
  <si>
    <t xml:space="preserve">Lắp đặt biển báo chữ nhật, biển báo tên cầu</t>
  </si>
  <si>
    <t xml:space="preserve">6.9.9</t>
  </si>
  <si>
    <t xml:space="preserve">Đắp đất lòng mố, K = 0,95</t>
  </si>
  <si>
    <t xml:space="preserve">6.10</t>
  </si>
  <si>
    <t xml:space="preserve">Bản quá độ:</t>
  </si>
  <si>
    <t xml:space="preserve">6.10.1</t>
  </si>
  <si>
    <t xml:space="preserve">Bê tông bản quá độ 25Mpa</t>
  </si>
  <si>
    <t xml:space="preserve">6.10.2</t>
  </si>
  <si>
    <t xml:space="preserve">6.10.3</t>
  </si>
  <si>
    <t xml:space="preserve">Cốt thép bản quá độ ĐK ≤10mm</t>
  </si>
  <si>
    <t xml:space="preserve">6.10.4</t>
  </si>
  <si>
    <t xml:space="preserve">Cốt thép bản quá độ ĐK ≤18mm</t>
  </si>
  <si>
    <t xml:space="preserve">6.10.5</t>
  </si>
  <si>
    <t xml:space="preserve">Cốt thép bản quá độ ĐK &gt;18mm</t>
  </si>
  <si>
    <t xml:space="preserve">6.10.6</t>
  </si>
  <si>
    <t xml:space="preserve">Ván khuôn bản quá độ</t>
  </si>
  <si>
    <t xml:space="preserve">6.10.7</t>
  </si>
  <si>
    <t xml:space="preserve">6.10.8</t>
  </si>
  <si>
    <t xml:space="preserve">Nhựa đường</t>
  </si>
  <si>
    <t xml:space="preserve">kg</t>
  </si>
  <si>
    <t xml:space="preserve">6.10.9</t>
  </si>
  <si>
    <t xml:space="preserve">Lắp đặt ống nhựa uPVC - Đường kính 34mm</t>
  </si>
  <si>
    <t xml:space="preserve">6.11</t>
  </si>
  <si>
    <t xml:space="preserve">Cọc ép</t>
  </si>
  <si>
    <t xml:space="preserve">6.11.1</t>
  </si>
  <si>
    <t xml:space="preserve">Bê tông cọc 25Mpa</t>
  </si>
  <si>
    <t xml:space="preserve">6.11.2</t>
  </si>
  <si>
    <t xml:space="preserve">6.11.3</t>
  </si>
  <si>
    <t xml:space="preserve">Gia công cấu kiện thép đặt sẵn trong bê tông</t>
  </si>
  <si>
    <t xml:space="preserve">6.11.4</t>
  </si>
  <si>
    <t xml:space="preserve">Lắp đặt cấu kiện thép đặt sẵn trong bê tông</t>
  </si>
  <si>
    <t xml:space="preserve">6.11.5</t>
  </si>
  <si>
    <t xml:space="preserve">Gia công, lắp đặt cốt thép cọc, ĐK ≤10mm</t>
  </si>
  <si>
    <t xml:space="preserve">6.11.6</t>
  </si>
  <si>
    <t xml:space="preserve">Gia công, lắp đặt cốt thép cọc, ĐK ≤18mm</t>
  </si>
  <si>
    <t xml:space="preserve">6.11.7</t>
  </si>
  <si>
    <t xml:space="preserve">Gia công, lắp đặt cốt thép cọc, ĐK &gt;18mm</t>
  </si>
  <si>
    <t xml:space="preserve">6.11.8</t>
  </si>
  <si>
    <t xml:space="preserve">Gia công, lắp dựng, tháo dỡ ván khuôn kim loại, ván khuôn cọc</t>
  </si>
  <si>
    <t xml:space="preserve">6.11.9</t>
  </si>
  <si>
    <t xml:space="preserve">Ép trước cọc BTCT bằng máy ép cọc</t>
  </si>
  <si>
    <t xml:space="preserve">6.11.10</t>
  </si>
  <si>
    <t xml:space="preserve">Nối cọc vuông bê tông cốt thép</t>
  </si>
  <si>
    <t xml:space="preserve">1 mối nối</t>
  </si>
  <si>
    <t xml:space="preserve">6.12</t>
  </si>
  <si>
    <t xml:space="preserve">Thí nghiệm cọc</t>
  </si>
  <si>
    <t xml:space="preserve">6.12.1</t>
  </si>
  <si>
    <t xml:space="preserve">Thí nghiệm nén tĩnh thử tải cọc bê tông bằng P/P cọc neo</t>
  </si>
  <si>
    <t xml:space="preserve">lần TN</t>
  </si>
  <si>
    <t xml:space="preserve">6.13</t>
  </si>
  <si>
    <t xml:space="preserve">Chốt neo dầm:</t>
  </si>
  <si>
    <t xml:space="preserve">6.13.1</t>
  </si>
  <si>
    <t xml:space="preserve">Cốt thép D&lt;=10mm</t>
  </si>
  <si>
    <t xml:space="preserve">6.13.2</t>
  </si>
  <si>
    <t xml:space="preserve">Cốt thép D&gt;=18mm</t>
  </si>
  <si>
    <t xml:space="preserve">6.13.3</t>
  </si>
  <si>
    <t xml:space="preserve">Tôn dày 2mm</t>
  </si>
  <si>
    <t xml:space="preserve">6.13.4</t>
  </si>
  <si>
    <t xml:space="preserve">Lắp đặt tôn</t>
  </si>
  <si>
    <t xml:space="preserve">6.13.5</t>
  </si>
  <si>
    <t xml:space="preserve">6.13.6</t>
  </si>
  <si>
    <t xml:space="preserve">6.14</t>
  </si>
  <si>
    <t xml:space="preserve">Tổ chức thi công</t>
  </si>
  <si>
    <t xml:space="preserve">6.14.1</t>
  </si>
  <si>
    <t xml:space="preserve">Đắp đất thi công, độ chặt Y/C K = 0,95</t>
  </si>
  <si>
    <t xml:space="preserve">6.14.2</t>
  </si>
  <si>
    <t xml:space="preserve">Đào đất hố móng</t>
  </si>
  <si>
    <t xml:space="preserve">6.14.3</t>
  </si>
  <si>
    <t xml:space="preserve">Đắp đất móng mố, độ chặt Y/C K = 0,95</t>
  </si>
  <si>
    <t xml:space="preserve">6.14.4</t>
  </si>
  <si>
    <t xml:space="preserve">Bơm nước hố móng</t>
  </si>
  <si>
    <t xml:space="preserve">ca</t>
  </si>
  <si>
    <t xml:space="preserve">6.14.5</t>
  </si>
  <si>
    <t xml:space="preserve">Ép cừ Larsen</t>
  </si>
  <si>
    <t xml:space="preserve">6.14.6</t>
  </si>
  <si>
    <t xml:space="preserve">Nhổ cừ Larsen</t>
  </si>
  <si>
    <t xml:space="preserve">6.14.7</t>
  </si>
  <si>
    <t xml:space="preserve">Khấu hao cọc định vị</t>
  </si>
  <si>
    <t xml:space="preserve">6.14.8</t>
  </si>
  <si>
    <t xml:space="preserve">6.14.9</t>
  </si>
  <si>
    <t xml:space="preserve">6.14.10</t>
  </si>
  <si>
    <t xml:space="preserve">6.14.11</t>
  </si>
  <si>
    <t xml:space="preserve">6.14.12</t>
  </si>
  <si>
    <t xml:space="preserve">Ván lát sàn gỗ</t>
  </si>
  <si>
    <t xml:space="preserve">1m3</t>
  </si>
  <si>
    <t xml:space="preserve">6.14.13</t>
  </si>
  <si>
    <t xml:space="preserve">Đập đầu cọc bê tông</t>
  </si>
  <si>
    <t xml:space="preserve">6.14.14</t>
  </si>
  <si>
    <t xml:space="preserve">Đào san thanh thải đất</t>
  </si>
  <si>
    <t xml:space="preserve">6.15</t>
  </si>
  <si>
    <t xml:space="preserve">Thi công nhịp:</t>
  </si>
  <si>
    <t xml:space="preserve">6.15.1</t>
  </si>
  <si>
    <t xml:space="preserve">Lao lắp dầm bê tông</t>
  </si>
  <si>
    <t xml:space="preserve">1 dầm</t>
  </si>
  <si>
    <t xml:space="preserve">6.16</t>
  </si>
  <si>
    <t xml:space="preserve">Bệ đúc dầm:</t>
  </si>
  <si>
    <t xml:space="preserve">6.16.1</t>
  </si>
  <si>
    <t xml:space="preserve">6.16.2</t>
  </si>
  <si>
    <t xml:space="preserve">Bê tông móng 15Mpa</t>
  </si>
  <si>
    <t xml:space="preserve">6.16.3</t>
  </si>
  <si>
    <t xml:space="preserve">Bê tông bệ đúc 25Mpa</t>
  </si>
  <si>
    <t xml:space="preserve">6.16.4</t>
  </si>
  <si>
    <t xml:space="preserve">Cốt thép bệ đúc ĐK ≤10mm</t>
  </si>
  <si>
    <t xml:space="preserve">6.16.5</t>
  </si>
  <si>
    <t xml:space="preserve">Ván khuôn</t>
  </si>
  <si>
    <t xml:space="preserve">6.16.6</t>
  </si>
  <si>
    <t xml:space="preserve">Khấu hao thép hình, thép bản bệ đúc</t>
  </si>
  <si>
    <t xml:space="preserve">6.16.7</t>
  </si>
  <si>
    <t xml:space="preserve">Lắp dựng thép hình, thép bản</t>
  </si>
  <si>
    <t xml:space="preserve">6.16.8</t>
  </si>
  <si>
    <t xml:space="preserve">Tháo dỡ thép hình, thép bản</t>
  </si>
  <si>
    <t xml:space="preserve">6.16.9</t>
  </si>
  <si>
    <t xml:space="preserve">Bulong M24</t>
  </si>
  <si>
    <t xml:space="preserve">6.16.10</t>
  </si>
  <si>
    <t xml:space="preserve">Thanh lý bệ đúc</t>
  </si>
  <si>
    <t xml:space="preserve">6.17</t>
  </si>
  <si>
    <t xml:space="preserve">Điều phối đất</t>
  </si>
  <si>
    <t xml:space="preserve">6.17.1</t>
  </si>
  <si>
    <t xml:space="preserve">Đất đắp K95 (mua đất)</t>
  </si>
  <si>
    <t xml:space="preserve">6.17.2</t>
  </si>
  <si>
    <t xml:space="preserve">San bãi thải</t>
  </si>
  <si>
    <t xml:space="preserve">7</t>
  </si>
  <si>
    <t xml:space="preserve">HẠNG MỤC: CẤP NƯỚC SẠCH</t>
  </si>
  <si>
    <t xml:space="preserve">7.1</t>
  </si>
  <si>
    <t xml:space="preserve">Lắp đặt ống nhựa HDPE -đường kính 110mm</t>
  </si>
  <si>
    <t xml:space="preserve">7.2</t>
  </si>
  <si>
    <t xml:space="preserve">Lắp đặt ống nhựa HDPE -đường kính ống 50mm</t>
  </si>
  <si>
    <t xml:space="preserve">100 m</t>
  </si>
  <si>
    <t xml:space="preserve">7.3</t>
  </si>
  <si>
    <t xml:space="preserve">Lắp đặt măng sông nhựa HDPE - Đường kính 50mm</t>
  </si>
  <si>
    <t xml:space="preserve">7.4</t>
  </si>
  <si>
    <t xml:space="preserve">Lắp đặt ống thép đen - Đường kính 150mm</t>
  </si>
  <si>
    <t xml:space="preserve">7.5</t>
  </si>
  <si>
    <t xml:space="preserve">Lắp đặt tê nhựa HDPE D160x110mm</t>
  </si>
  <si>
    <t xml:space="preserve">7.6</t>
  </si>
  <si>
    <t xml:space="preserve">Lắp đặt tê nhựa HDPE D110x110mm</t>
  </si>
  <si>
    <t xml:space="preserve">7.7</t>
  </si>
  <si>
    <t xml:space="preserve">Lắp đặt tê nhựa HDPE D110x50mm</t>
  </si>
  <si>
    <t xml:space="preserve">7.8</t>
  </si>
  <si>
    <t xml:space="preserve">Lắp đặt cút nhựa HDPE D110/90độ</t>
  </si>
  <si>
    <t xml:space="preserve">7.9</t>
  </si>
  <si>
    <t xml:space="preserve">Lắp đặt cút nhựa HDPE D110/135độ</t>
  </si>
  <si>
    <t xml:space="preserve">7.10</t>
  </si>
  <si>
    <t xml:space="preserve">Lắp đặt cút nhựa HDPE D50mm</t>
  </si>
  <si>
    <t xml:space="preserve">7.11</t>
  </si>
  <si>
    <t xml:space="preserve">Lắp đai khởi thuỷ - D110x20mm</t>
  </si>
  <si>
    <t xml:space="preserve">7.12</t>
  </si>
  <si>
    <t xml:space="preserve">Lắp đặt van mặt bích - D100mm</t>
  </si>
  <si>
    <t xml:space="preserve">7.13</t>
  </si>
  <si>
    <t xml:space="preserve">Lắp đặt van ren - Đường kính 40mm</t>
  </si>
  <si>
    <t xml:space="preserve">7.14</t>
  </si>
  <si>
    <t xml:space="preserve">Lắp đặt mối nối mềm EE - D150mm</t>
  </si>
  <si>
    <t xml:space="preserve">7.15</t>
  </si>
  <si>
    <t xml:space="preserve">Lắp đặt mối nối mềm EE - D100mm</t>
  </si>
  <si>
    <t xml:space="preserve">7.16</t>
  </si>
  <si>
    <t xml:space="preserve">Lắp đặt mối nối mềm EB - D100mm</t>
  </si>
  <si>
    <t xml:space="preserve">7.17</t>
  </si>
  <si>
    <t xml:space="preserve">Lắp đặt BU - Đường kính 110mm</t>
  </si>
  <si>
    <t xml:space="preserve">7.18</t>
  </si>
  <si>
    <t xml:space="preserve">Lắp bích thép rỗng - D100mm</t>
  </si>
  <si>
    <t xml:space="preserve">cặp bích</t>
  </si>
  <si>
    <t xml:space="preserve">7.19</t>
  </si>
  <si>
    <t xml:space="preserve">Lắp đặt van mặt bích - D100mm xả cặn</t>
  </si>
  <si>
    <t xml:space="preserve">7.20</t>
  </si>
  <si>
    <t xml:space="preserve">Lắp đặt van xả khí D20</t>
  </si>
  <si>
    <t xml:space="preserve">7.21</t>
  </si>
  <si>
    <t xml:space="preserve">Lắp đặt van 1 chiều mặt bích - D100mm</t>
  </si>
  <si>
    <t xml:space="preserve">7.22</t>
  </si>
  <si>
    <t xml:space="preserve">Lắp đặt lọc rác mặt bích - D100mm</t>
  </si>
  <si>
    <t xml:space="preserve">7.23</t>
  </si>
  <si>
    <t xml:space="preserve">Lắp đặt đồng hồ đo lưu lượng, D100mm</t>
  </si>
  <si>
    <t xml:space="preserve">7.24</t>
  </si>
  <si>
    <t xml:space="preserve">Lắp đặt rắc co-D40mm</t>
  </si>
  <si>
    <t xml:space="preserve">7.25</t>
  </si>
  <si>
    <t xml:space="preserve">Lắp đặt kép tráng kẽm, D40mm</t>
  </si>
  <si>
    <t xml:space="preserve">7.26</t>
  </si>
  <si>
    <t xml:space="preserve">Lắp nút bịt nhựa HDPE- D50mm</t>
  </si>
  <si>
    <t xml:space="preserve">7.27</t>
  </si>
  <si>
    <t xml:space="preserve">Lắp nút bịt nhựa HDPE- D110mm</t>
  </si>
  <si>
    <t xml:space="preserve">7.28</t>
  </si>
  <si>
    <t xml:space="preserve">Lắp đặt măng sông ren ngoài HDPE - Đường kính 50x40mm</t>
  </si>
  <si>
    <t xml:space="preserve">7.29</t>
  </si>
  <si>
    <t xml:space="preserve">Lắp đặt trụ cứu hoả ĐK 100mm loại 3 cửa</t>
  </si>
  <si>
    <t xml:space="preserve">7.30</t>
  </si>
  <si>
    <t xml:space="preserve">Thử áp lực đường ống nhựa - Đường kính 100mm</t>
  </si>
  <si>
    <t xml:space="preserve">7.31</t>
  </si>
  <si>
    <t xml:space="preserve">Thử áp lực đường ống nhựa - Đường kính 50mm</t>
  </si>
  <si>
    <t xml:space="preserve">7.32</t>
  </si>
  <si>
    <t xml:space="preserve">Khử trùng ống nước - D100 và D50mm</t>
  </si>
  <si>
    <t xml:space="preserve">7.33</t>
  </si>
  <si>
    <t xml:space="preserve">Đai ôm Inox sus 304 ống trong hộp kỹ thuật</t>
  </si>
  <si>
    <t xml:space="preserve">7.34</t>
  </si>
  <si>
    <t xml:space="preserve">Nước xúc xả thau rửa ống</t>
  </si>
  <si>
    <t xml:space="preserve">7.35</t>
  </si>
  <si>
    <t xml:space="preserve">Đào kênh mương, rãnh thoát nước, đường ống, đường cáp</t>
  </si>
  <si>
    <t xml:space="preserve">7.36</t>
  </si>
  <si>
    <t xml:space="preserve">Đắp đất, độ chặt Y/C K = 0,90</t>
  </si>
  <si>
    <t xml:space="preserve">7.37</t>
  </si>
  <si>
    <t xml:space="preserve">Đắp móng đường ống</t>
  </si>
  <si>
    <t xml:space="preserve">7.38</t>
  </si>
  <si>
    <t xml:space="preserve">Vận chuyển đất</t>
  </si>
  <si>
    <t xml:space="preserve">7.39</t>
  </si>
  <si>
    <t xml:space="preserve">Lắp đặt lưới cảnh báo ( Băng báo hiệu ống cấp nước)</t>
  </si>
  <si>
    <t xml:space="preserve">7.40</t>
  </si>
  <si>
    <t xml:space="preserve">Đào móng cột, trụ, hố kiểm tra</t>
  </si>
  <si>
    <t xml:space="preserve">7.41</t>
  </si>
  <si>
    <t xml:space="preserve">Bê tông bệ máy, M250, đá 1x2</t>
  </si>
  <si>
    <t xml:space="preserve">7.42</t>
  </si>
  <si>
    <t xml:space="preserve">Bê tông lanh tô, lanh tô liền mái hắt, máng nước, tấm đan, ô văng, bê tông M250, đá 1x2</t>
  </si>
  <si>
    <t xml:space="preserve">7.43</t>
  </si>
  <si>
    <t xml:space="preserve">7.44</t>
  </si>
  <si>
    <t xml:space="preserve">Lắp dựng cốt thép lanh tô liền mái hắt, máng nước, ĐK ≤10mm</t>
  </si>
  <si>
    <t xml:space="preserve">7.45</t>
  </si>
  <si>
    <t xml:space="preserve">7.46</t>
  </si>
  <si>
    <t xml:space="preserve">Xây hố van, hố ga bằng gạch không nung, vữa XM M75</t>
  </si>
  <si>
    <t xml:space="preserve">7.47</t>
  </si>
  <si>
    <t xml:space="preserve">Trát tường ngoài, vữa XM M100</t>
  </si>
  <si>
    <t xml:space="preserve">7.48</t>
  </si>
  <si>
    <t xml:space="preserve">Trát tường trong, vữa XM M100</t>
  </si>
  <si>
    <t xml:space="preserve">7.49</t>
  </si>
  <si>
    <t xml:space="preserve">Ván khuôn gỗ lanh tô, lanh tô liền mái hắt, máng nước, tấm đan</t>
  </si>
  <si>
    <t xml:space="preserve">7.50</t>
  </si>
  <si>
    <t xml:space="preserve">7.51</t>
  </si>
  <si>
    <t xml:space="preserve">Lắp các loại CKBT đúc sẵn</t>
  </si>
  <si>
    <t xml:space="preserve">8</t>
  </si>
  <si>
    <t xml:space="preserve">HẠNG MỤC: ĐƯỜNG ĐIỆN TRUNG ÁP XÂY DỰNG MỚI</t>
  </si>
  <si>
    <t xml:space="preserve">8.1</t>
  </si>
  <si>
    <t xml:space="preserve">Xà phụ 1 XP-1</t>
  </si>
  <si>
    <t xml:space="preserve">Bộ</t>
  </si>
  <si>
    <t xml:space="preserve">8.2</t>
  </si>
  <si>
    <t xml:space="preserve">Xà phụ 3 XP-3</t>
  </si>
  <si>
    <t xml:space="preserve">8.3</t>
  </si>
  <si>
    <t xml:space="preserve">Xà đỡ đầu cáp và chống sét van cột đôi ngang XĐĐC+CSV-2TN</t>
  </si>
  <si>
    <t xml:space="preserve">8.4</t>
  </si>
  <si>
    <t xml:space="preserve">Xà đỡ cầu dao cột đôi ngang XĐCD-2TN</t>
  </si>
  <si>
    <t xml:space="preserve">8.5</t>
  </si>
  <si>
    <t xml:space="preserve">Ghế thao tác cột đôi ngang GCĐ-2TN</t>
  </si>
  <si>
    <t xml:space="preserve">8.6</t>
  </si>
  <si>
    <t xml:space="preserve">Công son Ghế thao tác cột đôi ngang CSGCĐ-2TN</t>
  </si>
  <si>
    <t xml:space="preserve">8.7</t>
  </si>
  <si>
    <t xml:space="preserve">Thang trèo</t>
  </si>
  <si>
    <t xml:space="preserve">8.8</t>
  </si>
  <si>
    <t xml:space="preserve">Cổ dề lắp tay thao tác cầu dao</t>
  </si>
  <si>
    <t xml:space="preserve">8.9</t>
  </si>
  <si>
    <t xml:space="preserve">Sứ đứng Line Post 35kV</t>
  </si>
  <si>
    <t xml:space="preserve">Qủa</t>
  </si>
  <si>
    <t xml:space="preserve">8.10</t>
  </si>
  <si>
    <t xml:space="preserve">Chống sét van 35kV lắp mới</t>
  </si>
  <si>
    <t xml:space="preserve">8.11</t>
  </si>
  <si>
    <t xml:space="preserve">Cầu dao phụ tải 35kV lắp mới</t>
  </si>
  <si>
    <t xml:space="preserve">8.12</t>
  </si>
  <si>
    <t xml:space="preserve">Cáp ngầm Cu/XLPE/PVC/DSTA/PVC-3x120 35kV</t>
  </si>
  <si>
    <t xml:space="preserve">8.13</t>
  </si>
  <si>
    <t xml:space="preserve">Dây nhôm lõi thép bọc 35kV AC95/16-XLPE4.3/HDPE</t>
  </si>
  <si>
    <t xml:space="preserve">8.14</t>
  </si>
  <si>
    <t xml:space="preserve">Kẹp nhôm 3BL(25-150)</t>
  </si>
  <si>
    <t xml:space="preserve">Cái</t>
  </si>
  <si>
    <t xml:space="preserve">8.15</t>
  </si>
  <si>
    <t xml:space="preserve">Tiếp địa cột cầu dao RC-4</t>
  </si>
  <si>
    <t xml:space="preserve">8.16</t>
  </si>
  <si>
    <t xml:space="preserve">Dây buộc cổ sứ</t>
  </si>
  <si>
    <t xml:space="preserve">8.17</t>
  </si>
  <si>
    <t xml:space="preserve">Biển tên cột điện</t>
  </si>
  <si>
    <t xml:space="preserve">8.18</t>
  </si>
  <si>
    <t xml:space="preserve">Rãnh cáp 35kV đi dưới vĩa hè quy hoạch 1 sợi</t>
  </si>
  <si>
    <t xml:space="preserve">8.19</t>
  </si>
  <si>
    <t xml:space="preserve">Rãnh cáp 35kV đi dưới nền đường quy hoạch 1 sợi</t>
  </si>
  <si>
    <t xml:space="preserve">8.20</t>
  </si>
  <si>
    <t xml:space="preserve">Ống nhựa gân xoắn HDPE 160/125</t>
  </si>
  <si>
    <t xml:space="preserve">8.21</t>
  </si>
  <si>
    <t xml:space="preserve">Ống thép mạ kẽm D219, dày 3,96mm</t>
  </si>
  <si>
    <t xml:space="preserve">8.22</t>
  </si>
  <si>
    <t xml:space="preserve">Cô li ê đỡ ống bảo vệ cáp lên cột</t>
  </si>
  <si>
    <t xml:space="preserve">8.23</t>
  </si>
  <si>
    <t xml:space="preserve">Đầu cáp 3M-3x120 35kV</t>
  </si>
  <si>
    <t xml:space="preserve">Đầu</t>
  </si>
  <si>
    <t xml:space="preserve">8.24</t>
  </si>
  <si>
    <t xml:space="preserve">Đầu cáp Tplug-3x120 35kV</t>
  </si>
  <si>
    <t xml:space="preserve">8.25</t>
  </si>
  <si>
    <t xml:space="preserve">Dây đồng mềm Cu/XLPE/PVC-1x70</t>
  </si>
  <si>
    <t xml:space="preserve">8.26</t>
  </si>
  <si>
    <t xml:space="preserve">Đầu cốt đồng M70</t>
  </si>
  <si>
    <t xml:space="preserve">8.27</t>
  </si>
  <si>
    <t xml:space="preserve">Đầu cốt đồng nhôm AM95</t>
  </si>
  <si>
    <t xml:space="preserve">8.28</t>
  </si>
  <si>
    <t xml:space="preserve">Mốc báo hiệu cáp</t>
  </si>
  <si>
    <t xml:space="preserve">8.29</t>
  </si>
  <si>
    <t xml:space="preserve">Hố ga kỹ thuật</t>
  </si>
  <si>
    <t xml:space="preserve">8.30</t>
  </si>
  <si>
    <t xml:space="preserve">Vận chuyển đường dài</t>
  </si>
  <si>
    <t xml:space="preserve">9</t>
  </si>
  <si>
    <t xml:space="preserve">HẠNG MỤC: TRẠM BIẾN ÁP QUY HOẠCH</t>
  </si>
  <si>
    <t xml:space="preserve">9.1</t>
  </si>
  <si>
    <t xml:space="preserve">Móng trạm kiốt</t>
  </si>
  <si>
    <t xml:space="preserve">Móng</t>
  </si>
  <si>
    <t xml:space="preserve">9.2</t>
  </si>
  <si>
    <t xml:space="preserve">Tiếp địa trạm biến áp</t>
  </si>
  <si>
    <t xml:space="preserve">9.3</t>
  </si>
  <si>
    <t xml:space="preserve">Cáp ngầm Cu/XLPE/PVC/DSTA/PVC-1x120 35kV</t>
  </si>
  <si>
    <t xml:space="preserve">9.4</t>
  </si>
  <si>
    <t xml:space="preserve">Đầu cáp Tplug-3x120mm2 35kV</t>
  </si>
  <si>
    <t xml:space="preserve">9.5</t>
  </si>
  <si>
    <t xml:space="preserve">Cáp tổng hạ thế Cu/XLPE/PVC 1x120</t>
  </si>
  <si>
    <t xml:space="preserve">9.6</t>
  </si>
  <si>
    <t xml:space="preserve">Dây đồng đơn pha đất trung tính M120</t>
  </si>
  <si>
    <t xml:space="preserve">9.7</t>
  </si>
  <si>
    <t xml:space="preserve">Đầu cốt đồng Cu120</t>
  </si>
  <si>
    <t xml:space="preserve">9.8</t>
  </si>
  <si>
    <t xml:space="preserve">Biển báo an toàn và biển tên trạm</t>
  </si>
  <si>
    <t xml:space="preserve">9.9</t>
  </si>
  <si>
    <t xml:space="preserve">Bình cứu hỏa CO2 (4kg)</t>
  </si>
  <si>
    <t xml:space="preserve">Bình</t>
  </si>
  <si>
    <t xml:space="preserve">9.10</t>
  </si>
  <si>
    <t xml:space="preserve">10</t>
  </si>
  <si>
    <t xml:space="preserve">HẠNG MỤC: ĐƯỜNG ĐIỆN HẠ ÁP QUI HOẠCH</t>
  </si>
  <si>
    <t xml:space="preserve">10.1</t>
  </si>
  <si>
    <t xml:space="preserve">Hào 1 cáp trên vỉa hè cấp về tủ CT</t>
  </si>
  <si>
    <t xml:space="preserve">10.2</t>
  </si>
  <si>
    <t xml:space="preserve">Ống nhựa gân xoắn HDPE-105/80</t>
  </si>
  <si>
    <t xml:space="preserve">10.3</t>
  </si>
  <si>
    <t xml:space="preserve">Ống nhựa gân xoắn HDPE-32/25</t>
  </si>
  <si>
    <t xml:space="preserve">10.4</t>
  </si>
  <si>
    <t xml:space="preserve">Hào 1 cáp vỉa hè cấp về căn hộ</t>
  </si>
  <si>
    <t xml:space="preserve">10.5</t>
  </si>
  <si>
    <t xml:space="preserve">Cáp ngầm Cu/XLPE/PVC/DSTA/PVC 3x95+1x70</t>
  </si>
  <si>
    <t xml:space="preserve">10.6</t>
  </si>
  <si>
    <t xml:space="preserve">Cáp ngầm Cu/XLPE/PVC/DSTA/PVC 3x120+1x95</t>
  </si>
  <si>
    <t xml:space="preserve">10.7</t>
  </si>
  <si>
    <t xml:space="preserve">Tủ điện cấp điện loại 12 công tơ</t>
  </si>
  <si>
    <t xml:space="preserve">Tủ</t>
  </si>
  <si>
    <t xml:space="preserve">10.8</t>
  </si>
  <si>
    <t xml:space="preserve">Móng tủ điện công tơ</t>
  </si>
  <si>
    <t xml:space="preserve">móng</t>
  </si>
  <si>
    <t xml:space="preserve">10.9</t>
  </si>
  <si>
    <t xml:space="preserve">Tiếp địa tủ điện RC-2</t>
  </si>
  <si>
    <t xml:space="preserve">10.10</t>
  </si>
  <si>
    <t xml:space="preserve">10.11</t>
  </si>
  <si>
    <t xml:space="preserve">Biển tên tủ điện, cáp đến và cáp đi</t>
  </si>
  <si>
    <t xml:space="preserve">10.12</t>
  </si>
  <si>
    <t xml:space="preserve">Đầu cáp HST-4x95mm2</t>
  </si>
  <si>
    <t xml:space="preserve">10.13</t>
  </si>
  <si>
    <t xml:space="preserve">Đầu cáp HST-4x120mm2</t>
  </si>
  <si>
    <t xml:space="preserve">10.14</t>
  </si>
  <si>
    <t xml:space="preserve">Dây nối đất Cu/XLPE/PVC-1x50</t>
  </si>
  <si>
    <t xml:space="preserve">10.15</t>
  </si>
  <si>
    <t xml:space="preserve">Đầu cốt đồng M50</t>
  </si>
  <si>
    <t xml:space="preserve">10.16</t>
  </si>
  <si>
    <t xml:space="preserve">11</t>
  </si>
  <si>
    <t xml:space="preserve">HẠNG MỤC: HỆ THỐNG CHIẾU SÁNG</t>
  </si>
  <si>
    <t xml:space="preserve">11.1</t>
  </si>
  <si>
    <t xml:space="preserve">Tủ điều khiển chiếu sáng 100A</t>
  </si>
  <si>
    <t xml:space="preserve">11.2</t>
  </si>
  <si>
    <t xml:space="preserve">Cột đèn bát giác cần đơn H=7m</t>
  </si>
  <si>
    <t xml:space="preserve">cột</t>
  </si>
  <si>
    <t xml:space="preserve">11.3</t>
  </si>
  <si>
    <t xml:space="preserve">Cột đèn bát giác cần đôi H=7m</t>
  </si>
  <si>
    <t xml:space="preserve">11.4</t>
  </si>
  <si>
    <t xml:space="preserve">Móng tủ điều khiển chiếu sáng</t>
  </si>
  <si>
    <t xml:space="preserve">11.5</t>
  </si>
  <si>
    <t xml:space="preserve">Móng đèn cao áp đế gang cột 9m</t>
  </si>
  <si>
    <t xml:space="preserve">11.6</t>
  </si>
  <si>
    <t xml:space="preserve">Cáp ngầm Cu/XLPE/PVC/DSTA/PVC 3x50+1x35mm2</t>
  </si>
  <si>
    <t xml:space="preserve">11.7</t>
  </si>
  <si>
    <t xml:space="preserve">Cáp ngầm Cu/XLPE/PVC/DSTA/PVC 3x16+1x10mm2</t>
  </si>
  <si>
    <t xml:space="preserve">11.8</t>
  </si>
  <si>
    <t xml:space="preserve">Dây đồng trần M10</t>
  </si>
  <si>
    <t xml:space="preserve">11.9</t>
  </si>
  <si>
    <t xml:space="preserve">Tiếp địa lặp lại RC-4</t>
  </si>
  <si>
    <t xml:space="preserve">11.10</t>
  </si>
  <si>
    <t xml:space="preserve">Tiếp địa RC-1</t>
  </si>
  <si>
    <t xml:space="preserve">11.11</t>
  </si>
  <si>
    <t xml:space="preserve">Rãnh cáp chiếu sáng qua đường 1 sợi</t>
  </si>
  <si>
    <t xml:space="preserve">11.12</t>
  </si>
  <si>
    <t xml:space="preserve">Rãnh cáp chiếu sáng trên vỉa hè 1 sợi</t>
  </si>
  <si>
    <t xml:space="preserve">11.13</t>
  </si>
  <si>
    <t xml:space="preserve">Ống nhựa BV cáp HDPE 50/40</t>
  </si>
  <si>
    <t xml:space="preserve">11.14</t>
  </si>
  <si>
    <t xml:space="preserve">Ống thép BV cáp qua đường F76 dày 3,2mm</t>
  </si>
  <si>
    <t xml:space="preserve">11.15</t>
  </si>
  <si>
    <t xml:space="preserve">Đầu cốt đồng M16</t>
  </si>
  <si>
    <t xml:space="preserve">11.16</t>
  </si>
  <si>
    <t xml:space="preserve">11.17</t>
  </si>
  <si>
    <t xml:space="preserve">11.18</t>
  </si>
  <si>
    <t xml:space="preserve">Bộ đèn năng lượng mặt trời gồm + tấm Pin 150WP + bộ lưu điện 12,8V 42AH (loại 1 bóng)</t>
  </si>
  <si>
    <t xml:space="preserve">11.19</t>
  </si>
  <si>
    <t xml:space="preserve">Bộ đèn năng lượng mặt trời gồm + tấm Pin 200WP + bộ lưu điện 12,8V 65AH (loại 2 bóng)</t>
  </si>
  <si>
    <t xml:space="preserve">11.20</t>
  </si>
  <si>
    <t xml:space="preserve">Đèn LED, chíp philips 100W</t>
  </si>
  <si>
    <t xml:space="preserve">bóng</t>
  </si>
  <si>
    <t xml:space="preserve">11.21</t>
  </si>
  <si>
    <t xml:space="preserve">Dây lên đèn Cu/PVC2x2,5mm2</t>
  </si>
  <si>
    <t xml:space="preserve">11.22</t>
  </si>
  <si>
    <t xml:space="preserve">12</t>
  </si>
  <si>
    <t xml:space="preserve">HẠNG MỤC: LẮP ĐẶT, THÍ NGHIỆM VÀ HIỆU CHỈNH THIẾT BỊ</t>
  </si>
  <si>
    <t xml:space="preserve">12.1</t>
  </si>
  <si>
    <t xml:space="preserve">Thí nghiệm tiếp đất cột điện, cột thu lôi ( cột bê tông )</t>
  </si>
  <si>
    <t xml:space="preserve">12.2</t>
  </si>
  <si>
    <t xml:space="preserve">Thí nghiệm chống sét van 22, 35kV (pha 1)</t>
  </si>
  <si>
    <t xml:space="preserve">Pha</t>
  </si>
  <si>
    <t xml:space="preserve">12.3</t>
  </si>
  <si>
    <t xml:space="preserve">Thí nghiệm chống sét van 22, 35kV (pha thứ 2 trở đi)</t>
  </si>
  <si>
    <t xml:space="preserve">12.4</t>
  </si>
  <si>
    <t xml:space="preserve">Thí nghiệm cầu dao phụ tải 35kV</t>
  </si>
  <si>
    <t xml:space="preserve">12.5</t>
  </si>
  <si>
    <t xml:space="preserve">Thí nghiệm cách điện dứng, điện áp 3-35kV</t>
  </si>
  <si>
    <t xml:space="preserve">quả</t>
  </si>
  <si>
    <t xml:space="preserve">12.6</t>
  </si>
  <si>
    <t xml:space="preserve">Thí nghiệm cáp lực, điện áp &lt;=35kV</t>
  </si>
  <si>
    <t xml:space="preserve">mẫu</t>
  </si>
  <si>
    <t xml:space="preserve">12.7</t>
  </si>
  <si>
    <t xml:space="preserve">Lắp đặt máy biến áp 3 pha 320kVA-35(22)/0,4kV</t>
  </si>
  <si>
    <t xml:space="preserve">12.8</t>
  </si>
  <si>
    <t xml:space="preserve">Lắp đặt Tủ điện RMU 35kV</t>
  </si>
  <si>
    <t xml:space="preserve">12.9</t>
  </si>
  <si>
    <t xml:space="preserve">Lắp đặt Tủ điện hạ thế 0,4kV</t>
  </si>
  <si>
    <t xml:space="preserve">12.10</t>
  </si>
  <si>
    <t xml:space="preserve">Thí nghiệm máy biến áp 320kVA-35(22)/0,4kV</t>
  </si>
  <si>
    <t xml:space="preserve">máy</t>
  </si>
  <si>
    <t xml:space="preserve">12.11</t>
  </si>
  <si>
    <t xml:space="preserve">Thí nghiệm máy cắt không khí 3 pha - U &lt;=35kV</t>
  </si>
  <si>
    <t xml:space="preserve">12.12</t>
  </si>
  <si>
    <t xml:space="preserve">Thí nghiệm phân tích độ ẩm trong khí SF6</t>
  </si>
  <si>
    <t xml:space="preserve">12.13</t>
  </si>
  <si>
    <t xml:space="preserve">Thí nghiệm tiếp đất trạm biến áp</t>
  </si>
  <si>
    <t xml:space="preserve">12.14</t>
  </si>
  <si>
    <t xml:space="preserve">Thí nghiệm Ampemét:</t>
  </si>
  <si>
    <t xml:space="preserve">12.15</t>
  </si>
  <si>
    <t xml:space="preserve">Thí nghiệm Vônmét:</t>
  </si>
  <si>
    <t xml:space="preserve">12.16</t>
  </si>
  <si>
    <t xml:space="preserve">Thí nghiệm biến dòng điện U&lt;1kV:</t>
  </si>
  <si>
    <t xml:space="preserve">12.17</t>
  </si>
  <si>
    <t xml:space="preserve">Thí nghiệm chống sét van hạ thế:</t>
  </si>
  <si>
    <t xml:space="preserve">12.18</t>
  </si>
  <si>
    <t xml:space="preserve">12.19</t>
  </si>
  <si>
    <t xml:space="preserve">Thí nghiệm cáp điện 0,4kV</t>
  </si>
  <si>
    <t xml:space="preserve">Mẫu</t>
  </si>
  <si>
    <t xml:space="preserve">12.20</t>
  </si>
  <si>
    <t xml:space="preserve">Thí nghiệm tủ</t>
  </si>
  <si>
    <t xml:space="preserve">13</t>
  </si>
  <si>
    <t xml:space="preserve">HẠNG MỤC: BỂ XỬ LÝ NƯỚC THẢI</t>
  </si>
  <si>
    <t xml:space="preserve">13.1</t>
  </si>
  <si>
    <t xml:space="preserve">Đào móng</t>
  </si>
  <si>
    <t xml:space="preserve">13.2</t>
  </si>
  <si>
    <t xml:space="preserve">Ván khuôn thép móng dài</t>
  </si>
  <si>
    <t xml:space="preserve">13.3</t>
  </si>
  <si>
    <t xml:space="preserve">13.4</t>
  </si>
  <si>
    <t xml:space="preserve">13.5</t>
  </si>
  <si>
    <t xml:space="preserve">Bê tông móng, M250, đá 1x2</t>
  </si>
  <si>
    <t xml:space="preserve">13.6</t>
  </si>
  <si>
    <t xml:space="preserve">Ván khuôn tường bằng ván ép công nghiệp có khung xương cột chống bằng hệ giáo ống</t>
  </si>
  <si>
    <t xml:space="preserve">13.7</t>
  </si>
  <si>
    <t xml:space="preserve">13.8</t>
  </si>
  <si>
    <t xml:space="preserve">Ván khuôn gỗ xà dầm, giằng</t>
  </si>
  <si>
    <t xml:space="preserve">13.9</t>
  </si>
  <si>
    <t xml:space="preserve">Bê tông xà dầm, giằng nhà , M250, đá 1x2,</t>
  </si>
  <si>
    <t xml:space="preserve">13.10</t>
  </si>
  <si>
    <t xml:space="preserve">Lắp dựng cốt thép móng, ĐK ≤10mm</t>
  </si>
  <si>
    <t xml:space="preserve">13.11</t>
  </si>
  <si>
    <t xml:space="preserve">Lắp dựng cốt thép móng, ĐK ≤18mm</t>
  </si>
  <si>
    <t xml:space="preserve">13.12</t>
  </si>
  <si>
    <t xml:space="preserve">Lắp dựng cốt thép móng, ĐK &gt;18mm</t>
  </si>
  <si>
    <t xml:space="preserve">13.13</t>
  </si>
  <si>
    <t xml:space="preserve">Ván khuôn gỗ sàn mái</t>
  </si>
  <si>
    <t xml:space="preserve">13.14</t>
  </si>
  <si>
    <t xml:space="preserve">Bê tông sàn mái, bê tông M250, đá 1x2</t>
  </si>
  <si>
    <t xml:space="preserve">14</t>
  </si>
  <si>
    <t xml:space="preserve">HẠNG MỤC: NHÀ BƠM, BỂ NƯỚC, PCCC</t>
  </si>
  <si>
    <t xml:space="preserve">14.1</t>
  </si>
  <si>
    <t xml:space="preserve">Nhà bơm PCCC</t>
  </si>
  <si>
    <t xml:space="preserve">14.1.1</t>
  </si>
  <si>
    <t xml:space="preserve">14.1.2</t>
  </si>
  <si>
    <t xml:space="preserve">14.1.3</t>
  </si>
  <si>
    <t xml:space="preserve">Bê tông lót móng, M150, đá 4x6</t>
  </si>
  <si>
    <t xml:space="preserve">14.1.4</t>
  </si>
  <si>
    <t xml:space="preserve">Bê tông móng, M150, đá 1x2</t>
  </si>
  <si>
    <t xml:space="preserve">14.1.5</t>
  </si>
  <si>
    <t xml:space="preserve">14.1.6</t>
  </si>
  <si>
    <t xml:space="preserve">Bê tông lót móng , M150, đá 4x6</t>
  </si>
  <si>
    <t xml:space="preserve">14.1.7</t>
  </si>
  <si>
    <t xml:space="preserve">14.1.8</t>
  </si>
  <si>
    <t xml:space="preserve">Bê tông xà dầm, giằng nhà, M150, đá 1x2</t>
  </si>
  <si>
    <t xml:space="preserve">14.1.9</t>
  </si>
  <si>
    <t xml:space="preserve">14.1.10</t>
  </si>
  <si>
    <t xml:space="preserve">14.1.11</t>
  </si>
  <si>
    <t xml:space="preserve">Ván khuôn gỗ móng cột - Móng vuông, chữ nhật</t>
  </si>
  <si>
    <t xml:space="preserve">14.1.12</t>
  </si>
  <si>
    <t xml:space="preserve">Bê tông cột, M150, đá 1x2</t>
  </si>
  <si>
    <t xml:space="preserve">14.1.13</t>
  </si>
  <si>
    <t xml:space="preserve">14.1.14</t>
  </si>
  <si>
    <t xml:space="preserve">14.1.15</t>
  </si>
  <si>
    <t xml:space="preserve">Xây tường thẳng bằng gạch đặc không nung, vữa XM M75</t>
  </si>
  <si>
    <t xml:space="preserve">14.1.16</t>
  </si>
  <si>
    <t xml:space="preserve">Bê tông cột, M250, đá 1x2</t>
  </si>
  <si>
    <t xml:space="preserve">14.1.17</t>
  </si>
  <si>
    <t xml:space="preserve">Ván khuôn cột - Cột vuông, chữ nhật</t>
  </si>
  <si>
    <t xml:space="preserve">14.1.18</t>
  </si>
  <si>
    <t xml:space="preserve">14.1.19</t>
  </si>
  <si>
    <t xml:space="preserve">Trát tường ngoài, vữa XM M75,</t>
  </si>
  <si>
    <t xml:space="preserve">14.1.20</t>
  </si>
  <si>
    <t xml:space="preserve">Trát tường trong, vữa XM M75</t>
  </si>
  <si>
    <t xml:space="preserve">14.1.21</t>
  </si>
  <si>
    <t xml:space="preserve">Sơn dầm, trần, tường ngoài nhà không bả bằng sơn các loại 1 nước lót + 2 nước phủ</t>
  </si>
  <si>
    <t xml:space="preserve">14.1.22</t>
  </si>
  <si>
    <t xml:space="preserve">Sơn dầm, trần, tường trong nhà không bả bằng sơn các loại 1 nước lót + 2 nước phủ</t>
  </si>
  <si>
    <t xml:space="preserve">14.1.23</t>
  </si>
  <si>
    <t xml:space="preserve">14.1.24</t>
  </si>
  <si>
    <t xml:space="preserve">14.1.25</t>
  </si>
  <si>
    <t xml:space="preserve">14.1.26</t>
  </si>
  <si>
    <t xml:space="preserve">Láng nền, sàn không đánh màu, vữa XM M75</t>
  </si>
  <si>
    <t xml:space="preserve">14.1.27</t>
  </si>
  <si>
    <t xml:space="preserve">Lát nền, sàn, vữa XM M75</t>
  </si>
  <si>
    <t xml:space="preserve">14.1.28</t>
  </si>
  <si>
    <t xml:space="preserve">Gia công lắp đặt hoàn chỉnh cửa đi nhôm hệ xingfa kính an toàn 6,38mm 1 cánh mở quay</t>
  </si>
  <si>
    <t xml:space="preserve">14.1.29</t>
  </si>
  <si>
    <t xml:space="preserve">Gia công lắp đặt hoàn chỉnh cửa sổ nhôm hệ xingfa kính an toàn 6,38mm 2 cánh mở quay</t>
  </si>
  <si>
    <t xml:space="preserve">14.1.30</t>
  </si>
  <si>
    <t xml:space="preserve">Họng tiếp nước loại 2 cửa</t>
  </si>
  <si>
    <t xml:space="preserve">14.2</t>
  </si>
  <si>
    <t xml:space="preserve">Hố van quản lý</t>
  </si>
  <si>
    <t xml:space="preserve">14.2.1</t>
  </si>
  <si>
    <t xml:space="preserve">Bê tông lót móng, M150, đá 2x40</t>
  </si>
  <si>
    <t xml:space="preserve">14.2.2</t>
  </si>
  <si>
    <t xml:space="preserve">14.2.3</t>
  </si>
  <si>
    <t xml:space="preserve">Bê tông xà dầm, giằng nhà, M200, đá 1x2</t>
  </si>
  <si>
    <t xml:space="preserve">14.2.4</t>
  </si>
  <si>
    <t xml:space="preserve">Bê tông lanh tô, lanh tô liền mái hắt, máng nước, tấm đan, ô văng, bê tông M200, đá 1x2</t>
  </si>
  <si>
    <t xml:space="preserve">14.2.5</t>
  </si>
  <si>
    <t xml:space="preserve">Gia công, lắp đặt cốt thép tấm đan, hàng rào, cửa sổ, lá chớp, nan hoa, con sơn</t>
  </si>
  <si>
    <t xml:space="preserve">14.2.6</t>
  </si>
  <si>
    <t xml:space="preserve">Trát tường ngoài dày 1,5cm, vữa XM M75, PCB40</t>
  </si>
  <si>
    <t xml:space="preserve">14.2.7</t>
  </si>
  <si>
    <t xml:space="preserve">Quét dung dịch chống thấm mái, sê nô, ô văng</t>
  </si>
  <si>
    <t xml:space="preserve">14.3</t>
  </si>
  <si>
    <t xml:space="preserve">Bể nước</t>
  </si>
  <si>
    <t xml:space="preserve">14.3.1</t>
  </si>
  <si>
    <t xml:space="preserve">14.3.2</t>
  </si>
  <si>
    <t xml:space="preserve">Ván khuôn gỗ móng băng, móng bè, bệ máy</t>
  </si>
  <si>
    <t xml:space="preserve">14.3.3</t>
  </si>
  <si>
    <t xml:space="preserve">Bê tông lót móng, M100, đá 2x4</t>
  </si>
  <si>
    <t xml:space="preserve">14.3.4</t>
  </si>
  <si>
    <t xml:space="preserve">14.3.5</t>
  </si>
  <si>
    <t xml:space="preserve">14.3.6</t>
  </si>
  <si>
    <t xml:space="preserve">Bê tông nền, M150, đá 1x2</t>
  </si>
  <si>
    <t xml:space="preserve">14.3.7</t>
  </si>
  <si>
    <t xml:space="preserve">Ván khuôn thép, khung xương, cột chống giáo ống, tường</t>
  </si>
  <si>
    <t xml:space="preserve">14.3.8</t>
  </si>
  <si>
    <t xml:space="preserve">Bê tông tường, M150, đá 1x2</t>
  </si>
  <si>
    <t xml:space="preserve">14.3.9</t>
  </si>
  <si>
    <t xml:space="preserve">14.3.10</t>
  </si>
  <si>
    <t xml:space="preserve">14.3.11</t>
  </si>
  <si>
    <t xml:space="preserve">14.3.12</t>
  </si>
  <si>
    <t xml:space="preserve">Bê tông sàn mái, bê tông M150, đá 1x2</t>
  </si>
  <si>
    <t xml:space="preserve">14.3.13</t>
  </si>
  <si>
    <t xml:space="preserve">14.3.14</t>
  </si>
  <si>
    <t xml:space="preserve">14.3.15</t>
  </si>
  <si>
    <t xml:space="preserve">14.4</t>
  </si>
  <si>
    <t xml:space="preserve">Hệ thống PCCC</t>
  </si>
  <si>
    <t xml:space="preserve">14.4.1</t>
  </si>
  <si>
    <t xml:space="preserve">Lắp đặt máy bơm nước các loại chữa cháy</t>
  </si>
  <si>
    <t xml:space="preserve">1 máy</t>
  </si>
  <si>
    <t xml:space="preserve">14.4.2</t>
  </si>
  <si>
    <t xml:space="preserve">Lắp đặt tủ điện điều khiển khởi động máy bơm</t>
  </si>
  <si>
    <t xml:space="preserve">1 tủ</t>
  </si>
  <si>
    <t xml:space="preserve">14.4.3</t>
  </si>
  <si>
    <t xml:space="preserve">Lắp đặt dây dẫn 3 ruột ≤ 25mm2</t>
  </si>
  <si>
    <t xml:space="preserve">14.4.4</t>
  </si>
  <si>
    <t xml:space="preserve">Lắp đặt dây dẫn 3 ruột ≤ 3mm2</t>
  </si>
  <si>
    <t xml:space="preserve">14.4.5</t>
  </si>
  <si>
    <t xml:space="preserve">Lắp đặt đồng hồ đo áp lực</t>
  </si>
  <si>
    <t xml:space="preserve">14.4.6</t>
  </si>
  <si>
    <t xml:space="preserve">Hàn nối bích nhựa HDPE đường kính 125mm</t>
  </si>
  <si>
    <t xml:space="preserve">14.4.7</t>
  </si>
  <si>
    <t xml:space="preserve">Hàn nối bích nhựa HDPE đường kính 50mm</t>
  </si>
  <si>
    <t xml:space="preserve">14.4.8</t>
  </si>
  <si>
    <t xml:space="preserve">Lắp đặt ống thép tráng kẽm - Đường kính 200mm</t>
  </si>
  <si>
    <t xml:space="preserve">14.4.9</t>
  </si>
  <si>
    <t xml:space="preserve">Hàn nối bích nhựa HDPE đường kính 200mm</t>
  </si>
  <si>
    <t xml:space="preserve">14.4.10</t>
  </si>
  <si>
    <t xml:space="preserve">Lắp đặt ống thép tráng kẽm - Đường kính 125mm</t>
  </si>
  <si>
    <t xml:space="preserve">14.4.11</t>
  </si>
  <si>
    <t xml:space="preserve">Lắp đặt ống thép tráng kẽm, nối bằng p/p măng sông, đoạn ống dài 8m - Đường kính 50mm</t>
  </si>
  <si>
    <t xml:space="preserve">14.4.12</t>
  </si>
  <si>
    <t xml:space="preserve">Lắp đặt côn, cút thép - Đường kính 50mm</t>
  </si>
  <si>
    <t xml:space="preserve">14.4.13</t>
  </si>
  <si>
    <t xml:space="preserve">Lắp đặt van ren - Đường kính 125mm</t>
  </si>
  <si>
    <t xml:space="preserve">14.4.14</t>
  </si>
  <si>
    <t xml:space="preserve">Lắp đặt van ren - Đường kính50mm</t>
  </si>
  <si>
    <t xml:space="preserve">14.4.15</t>
  </si>
  <si>
    <t xml:space="preserve">Lắp đặt côn, cút thép nối - Đường kính 125mm</t>
  </si>
  <si>
    <t xml:space="preserve">14.4.16</t>
  </si>
  <si>
    <t xml:space="preserve">Lắp đặt ống thép tráng kẽm - Đường kính ≤25mm</t>
  </si>
  <si>
    <t xml:space="preserve">14.4.17</t>
  </si>
  <si>
    <t xml:space="preserve">Lắp đặt ổ cắm đơn</t>
  </si>
  <si>
    <t xml:space="preserve">14.4.18</t>
  </si>
  <si>
    <t xml:space="preserve">Lắp đặt dây dẫn 2 ruột ≤ 4mm2</t>
  </si>
  <si>
    <t xml:space="preserve">14.4.19</t>
  </si>
  <si>
    <t xml:space="preserve">Lắp đặt ống nhựa chìm bảo hộ dây dẫn - Đường kính ≤27mm</t>
  </si>
  <si>
    <t xml:space="preserve">14.4.20</t>
  </si>
  <si>
    <t xml:space="preserve">Máng cáp điện 100x100x1mm</t>
  </si>
  <si>
    <t xml:space="preserve">14.4.21</t>
  </si>
  <si>
    <t xml:space="preserve">Công tắc áp lực 2 ngưỡng</t>
  </si>
  <si>
    <t xml:space="preserve">14.4.22</t>
  </si>
  <si>
    <t xml:space="preserve">Lắp đặt rọ hút D125mm</t>
  </si>
  <si>
    <t xml:space="preserve">14.4.23</t>
  </si>
  <si>
    <t xml:space="preserve">Lắp đặt Y lọc đường kính 125mm</t>
  </si>
  <si>
    <t xml:space="preserve">14.4.24</t>
  </si>
  <si>
    <t xml:space="preserve">Lắp đặt rọ hút D50mm</t>
  </si>
  <si>
    <t xml:space="preserve">14.4.25</t>
  </si>
  <si>
    <t xml:space="preserve">Lắp đặt Y lọc đường kính 50mm</t>
  </si>
  <si>
    <t xml:space="preserve">14.4.26</t>
  </si>
  <si>
    <t xml:space="preserve">Bình tích áp Varem 100 lít</t>
  </si>
  <si>
    <t xml:space="preserve">14.4.27</t>
  </si>
  <si>
    <t xml:space="preserve">Lắp đặt khớp nối mềm D125</t>
  </si>
  <si>
    <t xml:space="preserve">14.4.28</t>
  </si>
  <si>
    <t xml:space="preserve">Lắp đặt khớp nối mềm D50</t>
  </si>
  <si>
    <t xml:space="preserve">14.4.29</t>
  </si>
  <si>
    <t xml:space="preserve">Lắp đặt bể nước mồi 200l</t>
  </si>
  <si>
    <t xml:space="preserve">bể</t>
  </si>
  <si>
    <t xml:space="preserve">14.4.30</t>
  </si>
  <si>
    <t xml:space="preserve">Đèn báo trạm bơm PCCC</t>
  </si>
  <si>
    <t xml:space="preserve">14.4.31</t>
  </si>
  <si>
    <t xml:space="preserve">Đèn chiếu sáng sự cố</t>
  </si>
  <si>
    <t xml:space="preserve">5 đèn</t>
  </si>
  <si>
    <t xml:space="preserve">14.4.32</t>
  </si>
  <si>
    <t xml:space="preserve">Kệ bình chữa cháy</t>
  </si>
  <si>
    <t xml:space="preserve">14.4.33</t>
  </si>
  <si>
    <t xml:space="preserve">Bình bột chữa cháy ABC (8Kg)</t>
  </si>
  <si>
    <t xml:space="preserve">14.4.34</t>
  </si>
  <si>
    <t xml:space="preserve">Lắp đặt đồng hồ đo lưu lượng, quy cách 100mm</t>
  </si>
  <si>
    <t xml:space="preserve">15</t>
  </si>
  <si>
    <t xml:space="preserve">HẠNG MỤC: NHÀ TẠM ĐỂ Ở VÀ ĐIỀU HÀNH THI CÔNG</t>
  </si>
  <si>
    <t xml:space="preserve">15.1</t>
  </si>
  <si>
    <t xml:space="preserve">Chi phí nhà tạm để ở và điều hành thi công</t>
  </si>
  <si>
    <t xml:space="preserve">trọn gói</t>
  </si>
  <si>
    <t xml:space="preserve">16</t>
  </si>
  <si>
    <t xml:space="preserve">HẠNG MỤC: ĐẤU NỐI CẤP NƯỚC SẠCH</t>
  </si>
  <si>
    <t xml:space="preserve">16.1</t>
  </si>
  <si>
    <t xml:space="preserve">Chi phí làm thủ tục đấu nối cấp nước sạch</t>
  </si>
  <si>
    <t xml:space="preserve">17</t>
  </si>
  <si>
    <t xml:space="preserve">HẠNG MỤC: ĐẤU NỐI ĐƯỜNG DÂY 35KV</t>
  </si>
  <si>
    <t xml:space="preserve">17.1</t>
  </si>
  <si>
    <t xml:space="preserve">Chi phí làm thủ tục đấu nối hotline đường dây 35kV</t>
  </si>
  <si>
    <t xml:space="preserve">18</t>
  </si>
  <si>
    <t xml:space="preserve">HẠNG MỤC: ĐÓNG ĐIỆN ĐƯỜNG CÁP NGẦM 35 KV</t>
  </si>
  <si>
    <t xml:space="preserve">18.1</t>
  </si>
  <si>
    <t xml:space="preserve">Chi phí nghiệm thu đóng điện đường cáp ngầm 35kV (0,54%*Gxl 35kV)</t>
  </si>
  <si>
    <t xml:space="preserve">19</t>
  </si>
  <si>
    <t xml:space="preserve">HẠNG MỤC: ĐÓNG ĐIỆN TRẠM BIẾN ÁP</t>
  </si>
  <si>
    <t xml:space="preserve">19.1</t>
  </si>
  <si>
    <t xml:space="preserve">Chi phí nghiệm thu đóng điện Trạm biến áp (2,7%*Gxl TBA)</t>
  </si>
  <si>
    <t xml:space="preserve">20</t>
  </si>
  <si>
    <t xml:space="preserve">HẠNG MỤC: ĐÓNG ĐIỆN ĐƯỜNG CÁP NGẦM 0,4 KV</t>
  </si>
  <si>
    <t xml:space="preserve">20.1</t>
  </si>
  <si>
    <t xml:space="preserve">Chi phí nghiệm thu đóng điện đường cáp ngầm 0,4kV (1,5*0,54%*Gxl 0,4kV)</t>
  </si>
  <si>
    <t xml:space="preserve">21</t>
  </si>
  <si>
    <t xml:space="preserve">HẠNG MỤC: CHI PHÍ THIẾT BỊ</t>
  </si>
  <si>
    <t xml:space="preserve">21.1</t>
  </si>
  <si>
    <t xml:space="preserve">Máy biến áp 320kVA-35(22)/0,4kV Sứ cao thế Plug - in Plug</t>
  </si>
  <si>
    <t xml:space="preserve">21.2</t>
  </si>
  <si>
    <t xml:space="preserve">Tủ 3 ngăn 35kV 630A 20kA/s gồm: 02 ngăn CDPT 630A cách điện bằng khí SF6 35kV 630A 20kA/s + 01 ngăn CDPT kèm cầu chì 200A bảo vệ MBA</t>
  </si>
  <si>
    <t xml:space="preserve">21.3</t>
  </si>
  <si>
    <t xml:space="preserve">Tủ hạ thế 500A-500V, - 4 lộ ra 300A + 1 lộ ra 100A</t>
  </si>
  <si>
    <t xml:space="preserve">21.4</t>
  </si>
  <si>
    <t xml:space="preserve">Vỏ trạm kios</t>
  </si>
  <si>
    <t xml:space="preserve">21.5</t>
  </si>
  <si>
    <t xml:space="preserve">Bộ cảnh báo sự cố đầu cáp</t>
  </si>
  <si>
    <t xml:space="preserve">21.6</t>
  </si>
  <si>
    <t xml:space="preserve">Bộ cảm biến nhiệt và điện trở sấy</t>
  </si>
  <si>
    <t xml:space="preserve">PHỤ LỤC CHI TIẾT KHỐI LƯỢNG HOÀN THÀNH</t>
  </si>
  <si>
    <t xml:space="preserve">Đơn giá thanh toán theo HĐ</t>
  </si>
  <si>
    <t xml:space="preserve">Thành tiền (đồng)</t>
  </si>
  <si>
    <t xml:space="preserve">Theo hợp đồng</t>
  </si>
  <si>
    <t xml:space="preserve">(7)</t>
  </si>
  <si>
    <t xml:space="preserve">(9)=(4)x(8)</t>
  </si>
  <si>
    <t xml:space="preserve">(10)=(5)x(8)</t>
  </si>
  <si>
    <t xml:space="preserve">(11)=(6)x(8)</t>
  </si>
  <si>
    <t xml:space="preserve">(12)=(7)x(8)</t>
  </si>
  <si>
    <t xml:space="preserve">(13)</t>
  </si>
  <si>
    <t xml:space="preserve">Làm tròn</t>
  </si>
  <si>
    <t xml:space="preserve">KHỐI LƯỢNG CÒN LẠI CHƯA THI CÔNG</t>
  </si>
  <si>
    <t xml:space="preserve">Khối lượng còn lại</t>
  </si>
  <si>
    <t xml:space="preserve">Đơn giá theo HĐ</t>
  </si>
  <si>
    <t xml:space="preserve">Giá trị còn lại (đồng)</t>
  </si>
  <si>
    <t xml:space="preserve">Tổng cộng (làm tròn)</t>
  </si>
  <si>
    <t xml:space="preserve">Kiểm tra: Giá trị HĐ – Luỹ kế thực hiện – Còn lại (≈0, lệch do làm tròn):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</si>
</sst>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0%"/>
    <numFmt numFmtId="167" formatCode="#,##0.000;\-#,##0.00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b val="true"/>
      <sz val="14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i val="true"/>
      <sz val="10"/>
      <color rgb="FF000000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sz val="10"/>
      <name val="Arial"/>
      <family val="2"/>
    </font>
    <font>
      <i val="true"/>
      <sz val="11"/>
      <color rgb="FF000000"/>
      <name val="Times New Roman"/>
      <family val="0"/>
      <charset val="1"/>
    </font>
    <font>
      <sz val="12"/>
      <color rgb="FF0000FF"/>
      <name val="Times New Roman"/>
      <family val="0"/>
      <charset val="1"/>
    </font>
    <font>
      <sz val="10"/>
      <color rgb="FFC00000"/>
      <name val="Times New Roman"/>
      <family val="0"/>
      <charset val="1"/>
    </font>
    <font>
      <sz val="12"/>
      <color rgb="FF008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11" min="5" style="0" width="17"/>
    <col collapsed="false" customWidth="true" hidden="false" outlineLevel="0" max="12" min="12" style="0" width="10"/>
  </cols>
  <sheetData>
    <row r="1" customFormat="false" ht="120.8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</row>
    <row r="3" customFormat="false" ht="25.35" hidden="false" customHeight="true" outlineLevel="0" collapsed="false">
      <c r="A3" s="2" t="s">
        <v>3</v>
      </c>
      <c r="B3" s="2"/>
      <c r="C3" s="3" t="s">
        <v>4</v>
      </c>
      <c r="D3" s="3"/>
      <c r="E3" s="3"/>
      <c r="F3" s="3"/>
    </row>
    <row r="4" customFormat="false" ht="15" hidden="false" customHeight="true" outlineLevel="0" collapsed="false">
      <c r="A4" s="2" t="s">
        <v>5</v>
      </c>
      <c r="B4" s="2"/>
      <c r="C4" s="4" t="n">
        <v>0</v>
      </c>
    </row>
    <row r="5" customFormat="false" ht="25.35" hidden="false" customHeight="true" outlineLevel="0" collapsed="false">
      <c r="A5" s="2" t="s">
        <v>6</v>
      </c>
      <c r="B5" s="2"/>
      <c r="C5" s="4" t="n">
        <v>0</v>
      </c>
    </row>
    <row r="6" customFormat="false" ht="25.35" hidden="false" customHeight="true" outlineLevel="0" collapsed="false">
      <c r="A6" s="2" t="s">
        <v>7</v>
      </c>
      <c r="B6" s="2"/>
      <c r="C6" s="4" t="n">
        <v>0</v>
      </c>
    </row>
    <row r="7" customFormat="false" ht="25.35" hidden="false" customHeight="true" outlineLevel="0" collapsed="false">
      <c r="A7" s="2" t="s">
        <v>8</v>
      </c>
      <c r="B7" s="2"/>
      <c r="C7" s="5" t="n">
        <v>0.9</v>
      </c>
    </row>
    <row r="8" customFormat="false" ht="15" hidden="false" customHeight="true" outlineLevel="0" collapsed="false">
      <c r="A8" s="2" t="s">
        <v>9</v>
      </c>
      <c r="B8" s="2"/>
      <c r="C8" s="4" t="n">
        <v>0</v>
      </c>
    </row>
    <row r="9" customFormat="false" ht="25.35" hidden="false" customHeight="true" outlineLevel="0" collapsed="false">
      <c r="A9" s="2" t="s">
        <v>10</v>
      </c>
      <c r="B9" s="2"/>
      <c r="C9" s="4"/>
    </row>
    <row r="12" customFormat="false" ht="15" hidden="false" customHeight="true" outlineLevel="0" collapsed="false">
      <c r="A12" s="6" t="s">
        <v>11</v>
      </c>
      <c r="B12" s="6"/>
      <c r="C12" s="6"/>
      <c r="D12" s="6"/>
      <c r="K12" s="7" t="s">
        <v>12</v>
      </c>
      <c r="L12" s="7"/>
    </row>
    <row r="14" customFormat="false" ht="21.7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33" hidden="false" customHeight="true" outlineLevel="0" collapsed="false">
      <c r="A15" s="9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9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true" outlineLevel="0" collapsed="false">
      <c r="A17" s="9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9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9" t="s">
        <v>18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false" outlineLevel="0" collapsed="false">
      <c r="A20" s="9" t="str">
        <f aca="false">"Thanh toán lần thứ: "&amp;'03a TT'!$C$2</f>
        <v>Thanh toán lần thứ: 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30" hidden="false" customHeight="true" outlineLevel="0" collapsed="false">
      <c r="A21" s="9" t="str">
        <f aca="false">"Căn cứ xác định: "&amp;'03a TT'!$C$3</f>
        <v>Căn cứ xác định: Biên bản nghiệm thu hoàn thành giai đoạn số ....../BBNT ngày ...../...../2026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3" customFormat="false" ht="75" hidden="false" customHeight="true" outlineLevel="0" collapsed="false">
      <c r="A23" s="10" t="s">
        <v>19</v>
      </c>
      <c r="B23" s="10" t="s">
        <v>20</v>
      </c>
      <c r="C23" s="10"/>
      <c r="D23" s="10"/>
      <c r="E23" s="10" t="s">
        <v>21</v>
      </c>
      <c r="F23" s="10" t="s">
        <v>22</v>
      </c>
      <c r="G23" s="10" t="s">
        <v>23</v>
      </c>
      <c r="H23" s="10" t="s">
        <v>24</v>
      </c>
      <c r="I23" s="10" t="s">
        <v>25</v>
      </c>
      <c r="J23" s="10" t="s">
        <v>26</v>
      </c>
      <c r="K23" s="10" t="s">
        <v>27</v>
      </c>
      <c r="L23" s="10" t="s">
        <v>28</v>
      </c>
    </row>
    <row r="24" customFormat="false" ht="15" hidden="false" customHeight="true" outlineLevel="0" collapsed="false">
      <c r="A24" s="11" t="s">
        <v>29</v>
      </c>
      <c r="B24" s="11" t="s">
        <v>30</v>
      </c>
      <c r="C24" s="11"/>
      <c r="D24" s="11"/>
      <c r="E24" s="11" t="s">
        <v>31</v>
      </c>
      <c r="F24" s="11" t="s">
        <v>32</v>
      </c>
      <c r="G24" s="11" t="s">
        <v>33</v>
      </c>
      <c r="H24" s="11" t="s">
        <v>34</v>
      </c>
      <c r="I24" s="11" t="s">
        <v>35</v>
      </c>
      <c r="J24" s="11" t="s">
        <v>36</v>
      </c>
      <c r="K24" s="11" t="s">
        <v>37</v>
      </c>
      <c r="L24" s="11" t="s">
        <v>38</v>
      </c>
    </row>
    <row r="25" customFormat="false" ht="31.5" hidden="false" customHeight="true" outlineLevel="0" collapsed="false">
      <c r="A25" s="12" t="s">
        <v>39</v>
      </c>
      <c r="B25" s="13" t="s">
        <v>40</v>
      </c>
      <c r="C25" s="13"/>
      <c r="D25" s="13"/>
      <c r="E25" s="14" t="n">
        <f aca="false">'PL.3A'!I597</f>
        <v>25007549000</v>
      </c>
      <c r="F25" s="14" t="n">
        <f aca="false">MAX(0,ROUND('PL.3A'!J597-J25,0))</f>
        <v>0</v>
      </c>
      <c r="G25" s="14" t="n">
        <f aca="false">'PL.3A'!K597</f>
        <v>0</v>
      </c>
      <c r="H25" s="14" t="n">
        <f aca="false">I42+I37</f>
        <v>0</v>
      </c>
      <c r="I25" s="14" t="n">
        <f aca="false">F25+G25-H25</f>
        <v>0</v>
      </c>
      <c r="J25" s="14" t="n">
        <f aca="false">$C$6+$C$5</f>
        <v>0</v>
      </c>
      <c r="K25" s="14" t="n">
        <f aca="false">J25+H25</f>
        <v>0</v>
      </c>
      <c r="L25" s="14"/>
    </row>
    <row r="26" customFormat="false" ht="31.5" hidden="false" customHeight="true" outlineLevel="0" collapsed="false">
      <c r="A26" s="12" t="s">
        <v>41</v>
      </c>
      <c r="B26" s="13" t="s">
        <v>42</v>
      </c>
      <c r="C26" s="13"/>
      <c r="D26" s="13"/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 customFormat="false" ht="31.5" hidden="false" customHeight="true" outlineLevel="0" collapsed="false">
      <c r="A27" s="12" t="s">
        <v>43</v>
      </c>
      <c r="B27" s="13" t="s">
        <v>44</v>
      </c>
      <c r="C27" s="13"/>
      <c r="D27" s="13"/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 customFormat="false" ht="31.5" hidden="false" customHeight="true" outlineLevel="0" collapsed="false">
      <c r="A28" s="12" t="s">
        <v>45</v>
      </c>
      <c r="B28" s="13" t="s">
        <v>46</v>
      </c>
      <c r="C28" s="13"/>
      <c r="D28" s="13"/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 customFormat="false" ht="15" hidden="false" customHeight="true" outlineLevel="0" collapsed="false">
      <c r="A29" s="15" t="s">
        <v>47</v>
      </c>
      <c r="B29" s="15"/>
      <c r="C29" s="15"/>
      <c r="D29" s="15"/>
      <c r="E29" s="16" t="n">
        <f aca="false">SUM(E25:E28)</f>
        <v>25007549000</v>
      </c>
      <c r="F29" s="16" t="n">
        <f aca="false">SUM(F25:F28)</f>
        <v>0</v>
      </c>
      <c r="G29" s="16" t="n">
        <f aca="false">SUM(G25:G28)</f>
        <v>0</v>
      </c>
      <c r="H29" s="16" t="n">
        <f aca="false">SUM(H25:H28)</f>
        <v>0</v>
      </c>
      <c r="I29" s="16" t="n">
        <f aca="false">SUM(I25:I28)</f>
        <v>0</v>
      </c>
      <c r="J29" s="16" t="n">
        <f aca="false">SUM(J25:J28)</f>
        <v>0</v>
      </c>
      <c r="K29" s="16" t="n">
        <f aca="false">SUM(K25:K28)</f>
        <v>0</v>
      </c>
      <c r="L29" s="17"/>
    </row>
    <row r="31" customFormat="false" ht="15" hidden="false" customHeight="true" outlineLevel="0" collapsed="false">
      <c r="A31" s="18" t="s">
        <v>48</v>
      </c>
      <c r="B31" s="9" t="s">
        <v>49</v>
      </c>
      <c r="C31" s="9"/>
      <c r="D31" s="9"/>
      <c r="E31" s="9"/>
      <c r="F31" s="9"/>
      <c r="G31" s="9"/>
      <c r="H31" s="9"/>
      <c r="I31" s="19" t="n">
        <f aca="false">$C$4-$C$5</f>
        <v>0</v>
      </c>
      <c r="J31" s="20" t="s">
        <v>50</v>
      </c>
    </row>
    <row r="32" customFormat="false" ht="15" hidden="false" customHeight="true" outlineLevel="0" collapsed="false">
      <c r="A32" s="18" t="s">
        <v>51</v>
      </c>
      <c r="B32" s="9" t="s">
        <v>52</v>
      </c>
      <c r="C32" s="9"/>
      <c r="D32" s="9"/>
      <c r="E32" s="9"/>
      <c r="F32" s="9"/>
      <c r="G32" s="9"/>
      <c r="H32" s="9"/>
      <c r="I32" s="19" t="n">
        <f aca="false">SUM(I33:I35)</f>
        <v>0</v>
      </c>
      <c r="J32" s="20" t="s">
        <v>50</v>
      </c>
    </row>
    <row r="33" customFormat="false" ht="15" hidden="false" customHeight="true" outlineLevel="0" collapsed="false">
      <c r="A33" s="18" t="s">
        <v>53</v>
      </c>
      <c r="B33" s="9" t="s">
        <v>54</v>
      </c>
      <c r="C33" s="9"/>
      <c r="D33" s="9"/>
      <c r="E33" s="9"/>
      <c r="F33" s="9"/>
      <c r="G33" s="9"/>
      <c r="H33" s="9"/>
      <c r="I33" s="19" t="n">
        <f aca="false">$C$6</f>
        <v>0</v>
      </c>
      <c r="J33" s="20" t="s">
        <v>50</v>
      </c>
    </row>
    <row r="34" customFormat="false" ht="15" hidden="false" customHeight="true" outlineLevel="0" collapsed="false">
      <c r="A34" s="18" t="s">
        <v>55</v>
      </c>
      <c r="B34" s="9" t="s">
        <v>56</v>
      </c>
      <c r="C34" s="9"/>
      <c r="D34" s="9"/>
      <c r="E34" s="9"/>
      <c r="F34" s="9"/>
      <c r="G34" s="9"/>
      <c r="H34" s="9"/>
      <c r="I34" s="19" t="n">
        <v>0</v>
      </c>
      <c r="J34" s="20" t="s">
        <v>50</v>
      </c>
    </row>
    <row r="35" customFormat="false" ht="15" hidden="false" customHeight="true" outlineLevel="0" collapsed="false">
      <c r="A35" s="18" t="s">
        <v>57</v>
      </c>
      <c r="B35" s="9" t="s">
        <v>58</v>
      </c>
      <c r="C35" s="9"/>
      <c r="D35" s="9"/>
      <c r="E35" s="9"/>
      <c r="F35" s="9"/>
      <c r="G35" s="9"/>
      <c r="H35" s="9"/>
      <c r="I35" s="19" t="n">
        <v>0</v>
      </c>
      <c r="J35" s="20" t="s">
        <v>50</v>
      </c>
    </row>
    <row r="36" customFormat="false" ht="15" hidden="false" customHeight="true" outlineLevel="0" collapsed="false">
      <c r="A36" s="18" t="s">
        <v>59</v>
      </c>
      <c r="B36" s="9" t="s">
        <v>60</v>
      </c>
      <c r="C36" s="9"/>
      <c r="D36" s="9"/>
      <c r="E36" s="9"/>
      <c r="F36" s="9"/>
      <c r="G36" s="9"/>
      <c r="H36" s="9"/>
      <c r="I36" s="19" t="n">
        <f aca="false">'PL.3A'!L597</f>
        <v>0</v>
      </c>
      <c r="J36" s="20" t="s">
        <v>50</v>
      </c>
    </row>
    <row r="37" customFormat="false" ht="15" hidden="false" customHeight="true" outlineLevel="0" collapsed="false">
      <c r="A37" s="18" t="s">
        <v>61</v>
      </c>
      <c r="B37" s="9" t="s">
        <v>62</v>
      </c>
      <c r="C37" s="9"/>
      <c r="D37" s="9"/>
      <c r="E37" s="9"/>
      <c r="F37" s="9"/>
      <c r="G37" s="9"/>
      <c r="H37" s="9"/>
      <c r="I37" s="19" t="n">
        <f aca="false">IF($C$9="",MIN(IF(I36&gt;=0.8*E25,I31,MIN(I31,ROUND(G25*IF(E25=0,0,$C$4/E25),-3))),MAX(0,ROUNDDOWN(I36*$C$7-I33,-3))),$C$9)</f>
        <v>0</v>
      </c>
      <c r="J37" s="20" t="s">
        <v>50</v>
      </c>
    </row>
    <row r="38" customFormat="false" ht="15" hidden="false" customHeight="true" outlineLevel="0" collapsed="false">
      <c r="A38" s="21" t="s">
        <v>63</v>
      </c>
      <c r="B38" s="22" t="s">
        <v>64</v>
      </c>
      <c r="C38" s="22"/>
      <c r="D38" s="22"/>
      <c r="E38" s="22"/>
      <c r="F38" s="22"/>
      <c r="G38" s="22"/>
      <c r="H38" s="22"/>
      <c r="I38" s="23" t="n">
        <f aca="false">I40+I41</f>
        <v>0</v>
      </c>
      <c r="J38" s="20" t="s">
        <v>50</v>
      </c>
    </row>
    <row r="39" customFormat="false" ht="15" hidden="false" customHeight="true" outlineLevel="0" collapsed="false">
      <c r="A39" s="18"/>
      <c r="B39" s="24" t="s">
        <v>65</v>
      </c>
      <c r="C39" s="24"/>
      <c r="D39" s="24"/>
      <c r="E39" s="24"/>
      <c r="F39" s="24"/>
      <c r="G39" s="24"/>
      <c r="H39" s="24"/>
      <c r="I39" s="19"/>
      <c r="J39" s="20"/>
    </row>
    <row r="40" customFormat="false" ht="15" hidden="false" customHeight="true" outlineLevel="0" collapsed="false">
      <c r="A40" s="18" t="s">
        <v>66</v>
      </c>
      <c r="B40" s="9" t="s">
        <v>67</v>
      </c>
      <c r="C40" s="9"/>
      <c r="D40" s="9"/>
      <c r="E40" s="9"/>
      <c r="F40" s="9"/>
      <c r="G40" s="9"/>
      <c r="H40" s="9"/>
      <c r="I40" s="19" t="n">
        <f aca="false">$C$8</f>
        <v>0</v>
      </c>
      <c r="J40" s="20" t="s">
        <v>50</v>
      </c>
    </row>
    <row r="41" customFormat="false" ht="15" hidden="false" customHeight="true" outlineLevel="0" collapsed="false">
      <c r="A41" s="18" t="s">
        <v>66</v>
      </c>
      <c r="B41" s="9" t="s">
        <v>68</v>
      </c>
      <c r="C41" s="9"/>
      <c r="D41" s="9"/>
      <c r="E41" s="9"/>
      <c r="F41" s="9"/>
      <c r="G41" s="9"/>
      <c r="H41" s="9"/>
      <c r="I41" s="19" t="n">
        <f aca="false">I42+I43+I44</f>
        <v>0</v>
      </c>
      <c r="J41" s="20" t="s">
        <v>50</v>
      </c>
    </row>
    <row r="42" customFormat="false" ht="15" hidden="false" customHeight="true" outlineLevel="0" collapsed="false">
      <c r="A42" s="18" t="s">
        <v>66</v>
      </c>
      <c r="B42" s="9" t="s">
        <v>69</v>
      </c>
      <c r="C42" s="9"/>
      <c r="D42" s="9"/>
      <c r="E42" s="9"/>
      <c r="F42" s="9"/>
      <c r="G42" s="9"/>
      <c r="H42" s="9"/>
      <c r="I42" s="19" t="n">
        <f aca="false">MAX(0,ROUNDDOWN(I36*$C$7-I33,-3))-I37</f>
        <v>0</v>
      </c>
      <c r="J42" s="20" t="s">
        <v>50</v>
      </c>
    </row>
    <row r="43" customFormat="false" ht="15" hidden="false" customHeight="true" outlineLevel="0" collapsed="false">
      <c r="A43" s="18" t="s">
        <v>66</v>
      </c>
      <c r="B43" s="9" t="s">
        <v>70</v>
      </c>
      <c r="C43" s="9"/>
      <c r="D43" s="9"/>
      <c r="E43" s="9"/>
      <c r="F43" s="9"/>
      <c r="G43" s="9"/>
      <c r="H43" s="9"/>
      <c r="I43" s="19" t="n">
        <v>0</v>
      </c>
      <c r="J43" s="20" t="s">
        <v>50</v>
      </c>
    </row>
    <row r="44" customFormat="false" ht="15" hidden="false" customHeight="true" outlineLevel="0" collapsed="false">
      <c r="A44" s="18" t="s">
        <v>66</v>
      </c>
      <c r="B44" s="9" t="s">
        <v>71</v>
      </c>
      <c r="C44" s="9"/>
      <c r="D44" s="9"/>
      <c r="E44" s="9"/>
      <c r="F44" s="9"/>
      <c r="G44" s="9"/>
      <c r="H44" s="9"/>
      <c r="I44" s="19" t="n">
        <v>0</v>
      </c>
      <c r="J44" s="20" t="s">
        <v>50</v>
      </c>
    </row>
    <row r="45" customFormat="false" ht="15" hidden="false" customHeight="true" outlineLevel="0" collapsed="false">
      <c r="A45" s="21" t="s">
        <v>72</v>
      </c>
      <c r="B45" s="22" t="s">
        <v>73</v>
      </c>
      <c r="C45" s="22"/>
      <c r="D45" s="22"/>
      <c r="E45" s="22"/>
      <c r="F45" s="22"/>
      <c r="G45" s="22"/>
      <c r="H45" s="22"/>
      <c r="I45" s="23" t="n">
        <f aca="false">I46+I47</f>
        <v>0</v>
      </c>
      <c r="J45" s="20" t="s">
        <v>50</v>
      </c>
    </row>
    <row r="46" customFormat="false" ht="15" hidden="false" customHeight="true" outlineLevel="0" collapsed="false">
      <c r="A46" s="18" t="s">
        <v>74</v>
      </c>
      <c r="B46" s="9" t="s">
        <v>67</v>
      </c>
      <c r="C46" s="9"/>
      <c r="D46" s="9"/>
      <c r="E46" s="9"/>
      <c r="F46" s="9"/>
      <c r="G46" s="9"/>
      <c r="H46" s="9"/>
      <c r="I46" s="19" t="n">
        <f aca="false">$C$4+$C$8-($C$5+I37)</f>
        <v>0</v>
      </c>
      <c r="J46" s="20" t="s">
        <v>50</v>
      </c>
    </row>
    <row r="47" customFormat="false" ht="15" hidden="false" customHeight="true" outlineLevel="0" collapsed="false">
      <c r="A47" s="18" t="s">
        <v>75</v>
      </c>
      <c r="B47" s="9" t="s">
        <v>68</v>
      </c>
      <c r="C47" s="9"/>
      <c r="D47" s="9"/>
      <c r="E47" s="9"/>
      <c r="F47" s="9"/>
      <c r="G47" s="9"/>
      <c r="H47" s="9"/>
      <c r="I47" s="19" t="n">
        <f aca="false">I48+I49+I50</f>
        <v>0</v>
      </c>
      <c r="J47" s="20" t="s">
        <v>50</v>
      </c>
    </row>
    <row r="48" customFormat="false" ht="15" hidden="false" customHeight="true" outlineLevel="0" collapsed="false">
      <c r="A48" s="18" t="s">
        <v>66</v>
      </c>
      <c r="B48" s="9" t="s">
        <v>69</v>
      </c>
      <c r="C48" s="9"/>
      <c r="D48" s="9"/>
      <c r="E48" s="9"/>
      <c r="F48" s="9"/>
      <c r="G48" s="9"/>
      <c r="H48" s="9"/>
      <c r="I48" s="19" t="n">
        <f aca="false">I33+I37+I42</f>
        <v>0</v>
      </c>
      <c r="J48" s="20" t="s">
        <v>50</v>
      </c>
    </row>
    <row r="49" customFormat="false" ht="15" hidden="false" customHeight="true" outlineLevel="0" collapsed="false">
      <c r="A49" s="18" t="s">
        <v>66</v>
      </c>
      <c r="B49" s="9" t="s">
        <v>70</v>
      </c>
      <c r="C49" s="9"/>
      <c r="D49" s="9"/>
      <c r="E49" s="9"/>
      <c r="F49" s="9"/>
      <c r="G49" s="9"/>
      <c r="H49" s="9"/>
      <c r="I49" s="19" t="n">
        <v>0</v>
      </c>
      <c r="J49" s="20" t="s">
        <v>50</v>
      </c>
    </row>
    <row r="50" customFormat="false" ht="15" hidden="false" customHeight="true" outlineLevel="0" collapsed="false">
      <c r="A50" s="18" t="s">
        <v>66</v>
      </c>
      <c r="B50" s="9" t="s">
        <v>71</v>
      </c>
      <c r="C50" s="9"/>
      <c r="D50" s="9"/>
      <c r="E50" s="9"/>
      <c r="F50" s="9"/>
      <c r="G50" s="9"/>
      <c r="H50" s="9"/>
      <c r="I50" s="19" t="n">
        <v>0</v>
      </c>
      <c r="J50" s="20" t="s">
        <v>50</v>
      </c>
    </row>
    <row r="52" customFormat="false" ht="15" hidden="false" customHeight="true" outlineLevel="0" collapsed="false">
      <c r="I52" s="25" t="s">
        <v>76</v>
      </c>
      <c r="J52" s="25"/>
      <c r="K52" s="25"/>
      <c r="L52" s="25"/>
    </row>
    <row r="53" customFormat="false" ht="15" hidden="false" customHeight="true" outlineLevel="0" collapsed="false">
      <c r="A53" s="6" t="s">
        <v>77</v>
      </c>
      <c r="B53" s="6"/>
      <c r="C53" s="6"/>
      <c r="D53" s="6"/>
      <c r="H53" s="6" t="s">
        <v>78</v>
      </c>
      <c r="I53" s="6"/>
      <c r="J53" s="6"/>
      <c r="K53" s="6"/>
      <c r="L53" s="6"/>
    </row>
    <row r="54" customFormat="false" ht="15" hidden="false" customHeight="true" outlineLevel="0" collapsed="false">
      <c r="A54" s="6" t="s">
        <v>79</v>
      </c>
      <c r="B54" s="6"/>
      <c r="C54" s="6"/>
      <c r="D54" s="6"/>
      <c r="H54" s="6" t="s">
        <v>80</v>
      </c>
      <c r="I54" s="6"/>
      <c r="J54" s="6"/>
      <c r="K54" s="6"/>
      <c r="L54" s="6"/>
    </row>
    <row r="59" customFormat="false" ht="15" hidden="false" customHeight="true" outlineLevel="0" collapsed="false">
      <c r="A59" s="6" t="s">
        <v>81</v>
      </c>
      <c r="B59" s="6"/>
      <c r="C59" s="6"/>
      <c r="D59" s="6"/>
      <c r="H59" s="6" t="s">
        <v>82</v>
      </c>
      <c r="I59" s="6"/>
      <c r="J59" s="6"/>
      <c r="K59" s="6"/>
      <c r="L59" s="6"/>
    </row>
  </sheetData>
  <mergeCells count="54">
    <mergeCell ref="A2:B2"/>
    <mergeCell ref="C2:F2"/>
    <mergeCell ref="A3:B3"/>
    <mergeCell ref="C3:F3"/>
    <mergeCell ref="A4:B4"/>
    <mergeCell ref="A5:B5"/>
    <mergeCell ref="A6:B6"/>
    <mergeCell ref="A7:B7"/>
    <mergeCell ref="A8:B8"/>
    <mergeCell ref="A9:B9"/>
    <mergeCell ref="A12:D12"/>
    <mergeCell ref="K12:L12"/>
    <mergeCell ref="A14:L14"/>
    <mergeCell ref="A15:L15"/>
    <mergeCell ref="A16:L16"/>
    <mergeCell ref="A17:L17"/>
    <mergeCell ref="A18:L18"/>
    <mergeCell ref="A19:L19"/>
    <mergeCell ref="A20:L20"/>
    <mergeCell ref="A21:L21"/>
    <mergeCell ref="B23:D23"/>
    <mergeCell ref="B24:D24"/>
    <mergeCell ref="B25:D25"/>
    <mergeCell ref="B26:D26"/>
    <mergeCell ref="B27:D27"/>
    <mergeCell ref="B28:D28"/>
    <mergeCell ref="A29:D29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I52:L52"/>
    <mergeCell ref="A53:D53"/>
    <mergeCell ref="H53:L53"/>
    <mergeCell ref="A54:D54"/>
    <mergeCell ref="H54:L54"/>
    <mergeCell ref="A59:D59"/>
    <mergeCell ref="H59:L59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8" min="4" style="0" width="14"/>
  </cols>
  <sheetData>
    <row r="1" customFormat="false" ht="17.35" hidden="false" customHeight="true" outlineLevel="0" collapsed="false">
      <c r="A1" s="8" t="s">
        <v>83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25" t="str">
        <f aca="false">"(Kèm theo "&amp;'03a TT'!$C$3&amp;")"</f>
        <v>(Kèm theo Biên bản nghiệm thu hoàn thành giai đoạn số ....../BBNT ngày ...../...../2026)</v>
      </c>
      <c r="B2" s="25"/>
      <c r="C2" s="25"/>
      <c r="D2" s="25"/>
      <c r="E2" s="25"/>
      <c r="F2" s="25"/>
      <c r="G2" s="25"/>
      <c r="H2" s="25"/>
    </row>
    <row r="3" customFormat="false" ht="33" hidden="false" customHeight="true" outlineLevel="0" collapsed="false">
      <c r="A3" s="9" t="s">
        <v>84</v>
      </c>
      <c r="B3" s="9"/>
      <c r="C3" s="9"/>
      <c r="D3" s="9"/>
      <c r="E3" s="9"/>
      <c r="F3" s="9"/>
      <c r="G3" s="9"/>
      <c r="H3" s="9"/>
    </row>
    <row r="5" customFormat="false" ht="15" hidden="false" customHeight="true" outlineLevel="0" collapsed="false">
      <c r="A5" s="15" t="s">
        <v>19</v>
      </c>
      <c r="B5" s="15" t="s">
        <v>85</v>
      </c>
      <c r="C5" s="15" t="s">
        <v>86</v>
      </c>
      <c r="D5" s="15" t="s">
        <v>87</v>
      </c>
      <c r="E5" s="15"/>
      <c r="F5" s="15"/>
      <c r="G5" s="15"/>
      <c r="H5" s="15" t="s">
        <v>28</v>
      </c>
    </row>
    <row r="6" customFormat="false" ht="15" hidden="false" customHeight="true" outlineLevel="0" collapsed="false">
      <c r="A6" s="15"/>
      <c r="B6" s="15"/>
      <c r="C6" s="15"/>
      <c r="D6" s="15" t="s">
        <v>88</v>
      </c>
      <c r="E6" s="15" t="s">
        <v>89</v>
      </c>
      <c r="F6" s="15"/>
      <c r="G6" s="15"/>
      <c r="H6" s="15"/>
    </row>
    <row r="7" customFormat="false" ht="26.85" hidden="false" customHeight="false" outlineLevel="0" collapsed="false">
      <c r="A7" s="15"/>
      <c r="B7" s="15"/>
      <c r="C7" s="15"/>
      <c r="D7" s="15"/>
      <c r="E7" s="15" t="s">
        <v>90</v>
      </c>
      <c r="F7" s="15" t="s">
        <v>91</v>
      </c>
      <c r="G7" s="15" t="s">
        <v>92</v>
      </c>
      <c r="H7" s="15"/>
    </row>
    <row r="8" customFormat="false" ht="15" hidden="false" customHeight="false" outlineLevel="0" collapsed="false">
      <c r="A8" s="26" t="s">
        <v>29</v>
      </c>
      <c r="B8" s="26" t="s">
        <v>30</v>
      </c>
      <c r="C8" s="26" t="s">
        <v>31</v>
      </c>
      <c r="D8" s="26" t="s">
        <v>32</v>
      </c>
      <c r="E8" s="26" t="s">
        <v>33</v>
      </c>
      <c r="F8" s="26" t="s">
        <v>34</v>
      </c>
      <c r="G8" s="26" t="s">
        <v>93</v>
      </c>
      <c r="H8" s="26" t="s">
        <v>36</v>
      </c>
    </row>
    <row r="9" customFormat="false" ht="15" hidden="false" customHeight="false" outlineLevel="0" collapsed="false">
      <c r="A9" s="12" t="s">
        <v>2</v>
      </c>
      <c r="B9" s="13" t="s">
        <v>94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A10" s="12" t="s">
        <v>95</v>
      </c>
      <c r="B10" s="28" t="s">
        <v>96</v>
      </c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29" t="s">
        <v>97</v>
      </c>
      <c r="B11" s="27" t="s">
        <v>98</v>
      </c>
      <c r="C11" s="29" t="s">
        <v>99</v>
      </c>
      <c r="D11" s="30" t="n">
        <v>11.2167</v>
      </c>
      <c r="E11" s="31" t="n">
        <v>0</v>
      </c>
      <c r="F11" s="31" t="n">
        <v>0</v>
      </c>
      <c r="G11" s="32" t="n">
        <f aca="false">E11+F11</f>
        <v>0</v>
      </c>
      <c r="H11" s="33" t="str">
        <f aca="false">IF(G11&gt;D11,"Vượt KL HĐ","")</f>
        <v/>
      </c>
    </row>
    <row r="12" customFormat="false" ht="15" hidden="false" customHeight="false" outlineLevel="0" collapsed="false">
      <c r="A12" s="29" t="s">
        <v>100</v>
      </c>
      <c r="B12" s="27" t="s">
        <v>101</v>
      </c>
      <c r="C12" s="29" t="s">
        <v>99</v>
      </c>
      <c r="D12" s="30" t="n">
        <v>11.2167</v>
      </c>
      <c r="E12" s="31" t="n">
        <v>0</v>
      </c>
      <c r="F12" s="31" t="n">
        <v>0</v>
      </c>
      <c r="G12" s="32" t="n">
        <f aca="false">E12+F12</f>
        <v>0</v>
      </c>
      <c r="H12" s="33" t="str">
        <f aca="false">IF(G12&gt;D12,"Vượt KL HĐ","")</f>
        <v/>
      </c>
    </row>
    <row r="13" customFormat="false" ht="26.85" hidden="false" customHeight="false" outlineLevel="0" collapsed="false">
      <c r="A13" s="29" t="s">
        <v>102</v>
      </c>
      <c r="B13" s="27" t="s">
        <v>103</v>
      </c>
      <c r="C13" s="29" t="s">
        <v>99</v>
      </c>
      <c r="D13" s="30" t="n">
        <v>11.2167</v>
      </c>
      <c r="E13" s="31" t="n">
        <v>0</v>
      </c>
      <c r="F13" s="31" t="n">
        <v>0</v>
      </c>
      <c r="G13" s="32" t="n">
        <f aca="false">E13+F13</f>
        <v>0</v>
      </c>
      <c r="H13" s="33" t="str">
        <f aca="false">IF(G13&gt;D13,"Vượt KL HĐ","")</f>
        <v/>
      </c>
    </row>
    <row r="14" customFormat="false" ht="26.85" hidden="false" customHeight="false" outlineLevel="0" collapsed="false">
      <c r="A14" s="29" t="s">
        <v>104</v>
      </c>
      <c r="B14" s="27" t="s">
        <v>105</v>
      </c>
      <c r="C14" s="29" t="s">
        <v>106</v>
      </c>
      <c r="D14" s="30" t="n">
        <v>65.0131</v>
      </c>
      <c r="E14" s="31" t="n">
        <v>0</v>
      </c>
      <c r="F14" s="31" t="n">
        <v>0</v>
      </c>
      <c r="G14" s="32" t="n">
        <f aca="false">E14+F14</f>
        <v>0</v>
      </c>
      <c r="H14" s="33" t="str">
        <f aca="false">IF(G14&gt;D14,"Vượt KL HĐ","")</f>
        <v/>
      </c>
    </row>
    <row r="15" customFormat="false" ht="15" hidden="false" customHeight="false" outlineLevel="0" collapsed="false">
      <c r="A15" s="29" t="s">
        <v>107</v>
      </c>
      <c r="B15" s="27" t="s">
        <v>108</v>
      </c>
      <c r="C15" s="29" t="s">
        <v>106</v>
      </c>
      <c r="D15" s="30" t="n">
        <v>65.0131</v>
      </c>
      <c r="E15" s="31" t="n">
        <v>0</v>
      </c>
      <c r="F15" s="31" t="n">
        <v>0</v>
      </c>
      <c r="G15" s="32" t="n">
        <f aca="false">E15+F15</f>
        <v>0</v>
      </c>
      <c r="H15" s="33" t="str">
        <f aca="false">IF(G15&gt;D15,"Vượt KL HĐ","")</f>
        <v/>
      </c>
    </row>
    <row r="16" customFormat="false" ht="15" hidden="false" customHeight="false" outlineLevel="0" collapsed="false">
      <c r="A16" s="29" t="s">
        <v>109</v>
      </c>
      <c r="B16" s="27" t="s">
        <v>110</v>
      </c>
      <c r="C16" s="29" t="s">
        <v>111</v>
      </c>
      <c r="D16" s="30" t="n">
        <v>9.4043</v>
      </c>
      <c r="E16" s="31" t="n">
        <v>0</v>
      </c>
      <c r="F16" s="31" t="n">
        <v>0</v>
      </c>
      <c r="G16" s="32" t="n">
        <f aca="false">E16+F16</f>
        <v>0</v>
      </c>
      <c r="H16" s="33" t="str">
        <f aca="false">IF(G16&gt;D16,"Vượt KL HĐ","")</f>
        <v/>
      </c>
    </row>
    <row r="17" customFormat="false" ht="15" hidden="false" customHeight="false" outlineLevel="0" collapsed="false">
      <c r="A17" s="29" t="s">
        <v>112</v>
      </c>
      <c r="B17" s="27" t="s">
        <v>113</v>
      </c>
      <c r="C17" s="29" t="s">
        <v>111</v>
      </c>
      <c r="D17" s="30" t="n">
        <v>11.3547</v>
      </c>
      <c r="E17" s="31" t="n">
        <v>0</v>
      </c>
      <c r="F17" s="31" t="n">
        <v>0</v>
      </c>
      <c r="G17" s="32" t="n">
        <f aca="false">E17+F17</f>
        <v>0</v>
      </c>
      <c r="H17" s="33" t="str">
        <f aca="false">IF(G17&gt;D17,"Vượt KL HĐ","")</f>
        <v/>
      </c>
    </row>
    <row r="18" customFormat="false" ht="15" hidden="false" customHeight="false" outlineLevel="0" collapsed="false">
      <c r="A18" s="29" t="s">
        <v>114</v>
      </c>
      <c r="B18" s="27" t="s">
        <v>115</v>
      </c>
      <c r="C18" s="29" t="s">
        <v>116</v>
      </c>
      <c r="D18" s="30" t="n">
        <v>2639.947</v>
      </c>
      <c r="E18" s="31" t="n">
        <v>0</v>
      </c>
      <c r="F18" s="31" t="n">
        <v>0</v>
      </c>
      <c r="G18" s="32" t="n">
        <f aca="false">E18+F18</f>
        <v>0</v>
      </c>
      <c r="H18" s="33" t="str">
        <f aca="false">IF(G18&gt;D18,"Vượt KL HĐ","")</f>
        <v/>
      </c>
    </row>
    <row r="19" customFormat="false" ht="15" hidden="false" customHeight="false" outlineLevel="0" collapsed="false">
      <c r="A19" s="29" t="s">
        <v>117</v>
      </c>
      <c r="B19" s="27" t="s">
        <v>118</v>
      </c>
      <c r="C19" s="29" t="s">
        <v>111</v>
      </c>
      <c r="D19" s="30" t="n">
        <v>18.8084</v>
      </c>
      <c r="E19" s="31" t="n">
        <v>0</v>
      </c>
      <c r="F19" s="31" t="n">
        <v>0</v>
      </c>
      <c r="G19" s="32" t="n">
        <f aca="false">E19+F19</f>
        <v>0</v>
      </c>
      <c r="H19" s="33" t="str">
        <f aca="false">IF(G19&gt;D19,"Vượt KL HĐ","")</f>
        <v/>
      </c>
    </row>
    <row r="20" customFormat="false" ht="15" hidden="false" customHeight="false" outlineLevel="0" collapsed="false">
      <c r="A20" s="29" t="s">
        <v>119</v>
      </c>
      <c r="B20" s="27" t="s">
        <v>120</v>
      </c>
      <c r="C20" s="29" t="s">
        <v>116</v>
      </c>
      <c r="D20" s="30" t="n">
        <v>23694.4749</v>
      </c>
      <c r="E20" s="31" t="n">
        <v>0</v>
      </c>
      <c r="F20" s="31" t="n">
        <v>0</v>
      </c>
      <c r="G20" s="32" t="n">
        <f aca="false">E20+F20</f>
        <v>0</v>
      </c>
      <c r="H20" s="33" t="str">
        <f aca="false">IF(G20&gt;D20,"Vượt KL HĐ","")</f>
        <v/>
      </c>
    </row>
    <row r="21" customFormat="false" ht="15" hidden="false" customHeight="false" outlineLevel="0" collapsed="false">
      <c r="A21" s="29" t="s">
        <v>121</v>
      </c>
      <c r="B21" s="27" t="s">
        <v>122</v>
      </c>
      <c r="C21" s="29" t="s">
        <v>111</v>
      </c>
      <c r="D21" s="30" t="n">
        <v>174.3717</v>
      </c>
      <c r="E21" s="31" t="n">
        <v>0</v>
      </c>
      <c r="F21" s="31" t="n">
        <v>0</v>
      </c>
      <c r="G21" s="32" t="n">
        <f aca="false">E21+F21</f>
        <v>0</v>
      </c>
      <c r="H21" s="33" t="str">
        <f aca="false">IF(G21&gt;D21,"Vượt KL HĐ","")</f>
        <v/>
      </c>
    </row>
    <row r="22" customFormat="false" ht="15" hidden="false" customHeight="false" outlineLevel="0" collapsed="false">
      <c r="A22" s="29" t="s">
        <v>123</v>
      </c>
      <c r="B22" s="27" t="s">
        <v>124</v>
      </c>
      <c r="C22" s="29" t="s">
        <v>111</v>
      </c>
      <c r="D22" s="30" t="n">
        <v>1.0778</v>
      </c>
      <c r="E22" s="31" t="n">
        <v>0</v>
      </c>
      <c r="F22" s="31" t="n">
        <v>0</v>
      </c>
      <c r="G22" s="32" t="n">
        <f aca="false">E22+F22</f>
        <v>0</v>
      </c>
      <c r="H22" s="33" t="str">
        <f aca="false">IF(G22&gt;D22,"Vượt KL HĐ","")</f>
        <v/>
      </c>
    </row>
    <row r="23" customFormat="false" ht="15" hidden="false" customHeight="false" outlineLevel="0" collapsed="false">
      <c r="A23" s="29" t="s">
        <v>125</v>
      </c>
      <c r="B23" s="27" t="s">
        <v>126</v>
      </c>
      <c r="C23" s="29" t="s">
        <v>111</v>
      </c>
      <c r="D23" s="30" t="n">
        <v>30.6066</v>
      </c>
      <c r="E23" s="31" t="n">
        <v>0</v>
      </c>
      <c r="F23" s="31" t="n">
        <v>0</v>
      </c>
      <c r="G23" s="32" t="n">
        <f aca="false">E23+F23</f>
        <v>0</v>
      </c>
      <c r="H23" s="33" t="str">
        <f aca="false">IF(G23&gt;D23,"Vượt KL HĐ","")</f>
        <v/>
      </c>
    </row>
    <row r="24" customFormat="false" ht="15" hidden="false" customHeight="false" outlineLevel="0" collapsed="false">
      <c r="A24" s="12" t="s">
        <v>127</v>
      </c>
      <c r="B24" s="28" t="s">
        <v>128</v>
      </c>
      <c r="C24" s="27"/>
      <c r="D24" s="27"/>
      <c r="E24" s="27"/>
      <c r="F24" s="27"/>
      <c r="G24" s="27"/>
      <c r="H24" s="27"/>
    </row>
    <row r="25" customFormat="false" ht="15" hidden="false" customHeight="false" outlineLevel="0" collapsed="false">
      <c r="A25" s="29" t="s">
        <v>129</v>
      </c>
      <c r="B25" s="27" t="s">
        <v>130</v>
      </c>
      <c r="C25" s="29" t="s">
        <v>131</v>
      </c>
      <c r="D25" s="30" t="n">
        <v>470.17</v>
      </c>
      <c r="E25" s="31" t="n">
        <v>0</v>
      </c>
      <c r="F25" s="31" t="n">
        <v>0</v>
      </c>
      <c r="G25" s="32" t="n">
        <f aca="false">E25+F25</f>
        <v>0</v>
      </c>
      <c r="H25" s="33" t="str">
        <f aca="false">IF(G25&gt;D25,"Vượt KL HĐ","")</f>
        <v/>
      </c>
    </row>
    <row r="26" customFormat="false" ht="15" hidden="false" customHeight="false" outlineLevel="0" collapsed="false">
      <c r="A26" s="12" t="s">
        <v>132</v>
      </c>
      <c r="B26" s="13" t="s">
        <v>133</v>
      </c>
      <c r="C26" s="27"/>
      <c r="D26" s="27"/>
      <c r="E26" s="27"/>
      <c r="F26" s="27"/>
      <c r="G26" s="27"/>
      <c r="H26" s="27"/>
    </row>
    <row r="27" customFormat="false" ht="15" hidden="false" customHeight="false" outlineLevel="0" collapsed="false">
      <c r="A27" s="12" t="s">
        <v>53</v>
      </c>
      <c r="B27" s="28" t="s">
        <v>134</v>
      </c>
      <c r="C27" s="27"/>
      <c r="D27" s="27"/>
      <c r="E27" s="27"/>
      <c r="F27" s="27"/>
      <c r="G27" s="27"/>
      <c r="H27" s="27"/>
    </row>
    <row r="28" customFormat="false" ht="15" hidden="false" customHeight="false" outlineLevel="0" collapsed="false">
      <c r="A28" s="29" t="s">
        <v>135</v>
      </c>
      <c r="B28" s="27" t="s">
        <v>136</v>
      </c>
      <c r="C28" s="29" t="s">
        <v>116</v>
      </c>
      <c r="D28" s="30" t="n">
        <v>121.79</v>
      </c>
      <c r="E28" s="31" t="n">
        <v>0</v>
      </c>
      <c r="F28" s="31" t="n">
        <v>0</v>
      </c>
      <c r="G28" s="32" t="n">
        <f aca="false">E28+F28</f>
        <v>0</v>
      </c>
      <c r="H28" s="33" t="str">
        <f aca="false">IF(G28&gt;D28,"Vượt KL HĐ","")</f>
        <v/>
      </c>
    </row>
    <row r="29" customFormat="false" ht="15" hidden="false" customHeight="false" outlineLevel="0" collapsed="false">
      <c r="A29" s="29" t="s">
        <v>137</v>
      </c>
      <c r="B29" s="27" t="s">
        <v>138</v>
      </c>
      <c r="C29" s="29" t="s">
        <v>116</v>
      </c>
      <c r="D29" s="30" t="n">
        <v>182.69</v>
      </c>
      <c r="E29" s="31" t="n">
        <v>0</v>
      </c>
      <c r="F29" s="31" t="n">
        <v>0</v>
      </c>
      <c r="G29" s="32" t="n">
        <f aca="false">E29+F29</f>
        <v>0</v>
      </c>
      <c r="H29" s="33" t="str">
        <f aca="false">IF(G29&gt;D29,"Vượt KL HĐ","")</f>
        <v/>
      </c>
    </row>
    <row r="30" customFormat="false" ht="15" hidden="false" customHeight="false" outlineLevel="0" collapsed="false">
      <c r="A30" s="29" t="s">
        <v>139</v>
      </c>
      <c r="B30" s="27" t="s">
        <v>140</v>
      </c>
      <c r="C30" s="29" t="s">
        <v>106</v>
      </c>
      <c r="D30" s="30" t="n">
        <v>2.4856</v>
      </c>
      <c r="E30" s="31" t="n">
        <v>0</v>
      </c>
      <c r="F30" s="31" t="n">
        <v>0</v>
      </c>
      <c r="G30" s="32" t="n">
        <f aca="false">E30+F30</f>
        <v>0</v>
      </c>
      <c r="H30" s="33" t="str">
        <f aca="false">IF(G30&gt;D30,"Vượt KL HĐ","")</f>
        <v/>
      </c>
    </row>
    <row r="31" customFormat="false" ht="15" hidden="false" customHeight="false" outlineLevel="0" collapsed="false">
      <c r="A31" s="29" t="s">
        <v>141</v>
      </c>
      <c r="B31" s="27" t="s">
        <v>142</v>
      </c>
      <c r="C31" s="29" t="s">
        <v>116</v>
      </c>
      <c r="D31" s="30" t="n">
        <v>255.18</v>
      </c>
      <c r="E31" s="31" t="n">
        <v>0</v>
      </c>
      <c r="F31" s="31" t="n">
        <v>0</v>
      </c>
      <c r="G31" s="32" t="n">
        <f aca="false">E31+F31</f>
        <v>0</v>
      </c>
      <c r="H31" s="33" t="str">
        <f aca="false">IF(G31&gt;D31,"Vượt KL HĐ","")</f>
        <v/>
      </c>
    </row>
    <row r="32" customFormat="false" ht="15" hidden="false" customHeight="false" outlineLevel="0" collapsed="false">
      <c r="A32" s="29" t="s">
        <v>143</v>
      </c>
      <c r="B32" s="27" t="s">
        <v>144</v>
      </c>
      <c r="C32" s="29" t="s">
        <v>131</v>
      </c>
      <c r="D32" s="30" t="n">
        <v>1159.93</v>
      </c>
      <c r="E32" s="31" t="n">
        <v>0</v>
      </c>
      <c r="F32" s="31" t="n">
        <v>0</v>
      </c>
      <c r="G32" s="32" t="n">
        <f aca="false">E32+F32</f>
        <v>0</v>
      </c>
      <c r="H32" s="33" t="str">
        <f aca="false">IF(G32&gt;D32,"Vượt KL HĐ","")</f>
        <v/>
      </c>
    </row>
    <row r="33" customFormat="false" ht="15" hidden="false" customHeight="false" outlineLevel="0" collapsed="false">
      <c r="A33" s="29" t="s">
        <v>145</v>
      </c>
      <c r="B33" s="27" t="s">
        <v>146</v>
      </c>
      <c r="C33" s="29" t="s">
        <v>116</v>
      </c>
      <c r="D33" s="30" t="n">
        <v>53.85</v>
      </c>
      <c r="E33" s="31" t="n">
        <v>0</v>
      </c>
      <c r="F33" s="31" t="n">
        <v>0</v>
      </c>
      <c r="G33" s="32" t="n">
        <f aca="false">E33+F33</f>
        <v>0</v>
      </c>
      <c r="H33" s="33" t="str">
        <f aca="false">IF(G33&gt;D33,"Vượt KL HĐ","")</f>
        <v/>
      </c>
    </row>
    <row r="34" customFormat="false" ht="15" hidden="false" customHeight="false" outlineLevel="0" collapsed="false">
      <c r="A34" s="29" t="s">
        <v>147</v>
      </c>
      <c r="B34" s="27" t="s">
        <v>148</v>
      </c>
      <c r="C34" s="29" t="s">
        <v>149</v>
      </c>
      <c r="D34" s="30" t="n">
        <v>5.7168</v>
      </c>
      <c r="E34" s="31" t="n">
        <v>0</v>
      </c>
      <c r="F34" s="31" t="n">
        <v>0</v>
      </c>
      <c r="G34" s="32" t="n">
        <f aca="false">E34+F34</f>
        <v>0</v>
      </c>
      <c r="H34" s="33" t="str">
        <f aca="false">IF(G34&gt;D34,"Vượt KL HĐ","")</f>
        <v/>
      </c>
    </row>
    <row r="35" customFormat="false" ht="15" hidden="false" customHeight="false" outlineLevel="0" collapsed="false">
      <c r="A35" s="29" t="s">
        <v>150</v>
      </c>
      <c r="B35" s="27" t="s">
        <v>151</v>
      </c>
      <c r="C35" s="29" t="s">
        <v>106</v>
      </c>
      <c r="D35" s="30" t="n">
        <v>3.3969</v>
      </c>
      <c r="E35" s="31" t="n">
        <v>0</v>
      </c>
      <c r="F35" s="31" t="n">
        <v>0</v>
      </c>
      <c r="G35" s="32" t="n">
        <f aca="false">E35+F35</f>
        <v>0</v>
      </c>
      <c r="H35" s="33" t="str">
        <f aca="false">IF(G35&gt;D35,"Vượt KL HĐ","")</f>
        <v/>
      </c>
    </row>
    <row r="36" customFormat="false" ht="15" hidden="false" customHeight="false" outlineLevel="0" collapsed="false">
      <c r="A36" s="29" t="s">
        <v>152</v>
      </c>
      <c r="B36" s="27" t="s">
        <v>153</v>
      </c>
      <c r="C36" s="29" t="s">
        <v>116</v>
      </c>
      <c r="D36" s="30" t="n">
        <v>86.99</v>
      </c>
      <c r="E36" s="31" t="n">
        <v>0</v>
      </c>
      <c r="F36" s="31" t="n">
        <v>0</v>
      </c>
      <c r="G36" s="32" t="n">
        <f aca="false">E36+F36</f>
        <v>0</v>
      </c>
      <c r="H36" s="33" t="str">
        <f aca="false">IF(G36&gt;D36,"Vượt KL HĐ","")</f>
        <v/>
      </c>
    </row>
    <row r="37" customFormat="false" ht="15" hidden="false" customHeight="false" outlineLevel="0" collapsed="false">
      <c r="A37" s="29" t="s">
        <v>154</v>
      </c>
      <c r="B37" s="27" t="s">
        <v>155</v>
      </c>
      <c r="C37" s="29" t="s">
        <v>149</v>
      </c>
      <c r="D37" s="30" t="n">
        <v>8.0946</v>
      </c>
      <c r="E37" s="31" t="n">
        <v>0</v>
      </c>
      <c r="F37" s="31" t="n">
        <v>0</v>
      </c>
      <c r="G37" s="32" t="n">
        <f aca="false">E37+F37</f>
        <v>0</v>
      </c>
      <c r="H37" s="33" t="str">
        <f aca="false">IF(G37&gt;D37,"Vượt KL HĐ","")</f>
        <v/>
      </c>
    </row>
    <row r="38" customFormat="false" ht="15" hidden="false" customHeight="false" outlineLevel="0" collapsed="false">
      <c r="A38" s="29" t="s">
        <v>156</v>
      </c>
      <c r="B38" s="27" t="s">
        <v>157</v>
      </c>
      <c r="C38" s="29" t="s">
        <v>149</v>
      </c>
      <c r="D38" s="30" t="n">
        <v>6.1145</v>
      </c>
      <c r="E38" s="31" t="n">
        <v>0</v>
      </c>
      <c r="F38" s="31" t="n">
        <v>0</v>
      </c>
      <c r="G38" s="32" t="n">
        <f aca="false">E38+F38</f>
        <v>0</v>
      </c>
      <c r="H38" s="33" t="str">
        <f aca="false">IF(G38&gt;D38,"Vượt KL HĐ","")</f>
        <v/>
      </c>
    </row>
    <row r="39" customFormat="false" ht="15" hidden="false" customHeight="false" outlineLevel="0" collapsed="false">
      <c r="A39" s="29" t="s">
        <v>158</v>
      </c>
      <c r="B39" s="27" t="s">
        <v>159</v>
      </c>
      <c r="C39" s="29" t="s">
        <v>160</v>
      </c>
      <c r="D39" s="30" t="n">
        <v>829</v>
      </c>
      <c r="E39" s="31" t="n">
        <v>0</v>
      </c>
      <c r="F39" s="31" t="n">
        <v>0</v>
      </c>
      <c r="G39" s="32" t="n">
        <f aca="false">E39+F39</f>
        <v>0</v>
      </c>
      <c r="H39" s="33" t="str">
        <f aca="false">IF(G39&gt;D39,"Vượt KL HĐ","")</f>
        <v/>
      </c>
    </row>
    <row r="40" customFormat="false" ht="15" hidden="false" customHeight="false" outlineLevel="0" collapsed="false">
      <c r="A40" s="12" t="s">
        <v>55</v>
      </c>
      <c r="B40" s="28" t="s">
        <v>161</v>
      </c>
      <c r="C40" s="27"/>
      <c r="D40" s="27"/>
      <c r="E40" s="27"/>
      <c r="F40" s="27"/>
      <c r="G40" s="27"/>
      <c r="H40" s="27"/>
    </row>
    <row r="41" customFormat="false" ht="15" hidden="false" customHeight="false" outlineLevel="0" collapsed="false">
      <c r="A41" s="29" t="s">
        <v>162</v>
      </c>
      <c r="B41" s="27" t="s">
        <v>136</v>
      </c>
      <c r="C41" s="29" t="s">
        <v>116</v>
      </c>
      <c r="D41" s="30" t="n">
        <v>25.11</v>
      </c>
      <c r="E41" s="31" t="n">
        <v>0</v>
      </c>
      <c r="F41" s="31" t="n">
        <v>0</v>
      </c>
      <c r="G41" s="32" t="n">
        <f aca="false">E41+F41</f>
        <v>0</v>
      </c>
      <c r="H41" s="33" t="str">
        <f aca="false">IF(G41&gt;D41,"Vượt KL HĐ","")</f>
        <v/>
      </c>
    </row>
    <row r="42" customFormat="false" ht="15" hidden="false" customHeight="false" outlineLevel="0" collapsed="false">
      <c r="A42" s="29" t="s">
        <v>163</v>
      </c>
      <c r="B42" s="27" t="s">
        <v>138</v>
      </c>
      <c r="C42" s="29" t="s">
        <v>116</v>
      </c>
      <c r="D42" s="30" t="n">
        <v>46.36</v>
      </c>
      <c r="E42" s="31" t="n">
        <v>0</v>
      </c>
      <c r="F42" s="31" t="n">
        <v>0</v>
      </c>
      <c r="G42" s="32" t="n">
        <f aca="false">E42+F42</f>
        <v>0</v>
      </c>
      <c r="H42" s="33" t="str">
        <f aca="false">IF(G42&gt;D42,"Vượt KL HĐ","")</f>
        <v/>
      </c>
    </row>
    <row r="43" customFormat="false" ht="15" hidden="false" customHeight="false" outlineLevel="0" collapsed="false">
      <c r="A43" s="29" t="s">
        <v>164</v>
      </c>
      <c r="B43" s="27" t="s">
        <v>140</v>
      </c>
      <c r="C43" s="29" t="s">
        <v>106</v>
      </c>
      <c r="D43" s="30" t="n">
        <v>0.7727</v>
      </c>
      <c r="E43" s="31" t="n">
        <v>0</v>
      </c>
      <c r="F43" s="31" t="n">
        <v>0</v>
      </c>
      <c r="G43" s="32" t="n">
        <f aca="false">E43+F43</f>
        <v>0</v>
      </c>
      <c r="H43" s="33" t="str">
        <f aca="false">IF(G43&gt;D43,"Vượt KL HĐ","")</f>
        <v/>
      </c>
    </row>
    <row r="44" customFormat="false" ht="15" hidden="false" customHeight="false" outlineLevel="0" collapsed="false">
      <c r="A44" s="29" t="s">
        <v>165</v>
      </c>
      <c r="B44" s="27" t="s">
        <v>166</v>
      </c>
      <c r="C44" s="29" t="s">
        <v>116</v>
      </c>
      <c r="D44" s="30" t="n">
        <v>67.61</v>
      </c>
      <c r="E44" s="31" t="n">
        <v>0</v>
      </c>
      <c r="F44" s="31" t="n">
        <v>0</v>
      </c>
      <c r="G44" s="32" t="n">
        <f aca="false">E44+F44</f>
        <v>0</v>
      </c>
      <c r="H44" s="33" t="str">
        <f aca="false">IF(G44&gt;D44,"Vượt KL HĐ","")</f>
        <v/>
      </c>
    </row>
    <row r="45" customFormat="false" ht="15" hidden="false" customHeight="false" outlineLevel="0" collapsed="false">
      <c r="A45" s="29" t="s">
        <v>167</v>
      </c>
      <c r="B45" s="27" t="s">
        <v>168</v>
      </c>
      <c r="C45" s="29" t="s">
        <v>106</v>
      </c>
      <c r="D45" s="30" t="n">
        <v>3.6704</v>
      </c>
      <c r="E45" s="31" t="n">
        <v>0</v>
      </c>
      <c r="F45" s="31" t="n">
        <v>0</v>
      </c>
      <c r="G45" s="32" t="n">
        <f aca="false">E45+F45</f>
        <v>0</v>
      </c>
      <c r="H45" s="33" t="str">
        <f aca="false">IF(G45&gt;D45,"Vượt KL HĐ","")</f>
        <v/>
      </c>
    </row>
    <row r="46" customFormat="false" ht="15" hidden="false" customHeight="false" outlineLevel="0" collapsed="false">
      <c r="A46" s="29" t="s">
        <v>169</v>
      </c>
      <c r="B46" s="27" t="s">
        <v>170</v>
      </c>
      <c r="C46" s="29" t="s">
        <v>149</v>
      </c>
      <c r="D46" s="30" t="n">
        <v>5.1786</v>
      </c>
      <c r="E46" s="31" t="n">
        <v>0</v>
      </c>
      <c r="F46" s="31" t="n">
        <v>0</v>
      </c>
      <c r="G46" s="32" t="n">
        <f aca="false">E46+F46</f>
        <v>0</v>
      </c>
      <c r="H46" s="33" t="str">
        <f aca="false">IF(G46&gt;D46,"Vượt KL HĐ","")</f>
        <v/>
      </c>
    </row>
    <row r="47" customFormat="false" ht="15" hidden="false" customHeight="false" outlineLevel="0" collapsed="false">
      <c r="A47" s="29" t="s">
        <v>171</v>
      </c>
      <c r="B47" s="27" t="s">
        <v>172</v>
      </c>
      <c r="C47" s="29" t="s">
        <v>149</v>
      </c>
      <c r="D47" s="30" t="n">
        <v>7.9854</v>
      </c>
      <c r="E47" s="31" t="n">
        <v>0</v>
      </c>
      <c r="F47" s="31" t="n">
        <v>0</v>
      </c>
      <c r="G47" s="32" t="n">
        <f aca="false">E47+F47</f>
        <v>0</v>
      </c>
      <c r="H47" s="33" t="str">
        <f aca="false">IF(G47&gt;D47,"Vượt KL HĐ","")</f>
        <v/>
      </c>
    </row>
    <row r="48" customFormat="false" ht="15" hidden="false" customHeight="false" outlineLevel="0" collapsed="false">
      <c r="A48" s="29" t="s">
        <v>173</v>
      </c>
      <c r="B48" s="27" t="s">
        <v>151</v>
      </c>
      <c r="C48" s="29" t="s">
        <v>106</v>
      </c>
      <c r="D48" s="30" t="n">
        <v>1.1591</v>
      </c>
      <c r="E48" s="31" t="n">
        <v>0</v>
      </c>
      <c r="F48" s="31" t="n">
        <v>0</v>
      </c>
      <c r="G48" s="32" t="n">
        <f aca="false">E48+F48</f>
        <v>0</v>
      </c>
      <c r="H48" s="33" t="str">
        <f aca="false">IF(G48&gt;D48,"Vượt KL HĐ","")</f>
        <v/>
      </c>
    </row>
    <row r="49" customFormat="false" ht="15" hidden="false" customHeight="false" outlineLevel="0" collapsed="false">
      <c r="A49" s="29" t="s">
        <v>174</v>
      </c>
      <c r="B49" s="27" t="s">
        <v>153</v>
      </c>
      <c r="C49" s="29" t="s">
        <v>116</v>
      </c>
      <c r="D49" s="30" t="n">
        <v>28.98</v>
      </c>
      <c r="E49" s="31" t="n">
        <v>0</v>
      </c>
      <c r="F49" s="31" t="n">
        <v>0</v>
      </c>
      <c r="G49" s="32" t="n">
        <f aca="false">E49+F49</f>
        <v>0</v>
      </c>
      <c r="H49" s="33" t="str">
        <f aca="false">IF(G49&gt;D49,"Vượt KL HĐ","")</f>
        <v/>
      </c>
    </row>
    <row r="50" customFormat="false" ht="15" hidden="false" customHeight="false" outlineLevel="0" collapsed="false">
      <c r="A50" s="29" t="s">
        <v>175</v>
      </c>
      <c r="B50" s="27" t="s">
        <v>155</v>
      </c>
      <c r="C50" s="29" t="s">
        <v>149</v>
      </c>
      <c r="D50" s="30" t="n">
        <v>2.4437</v>
      </c>
      <c r="E50" s="31" t="n">
        <v>0</v>
      </c>
      <c r="F50" s="31" t="n">
        <v>0</v>
      </c>
      <c r="G50" s="32" t="n">
        <f aca="false">E50+F50</f>
        <v>0</v>
      </c>
      <c r="H50" s="33" t="str">
        <f aca="false">IF(G50&gt;D50,"Vượt KL HĐ","")</f>
        <v/>
      </c>
    </row>
    <row r="51" customFormat="false" ht="15" hidden="false" customHeight="false" outlineLevel="0" collapsed="false">
      <c r="A51" s="29" t="s">
        <v>176</v>
      </c>
      <c r="B51" s="27" t="s">
        <v>157</v>
      </c>
      <c r="C51" s="29" t="s">
        <v>149</v>
      </c>
      <c r="D51" s="30" t="n">
        <v>4.1514</v>
      </c>
      <c r="E51" s="31" t="n">
        <v>0</v>
      </c>
      <c r="F51" s="31" t="n">
        <v>0</v>
      </c>
      <c r="G51" s="32" t="n">
        <f aca="false">E51+F51</f>
        <v>0</v>
      </c>
      <c r="H51" s="33" t="str">
        <f aca="false">IF(G51&gt;D51,"Vượt KL HĐ","")</f>
        <v/>
      </c>
    </row>
    <row r="52" customFormat="false" ht="15" hidden="false" customHeight="false" outlineLevel="0" collapsed="false">
      <c r="A52" s="29" t="s">
        <v>177</v>
      </c>
      <c r="B52" s="27" t="s">
        <v>159</v>
      </c>
      <c r="C52" s="29" t="s">
        <v>160</v>
      </c>
      <c r="D52" s="30" t="n">
        <v>193</v>
      </c>
      <c r="E52" s="31" t="n">
        <v>0</v>
      </c>
      <c r="F52" s="31" t="n">
        <v>0</v>
      </c>
      <c r="G52" s="32" t="n">
        <f aca="false">E52+F52</f>
        <v>0</v>
      </c>
      <c r="H52" s="33" t="str">
        <f aca="false">IF(G52&gt;D52,"Vượt KL HĐ","")</f>
        <v/>
      </c>
    </row>
    <row r="53" customFormat="false" ht="15" hidden="false" customHeight="false" outlineLevel="0" collapsed="false">
      <c r="A53" s="12" t="s">
        <v>57</v>
      </c>
      <c r="B53" s="28" t="s">
        <v>178</v>
      </c>
      <c r="C53" s="27"/>
      <c r="D53" s="27"/>
      <c r="E53" s="27"/>
      <c r="F53" s="27"/>
      <c r="G53" s="27"/>
      <c r="H53" s="27"/>
    </row>
    <row r="54" customFormat="false" ht="15" hidden="false" customHeight="false" outlineLevel="0" collapsed="false">
      <c r="A54" s="29" t="s">
        <v>179</v>
      </c>
      <c r="B54" s="27" t="s">
        <v>180</v>
      </c>
      <c r="C54" s="29" t="s">
        <v>116</v>
      </c>
      <c r="D54" s="30" t="n">
        <v>12.57</v>
      </c>
      <c r="E54" s="31" t="n">
        <v>0</v>
      </c>
      <c r="F54" s="31" t="n">
        <v>0</v>
      </c>
      <c r="G54" s="32" t="n">
        <f aca="false">E54+F54</f>
        <v>0</v>
      </c>
      <c r="H54" s="33" t="str">
        <f aca="false">IF(G54&gt;D54,"Vượt KL HĐ","")</f>
        <v/>
      </c>
    </row>
    <row r="55" customFormat="false" ht="15" hidden="false" customHeight="false" outlineLevel="0" collapsed="false">
      <c r="A55" s="29" t="s">
        <v>181</v>
      </c>
      <c r="B55" s="27" t="s">
        <v>138</v>
      </c>
      <c r="C55" s="29" t="s">
        <v>116</v>
      </c>
      <c r="D55" s="30" t="n">
        <v>18.85</v>
      </c>
      <c r="E55" s="31" t="n">
        <v>0</v>
      </c>
      <c r="F55" s="31" t="n">
        <v>0</v>
      </c>
      <c r="G55" s="32" t="n">
        <f aca="false">E55+F55</f>
        <v>0</v>
      </c>
      <c r="H55" s="33" t="str">
        <f aca="false">IF(G55&gt;D55,"Vượt KL HĐ","")</f>
        <v/>
      </c>
    </row>
    <row r="56" customFormat="false" ht="15" hidden="false" customHeight="false" outlineLevel="0" collapsed="false">
      <c r="A56" s="29" t="s">
        <v>182</v>
      </c>
      <c r="B56" s="27" t="s">
        <v>183</v>
      </c>
      <c r="C56" s="29" t="s">
        <v>106</v>
      </c>
      <c r="D56" s="30" t="n">
        <v>0.8162</v>
      </c>
      <c r="E56" s="31" t="n">
        <v>0</v>
      </c>
      <c r="F56" s="31" t="n">
        <v>0</v>
      </c>
      <c r="G56" s="32" t="n">
        <f aca="false">E56+F56</f>
        <v>0</v>
      </c>
      <c r="H56" s="33" t="str">
        <f aca="false">IF(G56&gt;D56,"Vượt KL HĐ","")</f>
        <v/>
      </c>
    </row>
    <row r="57" customFormat="false" ht="15" hidden="false" customHeight="false" outlineLevel="0" collapsed="false">
      <c r="A57" s="29" t="s">
        <v>184</v>
      </c>
      <c r="B57" s="27" t="s">
        <v>142</v>
      </c>
      <c r="C57" s="29" t="s">
        <v>116</v>
      </c>
      <c r="D57" s="30" t="n">
        <v>60.67</v>
      </c>
      <c r="E57" s="31" t="n">
        <v>0</v>
      </c>
      <c r="F57" s="31" t="n">
        <v>0</v>
      </c>
      <c r="G57" s="32" t="n">
        <f aca="false">E57+F57</f>
        <v>0</v>
      </c>
      <c r="H57" s="33" t="str">
        <f aca="false">IF(G57&gt;D57,"Vượt KL HĐ","")</f>
        <v/>
      </c>
    </row>
    <row r="58" customFormat="false" ht="15" hidden="false" customHeight="false" outlineLevel="0" collapsed="false">
      <c r="A58" s="29" t="s">
        <v>185</v>
      </c>
      <c r="B58" s="27" t="s">
        <v>144</v>
      </c>
      <c r="C58" s="29" t="s">
        <v>131</v>
      </c>
      <c r="D58" s="30" t="n">
        <v>200.91</v>
      </c>
      <c r="E58" s="31" t="n">
        <v>0</v>
      </c>
      <c r="F58" s="31" t="n">
        <v>0</v>
      </c>
      <c r="G58" s="32" t="n">
        <f aca="false">E58+F58</f>
        <v>0</v>
      </c>
      <c r="H58" s="33" t="str">
        <f aca="false">IF(G58&gt;D58,"Vượt KL HĐ","")</f>
        <v/>
      </c>
    </row>
    <row r="59" customFormat="false" ht="15" hidden="false" customHeight="false" outlineLevel="0" collapsed="false">
      <c r="A59" s="29" t="s">
        <v>186</v>
      </c>
      <c r="B59" s="27" t="s">
        <v>151</v>
      </c>
      <c r="C59" s="29" t="s">
        <v>106</v>
      </c>
      <c r="D59" s="30" t="n">
        <v>1.2455</v>
      </c>
      <c r="E59" s="31" t="n">
        <v>0</v>
      </c>
      <c r="F59" s="31" t="n">
        <v>0</v>
      </c>
      <c r="G59" s="32" t="n">
        <f aca="false">E59+F59</f>
        <v>0</v>
      </c>
      <c r="H59" s="33" t="str">
        <f aca="false">IF(G59&gt;D59,"Vượt KL HĐ","")</f>
        <v/>
      </c>
    </row>
    <row r="60" customFormat="false" ht="15" hidden="false" customHeight="false" outlineLevel="0" collapsed="false">
      <c r="A60" s="29" t="s">
        <v>187</v>
      </c>
      <c r="B60" s="27" t="s">
        <v>188</v>
      </c>
      <c r="C60" s="29" t="s">
        <v>116</v>
      </c>
      <c r="D60" s="30" t="n">
        <v>16.96</v>
      </c>
      <c r="E60" s="31" t="n">
        <v>0</v>
      </c>
      <c r="F60" s="31" t="n">
        <v>0</v>
      </c>
      <c r="G60" s="32" t="n">
        <f aca="false">E60+F60</f>
        <v>0</v>
      </c>
      <c r="H60" s="33" t="str">
        <f aca="false">IF(G60&gt;D60,"Vượt KL HĐ","")</f>
        <v/>
      </c>
    </row>
    <row r="61" customFormat="false" ht="15" hidden="false" customHeight="false" outlineLevel="0" collapsed="false">
      <c r="A61" s="29" t="s">
        <v>189</v>
      </c>
      <c r="B61" s="27" t="s">
        <v>155</v>
      </c>
      <c r="C61" s="29" t="s">
        <v>149</v>
      </c>
      <c r="D61" s="30" t="n">
        <v>3.3061</v>
      </c>
      <c r="E61" s="31" t="n">
        <v>0</v>
      </c>
      <c r="F61" s="31" t="n">
        <v>0</v>
      </c>
      <c r="G61" s="32" t="n">
        <f aca="false">E61+F61</f>
        <v>0</v>
      </c>
      <c r="H61" s="33" t="str">
        <f aca="false">IF(G61&gt;D61,"Vượt KL HĐ","")</f>
        <v/>
      </c>
    </row>
    <row r="62" customFormat="false" ht="15" hidden="false" customHeight="false" outlineLevel="0" collapsed="false">
      <c r="A62" s="29" t="s">
        <v>190</v>
      </c>
      <c r="B62" s="27" t="s">
        <v>159</v>
      </c>
      <c r="C62" s="29" t="s">
        <v>160</v>
      </c>
      <c r="D62" s="30" t="n">
        <v>53</v>
      </c>
      <c r="E62" s="31" t="n">
        <v>0</v>
      </c>
      <c r="F62" s="31" t="n">
        <v>0</v>
      </c>
      <c r="G62" s="32" t="n">
        <f aca="false">E62+F62</f>
        <v>0</v>
      </c>
      <c r="H62" s="33" t="str">
        <f aca="false">IF(G62&gt;D62,"Vượt KL HĐ","")</f>
        <v/>
      </c>
    </row>
    <row r="63" customFormat="false" ht="15" hidden="false" customHeight="false" outlineLevel="0" collapsed="false">
      <c r="A63" s="29" t="s">
        <v>191</v>
      </c>
      <c r="B63" s="27" t="s">
        <v>192</v>
      </c>
      <c r="C63" s="29" t="s">
        <v>193</v>
      </c>
      <c r="D63" s="30" t="n">
        <v>53</v>
      </c>
      <c r="E63" s="31" t="n">
        <v>0</v>
      </c>
      <c r="F63" s="31" t="n">
        <v>0</v>
      </c>
      <c r="G63" s="32" t="n">
        <f aca="false">E63+F63</f>
        <v>0</v>
      </c>
      <c r="H63" s="33" t="str">
        <f aca="false">IF(G63&gt;D63,"Vượt KL HĐ","")</f>
        <v/>
      </c>
    </row>
    <row r="64" customFormat="false" ht="15" hidden="false" customHeight="false" outlineLevel="0" collapsed="false">
      <c r="A64" s="29" t="s">
        <v>194</v>
      </c>
      <c r="B64" s="27" t="s">
        <v>195</v>
      </c>
      <c r="C64" s="29" t="s">
        <v>193</v>
      </c>
      <c r="D64" s="30" t="n">
        <v>53</v>
      </c>
      <c r="E64" s="31" t="n">
        <v>0</v>
      </c>
      <c r="F64" s="31" t="n">
        <v>0</v>
      </c>
      <c r="G64" s="32" t="n">
        <f aca="false">E64+F64</f>
        <v>0</v>
      </c>
      <c r="H64" s="33" t="str">
        <f aca="false">IF(G64&gt;D64,"Vượt KL HĐ","")</f>
        <v/>
      </c>
    </row>
    <row r="65" customFormat="false" ht="15" hidden="false" customHeight="false" outlineLevel="0" collapsed="false">
      <c r="A65" s="12" t="s">
        <v>196</v>
      </c>
      <c r="B65" s="28" t="s">
        <v>197</v>
      </c>
      <c r="C65" s="27"/>
      <c r="D65" s="27"/>
      <c r="E65" s="27"/>
      <c r="F65" s="27"/>
      <c r="G65" s="27"/>
      <c r="H65" s="27"/>
    </row>
    <row r="66" customFormat="false" ht="15" hidden="false" customHeight="false" outlineLevel="0" collapsed="false">
      <c r="A66" s="29" t="s">
        <v>198</v>
      </c>
      <c r="B66" s="27" t="s">
        <v>180</v>
      </c>
      <c r="C66" s="29" t="s">
        <v>116</v>
      </c>
      <c r="D66" s="30" t="n">
        <v>4.29</v>
      </c>
      <c r="E66" s="31" t="n">
        <v>0</v>
      </c>
      <c r="F66" s="31" t="n">
        <v>0</v>
      </c>
      <c r="G66" s="32" t="n">
        <f aca="false">E66+F66</f>
        <v>0</v>
      </c>
      <c r="H66" s="33" t="str">
        <f aca="false">IF(G66&gt;D66,"Vượt KL HĐ","")</f>
        <v/>
      </c>
    </row>
    <row r="67" customFormat="false" ht="15" hidden="false" customHeight="false" outlineLevel="0" collapsed="false">
      <c r="A67" s="29" t="s">
        <v>199</v>
      </c>
      <c r="B67" s="27" t="s">
        <v>138</v>
      </c>
      <c r="C67" s="29" t="s">
        <v>116</v>
      </c>
      <c r="D67" s="30" t="n">
        <v>3.25</v>
      </c>
      <c r="E67" s="31" t="n">
        <v>0</v>
      </c>
      <c r="F67" s="31" t="n">
        <v>0</v>
      </c>
      <c r="G67" s="32" t="n">
        <f aca="false">E67+F67</f>
        <v>0</v>
      </c>
      <c r="H67" s="33" t="str">
        <f aca="false">IF(G67&gt;D67,"Vượt KL HĐ","")</f>
        <v/>
      </c>
    </row>
    <row r="68" customFormat="false" ht="15" hidden="false" customHeight="false" outlineLevel="0" collapsed="false">
      <c r="A68" s="29" t="s">
        <v>200</v>
      </c>
      <c r="B68" s="27" t="s">
        <v>183</v>
      </c>
      <c r="C68" s="29" t="s">
        <v>106</v>
      </c>
      <c r="D68" s="30" t="n">
        <v>0.7327</v>
      </c>
      <c r="E68" s="31" t="n">
        <v>0</v>
      </c>
      <c r="F68" s="31" t="n">
        <v>0</v>
      </c>
      <c r="G68" s="32" t="n">
        <f aca="false">E68+F68</f>
        <v>0</v>
      </c>
      <c r="H68" s="33" t="str">
        <f aca="false">IF(G68&gt;D68,"Vượt KL HĐ","")</f>
        <v/>
      </c>
    </row>
    <row r="69" customFormat="false" ht="15" hidden="false" customHeight="false" outlineLevel="0" collapsed="false">
      <c r="A69" s="29" t="s">
        <v>201</v>
      </c>
      <c r="B69" s="27" t="s">
        <v>202</v>
      </c>
      <c r="C69" s="29" t="s">
        <v>116</v>
      </c>
      <c r="D69" s="30" t="n">
        <v>4.35</v>
      </c>
      <c r="E69" s="31" t="n">
        <v>0</v>
      </c>
      <c r="F69" s="31" t="n">
        <v>0</v>
      </c>
      <c r="G69" s="32" t="n">
        <f aca="false">E69+F69</f>
        <v>0</v>
      </c>
      <c r="H69" s="33" t="str">
        <f aca="false">IF(G69&gt;D69,"Vượt KL HĐ","")</f>
        <v/>
      </c>
    </row>
    <row r="70" customFormat="false" ht="15" hidden="false" customHeight="false" outlineLevel="0" collapsed="false">
      <c r="A70" s="29" t="s">
        <v>203</v>
      </c>
      <c r="B70" s="27" t="s">
        <v>170</v>
      </c>
      <c r="C70" s="29" t="s">
        <v>149</v>
      </c>
      <c r="D70" s="30" t="n">
        <v>0.4396</v>
      </c>
      <c r="E70" s="31" t="n">
        <v>0</v>
      </c>
      <c r="F70" s="31" t="n">
        <v>0</v>
      </c>
      <c r="G70" s="32" t="n">
        <f aca="false">E70+F70</f>
        <v>0</v>
      </c>
      <c r="H70" s="33" t="str">
        <f aca="false">IF(G70&gt;D70,"Vượt KL HĐ","")</f>
        <v/>
      </c>
    </row>
    <row r="71" customFormat="false" ht="15" hidden="false" customHeight="false" outlineLevel="0" collapsed="false">
      <c r="A71" s="29" t="s">
        <v>204</v>
      </c>
      <c r="B71" s="27" t="s">
        <v>205</v>
      </c>
      <c r="C71" s="29" t="s">
        <v>193</v>
      </c>
      <c r="D71" s="30" t="n">
        <v>34</v>
      </c>
      <c r="E71" s="31" t="n">
        <v>0</v>
      </c>
      <c r="F71" s="31" t="n">
        <v>0</v>
      </c>
      <c r="G71" s="32" t="n">
        <f aca="false">E71+F71</f>
        <v>0</v>
      </c>
      <c r="H71" s="33" t="str">
        <f aca="false">IF(G71&gt;D71,"Vượt KL HĐ","")</f>
        <v/>
      </c>
    </row>
    <row r="72" customFormat="false" ht="15" hidden="false" customHeight="false" outlineLevel="0" collapsed="false">
      <c r="A72" s="29" t="s">
        <v>206</v>
      </c>
      <c r="B72" s="27" t="s">
        <v>207</v>
      </c>
      <c r="C72" s="29" t="s">
        <v>193</v>
      </c>
      <c r="D72" s="30" t="n">
        <v>34</v>
      </c>
      <c r="E72" s="31" t="n">
        <v>0</v>
      </c>
      <c r="F72" s="31" t="n">
        <v>0</v>
      </c>
      <c r="G72" s="32" t="n">
        <f aca="false">E72+F72</f>
        <v>0</v>
      </c>
      <c r="H72" s="33" t="str">
        <f aca="false">IF(G72&gt;D72,"Vượt KL HĐ","")</f>
        <v/>
      </c>
    </row>
    <row r="73" customFormat="false" ht="15" hidden="false" customHeight="false" outlineLevel="0" collapsed="false">
      <c r="A73" s="12" t="s">
        <v>208</v>
      </c>
      <c r="B73" s="28" t="s">
        <v>209</v>
      </c>
      <c r="C73" s="27"/>
      <c r="D73" s="27"/>
      <c r="E73" s="27"/>
      <c r="F73" s="27"/>
      <c r="G73" s="27"/>
      <c r="H73" s="27"/>
    </row>
    <row r="74" customFormat="false" ht="15" hidden="false" customHeight="false" outlineLevel="0" collapsed="false">
      <c r="A74" s="29" t="s">
        <v>210</v>
      </c>
      <c r="B74" s="27" t="s">
        <v>180</v>
      </c>
      <c r="C74" s="29" t="s">
        <v>116</v>
      </c>
      <c r="D74" s="30" t="n">
        <v>0</v>
      </c>
      <c r="E74" s="31" t="n">
        <v>0</v>
      </c>
      <c r="F74" s="31" t="n">
        <v>0</v>
      </c>
      <c r="G74" s="32" t="n">
        <f aca="false">E74+F74</f>
        <v>0</v>
      </c>
      <c r="H74" s="33" t="str">
        <f aca="false">IF(G74&gt;D74,"Vượt KL HĐ","")</f>
        <v/>
      </c>
    </row>
    <row r="75" customFormat="false" ht="15" hidden="false" customHeight="false" outlineLevel="0" collapsed="false">
      <c r="A75" s="29" t="s">
        <v>211</v>
      </c>
      <c r="B75" s="27" t="s">
        <v>138</v>
      </c>
      <c r="C75" s="29" t="s">
        <v>116</v>
      </c>
      <c r="D75" s="30" t="n">
        <v>1.65</v>
      </c>
      <c r="E75" s="31" t="n">
        <v>0</v>
      </c>
      <c r="F75" s="31" t="n">
        <v>0</v>
      </c>
      <c r="G75" s="32" t="n">
        <f aca="false">E75+F75</f>
        <v>0</v>
      </c>
      <c r="H75" s="33" t="str">
        <f aca="false">IF(G75&gt;D75,"Vượt KL HĐ","")</f>
        <v/>
      </c>
    </row>
    <row r="76" customFormat="false" ht="15" hidden="false" customHeight="false" outlineLevel="0" collapsed="false">
      <c r="A76" s="29" t="s">
        <v>212</v>
      </c>
      <c r="B76" s="27" t="s">
        <v>183</v>
      </c>
      <c r="C76" s="29" t="s">
        <v>106</v>
      </c>
      <c r="D76" s="30" t="n">
        <v>2</v>
      </c>
      <c r="E76" s="31" t="n">
        <v>0</v>
      </c>
      <c r="F76" s="31" t="n">
        <v>0</v>
      </c>
      <c r="G76" s="32" t="n">
        <f aca="false">E76+F76</f>
        <v>0</v>
      </c>
      <c r="H76" s="33" t="str">
        <f aca="false">IF(G76&gt;D76,"Vượt KL HĐ","")</f>
        <v/>
      </c>
    </row>
    <row r="77" customFormat="false" ht="15" hidden="false" customHeight="false" outlineLevel="0" collapsed="false">
      <c r="A77" s="29" t="s">
        <v>213</v>
      </c>
      <c r="B77" s="27" t="s">
        <v>202</v>
      </c>
      <c r="C77" s="29" t="s">
        <v>116</v>
      </c>
      <c r="D77" s="30" t="n">
        <v>1.1925</v>
      </c>
      <c r="E77" s="31" t="n">
        <v>0</v>
      </c>
      <c r="F77" s="31" t="n">
        <v>0</v>
      </c>
      <c r="G77" s="32" t="n">
        <f aca="false">E77+F77</f>
        <v>0</v>
      </c>
      <c r="H77" s="33" t="str">
        <f aca="false">IF(G77&gt;D77,"Vượt KL HĐ","")</f>
        <v/>
      </c>
    </row>
    <row r="78" customFormat="false" ht="15" hidden="false" customHeight="false" outlineLevel="0" collapsed="false">
      <c r="A78" s="29" t="s">
        <v>214</v>
      </c>
      <c r="B78" s="27" t="s">
        <v>170</v>
      </c>
      <c r="C78" s="29" t="s">
        <v>149</v>
      </c>
      <c r="D78" s="30" t="n">
        <v>7.35</v>
      </c>
      <c r="E78" s="31" t="n">
        <v>0</v>
      </c>
      <c r="F78" s="31" t="n">
        <v>0</v>
      </c>
      <c r="G78" s="32" t="n">
        <f aca="false">E78+F78</f>
        <v>0</v>
      </c>
      <c r="H78" s="33" t="str">
        <f aca="false">IF(G78&gt;D78,"Vượt KL HĐ","")</f>
        <v/>
      </c>
    </row>
    <row r="79" customFormat="false" ht="15" hidden="false" customHeight="false" outlineLevel="0" collapsed="false">
      <c r="A79" s="29" t="s">
        <v>215</v>
      </c>
      <c r="B79" s="27" t="s">
        <v>170</v>
      </c>
      <c r="C79" s="29" t="s">
        <v>149</v>
      </c>
      <c r="D79" s="30" t="n">
        <v>0.2048</v>
      </c>
      <c r="E79" s="31" t="n">
        <v>0</v>
      </c>
      <c r="F79" s="31" t="n">
        <v>0</v>
      </c>
      <c r="G79" s="32" t="n">
        <f aca="false">E79+F79</f>
        <v>0</v>
      </c>
      <c r="H79" s="33" t="str">
        <f aca="false">IF(G79&gt;D79,"Vượt KL HĐ","")</f>
        <v/>
      </c>
    </row>
    <row r="80" customFormat="false" ht="15" hidden="false" customHeight="false" outlineLevel="0" collapsed="false">
      <c r="A80" s="29" t="s">
        <v>216</v>
      </c>
      <c r="B80" s="27" t="s">
        <v>205</v>
      </c>
      <c r="C80" s="29" t="s">
        <v>193</v>
      </c>
      <c r="D80" s="30" t="n">
        <v>0.4076</v>
      </c>
      <c r="E80" s="31" t="n">
        <v>0</v>
      </c>
      <c r="F80" s="31" t="n">
        <v>0</v>
      </c>
      <c r="G80" s="32" t="n">
        <f aca="false">E80+F80</f>
        <v>0</v>
      </c>
      <c r="H80" s="33" t="str">
        <f aca="false">IF(G80&gt;D80,"Vượt KL HĐ","")</f>
        <v/>
      </c>
    </row>
    <row r="81" customFormat="false" ht="15" hidden="false" customHeight="false" outlineLevel="0" collapsed="false">
      <c r="A81" s="29" t="s">
        <v>217</v>
      </c>
      <c r="B81" s="27" t="s">
        <v>207</v>
      </c>
      <c r="C81" s="29" t="s">
        <v>193</v>
      </c>
      <c r="D81" s="30" t="n">
        <v>15</v>
      </c>
      <c r="E81" s="31" t="n">
        <v>0</v>
      </c>
      <c r="F81" s="31" t="n">
        <v>0</v>
      </c>
      <c r="G81" s="32" t="n">
        <f aca="false">E81+F81</f>
        <v>0</v>
      </c>
      <c r="H81" s="33" t="str">
        <f aca="false">IF(G81&gt;D81,"Vượt KL HĐ","")</f>
        <v/>
      </c>
    </row>
    <row r="82" customFormat="false" ht="15" hidden="false" customHeight="false" outlineLevel="0" collapsed="false">
      <c r="A82" s="12" t="s">
        <v>218</v>
      </c>
      <c r="B82" s="13" t="s">
        <v>219</v>
      </c>
      <c r="C82" s="27"/>
      <c r="D82" s="27"/>
      <c r="E82" s="27"/>
      <c r="F82" s="27"/>
      <c r="G82" s="27"/>
      <c r="H82" s="27"/>
    </row>
    <row r="83" customFormat="false" ht="15" hidden="false" customHeight="false" outlineLevel="0" collapsed="false">
      <c r="A83" s="12" t="s">
        <v>220</v>
      </c>
      <c r="B83" s="28" t="s">
        <v>221</v>
      </c>
      <c r="C83" s="27"/>
      <c r="D83" s="27"/>
      <c r="E83" s="27"/>
      <c r="F83" s="27"/>
      <c r="G83" s="27"/>
      <c r="H83" s="27"/>
    </row>
    <row r="84" customFormat="false" ht="15" hidden="false" customHeight="false" outlineLevel="0" collapsed="false">
      <c r="A84" s="29" t="s">
        <v>222</v>
      </c>
      <c r="B84" s="27" t="s">
        <v>223</v>
      </c>
      <c r="C84" s="29" t="s">
        <v>224</v>
      </c>
      <c r="D84" s="30" t="n">
        <v>632.8</v>
      </c>
      <c r="E84" s="31" t="n">
        <v>0</v>
      </c>
      <c r="F84" s="31" t="n">
        <v>0</v>
      </c>
      <c r="G84" s="32" t="n">
        <f aca="false">E84+F84</f>
        <v>0</v>
      </c>
      <c r="H84" s="33" t="str">
        <f aca="false">IF(G84&gt;D84,"Vượt KL HĐ","")</f>
        <v/>
      </c>
    </row>
    <row r="85" customFormat="false" ht="15" hidden="false" customHeight="false" outlineLevel="0" collapsed="false">
      <c r="A85" s="29" t="s">
        <v>225</v>
      </c>
      <c r="B85" s="27" t="s">
        <v>226</v>
      </c>
      <c r="C85" s="29" t="s">
        <v>224</v>
      </c>
      <c r="D85" s="30" t="n">
        <v>76.2</v>
      </c>
      <c r="E85" s="31" t="n">
        <v>0</v>
      </c>
      <c r="F85" s="31" t="n">
        <v>0</v>
      </c>
      <c r="G85" s="32" t="n">
        <f aca="false">E85+F85</f>
        <v>0</v>
      </c>
      <c r="H85" s="33" t="str">
        <f aca="false">IF(G85&gt;D85,"Vượt KL HĐ","")</f>
        <v/>
      </c>
    </row>
    <row r="86" customFormat="false" ht="15" hidden="false" customHeight="false" outlineLevel="0" collapsed="false">
      <c r="A86" s="29" t="s">
        <v>227</v>
      </c>
      <c r="B86" s="27" t="s">
        <v>228</v>
      </c>
      <c r="C86" s="29" t="s">
        <v>160</v>
      </c>
      <c r="D86" s="30" t="n">
        <v>284</v>
      </c>
      <c r="E86" s="31" t="n">
        <v>0</v>
      </c>
      <c r="F86" s="31" t="n">
        <v>0</v>
      </c>
      <c r="G86" s="32" t="n">
        <f aca="false">E86+F86</f>
        <v>0</v>
      </c>
      <c r="H86" s="33" t="str">
        <f aca="false">IF(G86&gt;D86,"Vượt KL HĐ","")</f>
        <v/>
      </c>
    </row>
    <row r="87" customFormat="false" ht="15" hidden="false" customHeight="false" outlineLevel="0" collapsed="false">
      <c r="A87" s="29" t="s">
        <v>229</v>
      </c>
      <c r="B87" s="27" t="s">
        <v>230</v>
      </c>
      <c r="C87" s="29" t="s">
        <v>106</v>
      </c>
      <c r="D87" s="30" t="n">
        <v>2.0419</v>
      </c>
      <c r="E87" s="31" t="n">
        <v>0</v>
      </c>
      <c r="F87" s="31" t="n">
        <v>0</v>
      </c>
      <c r="G87" s="32" t="n">
        <f aca="false">E87+F87</f>
        <v>0</v>
      </c>
      <c r="H87" s="33" t="str">
        <f aca="false">IF(G87&gt;D87,"Vượt KL HĐ","")</f>
        <v/>
      </c>
    </row>
    <row r="88" customFormat="false" ht="15" hidden="false" customHeight="false" outlineLevel="0" collapsed="false">
      <c r="A88" s="29" t="s">
        <v>231</v>
      </c>
      <c r="B88" s="27" t="s">
        <v>232</v>
      </c>
      <c r="C88" s="29" t="s">
        <v>149</v>
      </c>
      <c r="D88" s="30" t="n">
        <v>1.46</v>
      </c>
      <c r="E88" s="31" t="n">
        <v>0</v>
      </c>
      <c r="F88" s="31" t="n">
        <v>0</v>
      </c>
      <c r="G88" s="32" t="n">
        <f aca="false">E88+F88</f>
        <v>0</v>
      </c>
      <c r="H88" s="33" t="str">
        <f aca="false">IF(G88&gt;D88,"Vượt KL HĐ","")</f>
        <v/>
      </c>
    </row>
    <row r="89" customFormat="false" ht="15" hidden="false" customHeight="false" outlineLevel="0" collapsed="false">
      <c r="A89" s="29" t="s">
        <v>233</v>
      </c>
      <c r="B89" s="27" t="s">
        <v>234</v>
      </c>
      <c r="C89" s="29" t="s">
        <v>116</v>
      </c>
      <c r="D89" s="30" t="n">
        <v>17.02</v>
      </c>
      <c r="E89" s="31" t="n">
        <v>0</v>
      </c>
      <c r="F89" s="31" t="n">
        <v>0</v>
      </c>
      <c r="G89" s="32" t="n">
        <f aca="false">E89+F89</f>
        <v>0</v>
      </c>
      <c r="H89" s="33" t="str">
        <f aca="false">IF(G89&gt;D89,"Vượt KL HĐ","")</f>
        <v/>
      </c>
    </row>
    <row r="90" customFormat="false" ht="15" hidden="false" customHeight="false" outlineLevel="0" collapsed="false">
      <c r="A90" s="29" t="s">
        <v>235</v>
      </c>
      <c r="B90" s="27" t="s">
        <v>236</v>
      </c>
      <c r="C90" s="29" t="s">
        <v>237</v>
      </c>
      <c r="D90" s="30" t="n">
        <v>851</v>
      </c>
      <c r="E90" s="31" t="n">
        <v>0</v>
      </c>
      <c r="F90" s="31" t="n">
        <v>0</v>
      </c>
      <c r="G90" s="32" t="n">
        <f aca="false">E90+F90</f>
        <v>0</v>
      </c>
      <c r="H90" s="33" t="str">
        <f aca="false">IF(G90&gt;D90,"Vượt KL HĐ","")</f>
        <v/>
      </c>
    </row>
    <row r="91" customFormat="false" ht="15" hidden="false" customHeight="false" outlineLevel="0" collapsed="false">
      <c r="A91" s="29" t="s">
        <v>238</v>
      </c>
      <c r="B91" s="27" t="s">
        <v>239</v>
      </c>
      <c r="C91" s="29" t="s">
        <v>240</v>
      </c>
      <c r="D91" s="30" t="n">
        <v>850</v>
      </c>
      <c r="E91" s="31" t="n">
        <v>0</v>
      </c>
      <c r="F91" s="31" t="n">
        <v>0</v>
      </c>
      <c r="G91" s="32" t="n">
        <f aca="false">E91+F91</f>
        <v>0</v>
      </c>
      <c r="H91" s="33" t="str">
        <f aca="false">IF(G91&gt;D91,"Vượt KL HĐ","")</f>
        <v/>
      </c>
    </row>
    <row r="92" customFormat="false" ht="15" hidden="false" customHeight="false" outlineLevel="0" collapsed="false">
      <c r="A92" s="12" t="s">
        <v>241</v>
      </c>
      <c r="B92" s="28" t="s">
        <v>242</v>
      </c>
      <c r="C92" s="27"/>
      <c r="D92" s="27"/>
      <c r="E92" s="27"/>
      <c r="F92" s="27"/>
      <c r="G92" s="27"/>
      <c r="H92" s="27"/>
    </row>
    <row r="93" customFormat="false" ht="15" hidden="false" customHeight="false" outlineLevel="0" collapsed="false">
      <c r="A93" s="29" t="s">
        <v>243</v>
      </c>
      <c r="B93" s="27" t="s">
        <v>244</v>
      </c>
      <c r="C93" s="29" t="s">
        <v>245</v>
      </c>
      <c r="D93" s="30" t="n">
        <v>4.13</v>
      </c>
      <c r="E93" s="31" t="n">
        <v>0</v>
      </c>
      <c r="F93" s="31" t="n">
        <v>0</v>
      </c>
      <c r="G93" s="32" t="n">
        <f aca="false">E93+F93</f>
        <v>0</v>
      </c>
      <c r="H93" s="33" t="str">
        <f aca="false">IF(G93&gt;D93,"Vượt KL HĐ","")</f>
        <v/>
      </c>
    </row>
    <row r="94" customFormat="false" ht="15" hidden="false" customHeight="false" outlineLevel="0" collapsed="false">
      <c r="A94" s="29" t="s">
        <v>246</v>
      </c>
      <c r="B94" s="27" t="s">
        <v>247</v>
      </c>
      <c r="C94" s="29" t="s">
        <v>240</v>
      </c>
      <c r="D94" s="30" t="n">
        <v>17</v>
      </c>
      <c r="E94" s="31" t="n">
        <v>0</v>
      </c>
      <c r="F94" s="31" t="n">
        <v>0</v>
      </c>
      <c r="G94" s="32" t="n">
        <f aca="false">E94+F94</f>
        <v>0</v>
      </c>
      <c r="H94" s="33" t="str">
        <f aca="false">IF(G94&gt;D94,"Vượt KL HĐ","")</f>
        <v/>
      </c>
    </row>
    <row r="95" customFormat="false" ht="15" hidden="false" customHeight="false" outlineLevel="0" collapsed="false">
      <c r="A95" s="29" t="s">
        <v>248</v>
      </c>
      <c r="B95" s="27" t="s">
        <v>249</v>
      </c>
      <c r="C95" s="29" t="s">
        <v>240</v>
      </c>
      <c r="D95" s="30" t="n">
        <v>26</v>
      </c>
      <c r="E95" s="31" t="n">
        <v>0</v>
      </c>
      <c r="F95" s="31" t="n">
        <v>0</v>
      </c>
      <c r="G95" s="32" t="n">
        <f aca="false">E95+F95</f>
        <v>0</v>
      </c>
      <c r="H95" s="33" t="str">
        <f aca="false">IF(G95&gt;D95,"Vượt KL HĐ","")</f>
        <v/>
      </c>
    </row>
    <row r="96" customFormat="false" ht="15" hidden="false" customHeight="false" outlineLevel="0" collapsed="false">
      <c r="A96" s="29" t="s">
        <v>250</v>
      </c>
      <c r="B96" s="27" t="s">
        <v>251</v>
      </c>
      <c r="C96" s="29" t="s">
        <v>245</v>
      </c>
      <c r="D96" s="30" t="n">
        <v>4.13</v>
      </c>
      <c r="E96" s="31" t="n">
        <v>0</v>
      </c>
      <c r="F96" s="31" t="n">
        <v>0</v>
      </c>
      <c r="G96" s="32" t="n">
        <f aca="false">E96+F96</f>
        <v>0</v>
      </c>
      <c r="H96" s="33" t="str">
        <f aca="false">IF(G96&gt;D96,"Vượt KL HĐ","")</f>
        <v/>
      </c>
    </row>
    <row r="97" customFormat="false" ht="15" hidden="false" customHeight="false" outlineLevel="0" collapsed="false">
      <c r="A97" s="12" t="s">
        <v>252</v>
      </c>
      <c r="B97" s="28" t="s">
        <v>253</v>
      </c>
      <c r="C97" s="27"/>
      <c r="D97" s="27"/>
      <c r="E97" s="27"/>
      <c r="F97" s="27"/>
      <c r="G97" s="27"/>
      <c r="H97" s="27"/>
    </row>
    <row r="98" customFormat="false" ht="15" hidden="false" customHeight="false" outlineLevel="0" collapsed="false">
      <c r="A98" s="29" t="s">
        <v>254</v>
      </c>
      <c r="B98" s="27" t="s">
        <v>255</v>
      </c>
      <c r="C98" s="29" t="s">
        <v>116</v>
      </c>
      <c r="D98" s="30" t="n">
        <v>0</v>
      </c>
      <c r="E98" s="31" t="n">
        <v>0</v>
      </c>
      <c r="F98" s="31" t="n">
        <v>0</v>
      </c>
      <c r="G98" s="32" t="n">
        <f aca="false">E98+F98</f>
        <v>0</v>
      </c>
      <c r="H98" s="33" t="str">
        <f aca="false">IF(G98&gt;D98,"Vượt KL HĐ","")</f>
        <v/>
      </c>
    </row>
    <row r="99" customFormat="false" ht="15" hidden="false" customHeight="false" outlineLevel="0" collapsed="false">
      <c r="A99" s="29" t="s">
        <v>256</v>
      </c>
      <c r="B99" s="27" t="s">
        <v>183</v>
      </c>
      <c r="C99" s="29" t="s">
        <v>106</v>
      </c>
      <c r="D99" s="30" t="n">
        <v>6.11</v>
      </c>
      <c r="E99" s="31" t="n">
        <v>0</v>
      </c>
      <c r="F99" s="31" t="n">
        <v>0</v>
      </c>
      <c r="G99" s="32" t="n">
        <f aca="false">E99+F99</f>
        <v>0</v>
      </c>
      <c r="H99" s="33" t="str">
        <f aca="false">IF(G99&gt;D99,"Vượt KL HĐ","")</f>
        <v/>
      </c>
    </row>
    <row r="100" customFormat="false" ht="15" hidden="false" customHeight="false" outlineLevel="0" collapsed="false">
      <c r="A100" s="29" t="s">
        <v>257</v>
      </c>
      <c r="B100" s="27" t="s">
        <v>138</v>
      </c>
      <c r="C100" s="29" t="s">
        <v>116</v>
      </c>
      <c r="D100" s="30" t="n">
        <v>0.4556</v>
      </c>
      <c r="E100" s="31" t="n">
        <v>0</v>
      </c>
      <c r="F100" s="31" t="n">
        <v>0</v>
      </c>
      <c r="G100" s="32" t="n">
        <f aca="false">E100+F100</f>
        <v>0</v>
      </c>
      <c r="H100" s="33" t="str">
        <f aca="false">IF(G100&gt;D100,"Vượt KL HĐ","")</f>
        <v/>
      </c>
    </row>
    <row r="101" customFormat="false" ht="15" hidden="false" customHeight="false" outlineLevel="0" collapsed="false">
      <c r="A101" s="29" t="s">
        <v>258</v>
      </c>
      <c r="B101" s="27" t="s">
        <v>259</v>
      </c>
      <c r="C101" s="29" t="s">
        <v>131</v>
      </c>
      <c r="D101" s="30" t="n">
        <v>9.16</v>
      </c>
      <c r="E101" s="31" t="n">
        <v>0</v>
      </c>
      <c r="F101" s="31" t="n">
        <v>0</v>
      </c>
      <c r="G101" s="32" t="n">
        <f aca="false">E101+F101</f>
        <v>0</v>
      </c>
      <c r="H101" s="33" t="str">
        <f aca="false">IF(G101&gt;D101,"Vượt KL HĐ","")</f>
        <v/>
      </c>
    </row>
    <row r="102" customFormat="false" ht="15" hidden="false" customHeight="false" outlineLevel="0" collapsed="false">
      <c r="A102" s="29" t="s">
        <v>260</v>
      </c>
      <c r="B102" s="27" t="s">
        <v>142</v>
      </c>
      <c r="C102" s="29" t="s">
        <v>116</v>
      </c>
      <c r="D102" s="30" t="n">
        <v>1.67</v>
      </c>
      <c r="E102" s="31" t="n">
        <v>0</v>
      </c>
      <c r="F102" s="31" t="n">
        <v>0</v>
      </c>
      <c r="G102" s="32" t="n">
        <f aca="false">E102+F102</f>
        <v>0</v>
      </c>
      <c r="H102" s="33" t="str">
        <f aca="false">IF(G102&gt;D102,"Vượt KL HĐ","")</f>
        <v/>
      </c>
    </row>
    <row r="103" customFormat="false" ht="15" hidden="false" customHeight="false" outlineLevel="0" collapsed="false">
      <c r="A103" s="29" t="s">
        <v>261</v>
      </c>
      <c r="B103" s="27" t="s">
        <v>144</v>
      </c>
      <c r="C103" s="29" t="s">
        <v>131</v>
      </c>
      <c r="D103" s="30" t="n">
        <v>21.43</v>
      </c>
      <c r="E103" s="31" t="n">
        <v>0</v>
      </c>
      <c r="F103" s="31" t="n">
        <v>0</v>
      </c>
      <c r="G103" s="32" t="n">
        <f aca="false">E103+F103</f>
        <v>0</v>
      </c>
      <c r="H103" s="33" t="str">
        <f aca="false">IF(G103&gt;D103,"Vượt KL HĐ","")</f>
        <v/>
      </c>
    </row>
    <row r="104" customFormat="false" ht="15" hidden="false" customHeight="false" outlineLevel="0" collapsed="false">
      <c r="A104" s="29" t="s">
        <v>262</v>
      </c>
      <c r="B104" s="27" t="s">
        <v>263</v>
      </c>
      <c r="C104" s="29" t="s">
        <v>106</v>
      </c>
      <c r="D104" s="30" t="n">
        <v>62.57</v>
      </c>
      <c r="E104" s="31" t="n">
        <v>0</v>
      </c>
      <c r="F104" s="31" t="n">
        <v>0</v>
      </c>
      <c r="G104" s="32" t="n">
        <f aca="false">E104+F104</f>
        <v>0</v>
      </c>
      <c r="H104" s="33" t="str">
        <f aca="false">IF(G104&gt;D104,"Vượt KL HĐ","")</f>
        <v/>
      </c>
    </row>
    <row r="105" customFormat="false" ht="15" hidden="false" customHeight="false" outlineLevel="0" collapsed="false">
      <c r="A105" s="29" t="s">
        <v>264</v>
      </c>
      <c r="B105" s="27" t="s">
        <v>151</v>
      </c>
      <c r="C105" s="29" t="s">
        <v>106</v>
      </c>
      <c r="D105" s="30" t="n">
        <v>0.7507</v>
      </c>
      <c r="E105" s="31" t="n">
        <v>0</v>
      </c>
      <c r="F105" s="31" t="n">
        <v>0</v>
      </c>
      <c r="G105" s="32" t="n">
        <f aca="false">E105+F105</f>
        <v>0</v>
      </c>
      <c r="H105" s="33" t="str">
        <f aca="false">IF(G105&gt;D105,"Vượt KL HĐ","")</f>
        <v/>
      </c>
    </row>
    <row r="106" customFormat="false" ht="15" hidden="false" customHeight="false" outlineLevel="0" collapsed="false">
      <c r="A106" s="29" t="s">
        <v>265</v>
      </c>
      <c r="B106" s="27" t="s">
        <v>155</v>
      </c>
      <c r="C106" s="29" t="s">
        <v>149</v>
      </c>
      <c r="D106" s="30" t="n">
        <v>0.0218</v>
      </c>
      <c r="E106" s="31" t="n">
        <v>0</v>
      </c>
      <c r="F106" s="31" t="n">
        <v>0</v>
      </c>
      <c r="G106" s="32" t="n">
        <f aca="false">E106+F106</f>
        <v>0</v>
      </c>
      <c r="H106" s="33" t="str">
        <f aca="false">IF(G106&gt;D106,"Vượt KL HĐ","")</f>
        <v/>
      </c>
    </row>
    <row r="107" customFormat="false" ht="15" hidden="false" customHeight="false" outlineLevel="0" collapsed="false">
      <c r="A107" s="29" t="s">
        <v>266</v>
      </c>
      <c r="B107" s="27" t="s">
        <v>153</v>
      </c>
      <c r="C107" s="29" t="s">
        <v>116</v>
      </c>
      <c r="D107" s="30" t="n">
        <v>0.5637</v>
      </c>
      <c r="E107" s="31" t="n">
        <v>0</v>
      </c>
      <c r="F107" s="31" t="n">
        <v>0</v>
      </c>
      <c r="G107" s="32" t="n">
        <f aca="false">E107+F107</f>
        <v>0</v>
      </c>
      <c r="H107" s="33" t="str">
        <f aca="false">IF(G107&gt;D107,"Vượt KL HĐ","")</f>
        <v/>
      </c>
    </row>
    <row r="108" customFormat="false" ht="15" hidden="false" customHeight="false" outlineLevel="0" collapsed="false">
      <c r="A108" s="29" t="s">
        <v>267</v>
      </c>
      <c r="B108" s="27" t="s">
        <v>268</v>
      </c>
      <c r="C108" s="29" t="s">
        <v>160</v>
      </c>
      <c r="D108" s="30" t="n">
        <v>3.4</v>
      </c>
      <c r="E108" s="31" t="n">
        <v>0</v>
      </c>
      <c r="F108" s="31" t="n">
        <v>0</v>
      </c>
      <c r="G108" s="32" t="n">
        <f aca="false">E108+F108</f>
        <v>0</v>
      </c>
      <c r="H108" s="33" t="str">
        <f aca="false">IF(G108&gt;D108,"Vượt KL HĐ","")</f>
        <v/>
      </c>
    </row>
    <row r="109" customFormat="false" ht="15" hidden="false" customHeight="false" outlineLevel="0" collapsed="false">
      <c r="A109" s="12" t="s">
        <v>269</v>
      </c>
      <c r="B109" s="13" t="s">
        <v>270</v>
      </c>
      <c r="C109" s="27"/>
      <c r="D109" s="27"/>
      <c r="E109" s="27"/>
      <c r="F109" s="27"/>
      <c r="G109" s="27"/>
      <c r="H109" s="27"/>
    </row>
    <row r="110" customFormat="false" ht="15" hidden="false" customHeight="false" outlineLevel="0" collapsed="false">
      <c r="A110" s="12" t="s">
        <v>271</v>
      </c>
      <c r="B110" s="28" t="s">
        <v>272</v>
      </c>
      <c r="C110" s="27"/>
      <c r="D110" s="27"/>
      <c r="E110" s="27"/>
      <c r="F110" s="27"/>
      <c r="G110" s="27"/>
      <c r="H110" s="27"/>
    </row>
    <row r="111" customFormat="false" ht="15" hidden="false" customHeight="false" outlineLevel="0" collapsed="false">
      <c r="A111" s="29" t="s">
        <v>273</v>
      </c>
      <c r="B111" s="27" t="s">
        <v>255</v>
      </c>
      <c r="C111" s="29" t="s">
        <v>116</v>
      </c>
      <c r="D111" s="30" t="n">
        <v>2.1</v>
      </c>
      <c r="E111" s="31" t="n">
        <v>0</v>
      </c>
      <c r="F111" s="31" t="n">
        <v>0</v>
      </c>
      <c r="G111" s="32" t="n">
        <f aca="false">E111+F111</f>
        <v>0</v>
      </c>
      <c r="H111" s="33" t="str">
        <f aca="false">IF(G111&gt;D111,"Vượt KL HĐ","")</f>
        <v/>
      </c>
    </row>
    <row r="112" customFormat="false" ht="15" hidden="false" customHeight="false" outlineLevel="0" collapsed="false">
      <c r="A112" s="29" t="s">
        <v>274</v>
      </c>
      <c r="B112" s="27" t="s">
        <v>275</v>
      </c>
      <c r="C112" s="29" t="s">
        <v>116</v>
      </c>
      <c r="D112" s="30" t="n">
        <v>2.1</v>
      </c>
      <c r="E112" s="31" t="n">
        <v>0</v>
      </c>
      <c r="F112" s="31" t="n">
        <v>0</v>
      </c>
      <c r="G112" s="32" t="n">
        <f aca="false">E112+F112</f>
        <v>0</v>
      </c>
      <c r="H112" s="33" t="str">
        <f aca="false">IF(G112&gt;D112,"Vượt KL HĐ","")</f>
        <v/>
      </c>
    </row>
    <row r="113" customFormat="false" ht="15" hidden="false" customHeight="false" outlineLevel="0" collapsed="false">
      <c r="A113" s="29" t="s">
        <v>276</v>
      </c>
      <c r="B113" s="27" t="s">
        <v>183</v>
      </c>
      <c r="C113" s="29" t="s">
        <v>106</v>
      </c>
      <c r="D113" s="30" t="n">
        <v>0.084</v>
      </c>
      <c r="E113" s="31" t="n">
        <v>0</v>
      </c>
      <c r="F113" s="31" t="n">
        <v>0</v>
      </c>
      <c r="G113" s="32" t="n">
        <f aca="false">E113+F113</f>
        <v>0</v>
      </c>
      <c r="H113" s="33" t="str">
        <f aca="false">IF(G113&gt;D113,"Vượt KL HĐ","")</f>
        <v/>
      </c>
    </row>
    <row r="114" customFormat="false" ht="15" hidden="false" customHeight="false" outlineLevel="0" collapsed="false">
      <c r="A114" s="29" t="s">
        <v>277</v>
      </c>
      <c r="B114" s="27" t="s">
        <v>142</v>
      </c>
      <c r="C114" s="29" t="s">
        <v>116</v>
      </c>
      <c r="D114" s="30" t="n">
        <v>1.848</v>
      </c>
      <c r="E114" s="31" t="n">
        <v>0</v>
      </c>
      <c r="F114" s="31" t="n">
        <v>0</v>
      </c>
      <c r="G114" s="32" t="n">
        <f aca="false">E114+F114</f>
        <v>0</v>
      </c>
      <c r="H114" s="33" t="str">
        <f aca="false">IF(G114&gt;D114,"Vượt KL HĐ","")</f>
        <v/>
      </c>
    </row>
    <row r="115" customFormat="false" ht="15" hidden="false" customHeight="false" outlineLevel="0" collapsed="false">
      <c r="A115" s="29" t="s">
        <v>278</v>
      </c>
      <c r="B115" s="27" t="s">
        <v>144</v>
      </c>
      <c r="C115" s="29" t="s">
        <v>131</v>
      </c>
      <c r="D115" s="30" t="n">
        <v>16.8</v>
      </c>
      <c r="E115" s="31" t="n">
        <v>0</v>
      </c>
      <c r="F115" s="31" t="n">
        <v>0</v>
      </c>
      <c r="G115" s="32" t="n">
        <f aca="false">E115+F115</f>
        <v>0</v>
      </c>
      <c r="H115" s="33" t="str">
        <f aca="false">IF(G115&gt;D115,"Vượt KL HĐ","")</f>
        <v/>
      </c>
    </row>
    <row r="116" customFormat="false" ht="15" hidden="false" customHeight="false" outlineLevel="0" collapsed="false">
      <c r="A116" s="29" t="s">
        <v>279</v>
      </c>
      <c r="B116" s="27" t="s">
        <v>259</v>
      </c>
      <c r="C116" s="29" t="s">
        <v>131</v>
      </c>
      <c r="D116" s="30" t="n">
        <v>4.2</v>
      </c>
      <c r="E116" s="31" t="n">
        <v>0</v>
      </c>
      <c r="F116" s="31" t="n">
        <v>0</v>
      </c>
      <c r="G116" s="32" t="n">
        <f aca="false">E116+F116</f>
        <v>0</v>
      </c>
      <c r="H116" s="33" t="str">
        <f aca="false">IF(G116&gt;D116,"Vượt KL HĐ","")</f>
        <v/>
      </c>
    </row>
    <row r="117" customFormat="false" ht="15" hidden="false" customHeight="false" outlineLevel="0" collapsed="false">
      <c r="A117" s="29" t="s">
        <v>280</v>
      </c>
      <c r="B117" s="27" t="s">
        <v>263</v>
      </c>
      <c r="C117" s="29" t="s">
        <v>106</v>
      </c>
      <c r="D117" s="30" t="n">
        <v>0.084</v>
      </c>
      <c r="E117" s="31" t="n">
        <v>0</v>
      </c>
      <c r="F117" s="31" t="n">
        <v>0</v>
      </c>
      <c r="G117" s="32" t="n">
        <f aca="false">E117+F117</f>
        <v>0</v>
      </c>
      <c r="H117" s="33" t="str">
        <f aca="false">IF(G117&gt;D117,"Vượt KL HĐ","")</f>
        <v/>
      </c>
    </row>
    <row r="118" customFormat="false" ht="15" hidden="false" customHeight="false" outlineLevel="0" collapsed="false">
      <c r="A118" s="29" t="s">
        <v>281</v>
      </c>
      <c r="B118" s="27" t="s">
        <v>146</v>
      </c>
      <c r="C118" s="29" t="s">
        <v>116</v>
      </c>
      <c r="D118" s="30" t="n">
        <v>1.47</v>
      </c>
      <c r="E118" s="31" t="n">
        <v>0</v>
      </c>
      <c r="F118" s="31" t="n">
        <v>0</v>
      </c>
      <c r="G118" s="32" t="n">
        <f aca="false">E118+F118</f>
        <v>0</v>
      </c>
      <c r="H118" s="33" t="str">
        <f aca="false">IF(G118&gt;D118,"Vượt KL HĐ","")</f>
        <v/>
      </c>
    </row>
    <row r="119" customFormat="false" ht="15" hidden="false" customHeight="false" outlineLevel="0" collapsed="false">
      <c r="A119" s="29" t="s">
        <v>282</v>
      </c>
      <c r="B119" s="27" t="s">
        <v>148</v>
      </c>
      <c r="C119" s="29" t="s">
        <v>149</v>
      </c>
      <c r="D119" s="30" t="n">
        <v>0.173</v>
      </c>
      <c r="E119" s="31" t="n">
        <v>0</v>
      </c>
      <c r="F119" s="31" t="n">
        <v>0</v>
      </c>
      <c r="G119" s="32" t="n">
        <f aca="false">E119+F119</f>
        <v>0</v>
      </c>
      <c r="H119" s="33" t="str">
        <f aca="false">IF(G119&gt;D119,"Vượt KL HĐ","")</f>
        <v/>
      </c>
    </row>
    <row r="120" customFormat="false" ht="15" hidden="false" customHeight="false" outlineLevel="0" collapsed="false">
      <c r="A120" s="29" t="s">
        <v>283</v>
      </c>
      <c r="B120" s="27" t="s">
        <v>159</v>
      </c>
      <c r="C120" s="29" t="s">
        <v>160</v>
      </c>
      <c r="D120" s="30" t="n">
        <v>21</v>
      </c>
      <c r="E120" s="31" t="n">
        <v>0</v>
      </c>
      <c r="F120" s="31" t="n">
        <v>0</v>
      </c>
      <c r="G120" s="32" t="n">
        <f aca="false">E120+F120</f>
        <v>0</v>
      </c>
      <c r="H120" s="33" t="str">
        <f aca="false">IF(G120&gt;D120,"Vượt KL HĐ","")</f>
        <v/>
      </c>
    </row>
    <row r="121" customFormat="false" ht="15" hidden="false" customHeight="false" outlineLevel="0" collapsed="false">
      <c r="A121" s="29" t="s">
        <v>284</v>
      </c>
      <c r="B121" s="27" t="s">
        <v>285</v>
      </c>
      <c r="C121" s="29" t="s">
        <v>116</v>
      </c>
      <c r="D121" s="30" t="n">
        <v>1.029</v>
      </c>
      <c r="E121" s="31" t="n">
        <v>0</v>
      </c>
      <c r="F121" s="31" t="n">
        <v>0</v>
      </c>
      <c r="G121" s="32" t="n">
        <f aca="false">E121+F121</f>
        <v>0</v>
      </c>
      <c r="H121" s="33" t="str">
        <f aca="false">IF(G121&gt;D121,"Vượt KL HĐ","")</f>
        <v/>
      </c>
    </row>
    <row r="122" customFormat="false" ht="15" hidden="false" customHeight="false" outlineLevel="0" collapsed="false">
      <c r="A122" s="29" t="s">
        <v>286</v>
      </c>
      <c r="B122" s="27" t="s">
        <v>155</v>
      </c>
      <c r="C122" s="29" t="s">
        <v>149</v>
      </c>
      <c r="D122" s="30" t="n">
        <v>0.209</v>
      </c>
      <c r="E122" s="31" t="n">
        <v>0</v>
      </c>
      <c r="F122" s="31" t="n">
        <v>0</v>
      </c>
      <c r="G122" s="32" t="n">
        <f aca="false">E122+F122</f>
        <v>0</v>
      </c>
      <c r="H122" s="33" t="str">
        <f aca="false">IF(G122&gt;D122,"Vượt KL HĐ","")</f>
        <v/>
      </c>
    </row>
    <row r="123" customFormat="false" ht="15" hidden="false" customHeight="false" outlineLevel="0" collapsed="false">
      <c r="A123" s="29" t="s">
        <v>287</v>
      </c>
      <c r="B123" s="27" t="s">
        <v>151</v>
      </c>
      <c r="C123" s="29" t="s">
        <v>106</v>
      </c>
      <c r="D123" s="30" t="n">
        <v>0.0103</v>
      </c>
      <c r="E123" s="31" t="n">
        <v>0</v>
      </c>
      <c r="F123" s="31" t="n">
        <v>0</v>
      </c>
      <c r="G123" s="32" t="n">
        <f aca="false">E123+F123</f>
        <v>0</v>
      </c>
      <c r="H123" s="33" t="str">
        <f aca="false">IF(G123&gt;D123,"Vượt KL HĐ","")</f>
        <v/>
      </c>
    </row>
    <row r="124" customFormat="false" ht="15" hidden="false" customHeight="false" outlineLevel="0" collapsed="false">
      <c r="A124" s="12" t="s">
        <v>288</v>
      </c>
      <c r="B124" s="28" t="s">
        <v>289</v>
      </c>
      <c r="C124" s="27"/>
      <c r="D124" s="27"/>
      <c r="E124" s="27"/>
      <c r="F124" s="27"/>
      <c r="G124" s="27"/>
      <c r="H124" s="27"/>
    </row>
    <row r="125" customFormat="false" ht="15" hidden="false" customHeight="false" outlineLevel="0" collapsed="false">
      <c r="A125" s="29" t="s">
        <v>290</v>
      </c>
      <c r="B125" s="27" t="s">
        <v>255</v>
      </c>
      <c r="C125" s="29" t="s">
        <v>116</v>
      </c>
      <c r="D125" s="30" t="n">
        <v>60.297</v>
      </c>
      <c r="E125" s="31" t="n">
        <v>0</v>
      </c>
      <c r="F125" s="31" t="n">
        <v>0</v>
      </c>
      <c r="G125" s="32" t="n">
        <f aca="false">E125+F125</f>
        <v>0</v>
      </c>
      <c r="H125" s="33" t="str">
        <f aca="false">IF(G125&gt;D125,"Vượt KL HĐ","")</f>
        <v/>
      </c>
    </row>
    <row r="126" customFormat="false" ht="15" hidden="false" customHeight="false" outlineLevel="0" collapsed="false">
      <c r="A126" s="29" t="s">
        <v>291</v>
      </c>
      <c r="B126" s="27" t="s">
        <v>275</v>
      </c>
      <c r="C126" s="29" t="s">
        <v>116</v>
      </c>
      <c r="D126" s="30" t="n">
        <v>60.297</v>
      </c>
      <c r="E126" s="31" t="n">
        <v>0</v>
      </c>
      <c r="F126" s="31" t="n">
        <v>0</v>
      </c>
      <c r="G126" s="32" t="n">
        <f aca="false">E126+F126</f>
        <v>0</v>
      </c>
      <c r="H126" s="33" t="str">
        <f aca="false">IF(G126&gt;D126,"Vượt KL HĐ","")</f>
        <v/>
      </c>
    </row>
    <row r="127" customFormat="false" ht="15" hidden="false" customHeight="false" outlineLevel="0" collapsed="false">
      <c r="A127" s="29" t="s">
        <v>292</v>
      </c>
      <c r="B127" s="27" t="s">
        <v>183</v>
      </c>
      <c r="C127" s="29" t="s">
        <v>106</v>
      </c>
      <c r="D127" s="30" t="n">
        <v>3.7106</v>
      </c>
      <c r="E127" s="31" t="n">
        <v>0</v>
      </c>
      <c r="F127" s="31" t="n">
        <v>0</v>
      </c>
      <c r="G127" s="32" t="n">
        <f aca="false">E127+F127</f>
        <v>0</v>
      </c>
      <c r="H127" s="33" t="str">
        <f aca="false">IF(G127&gt;D127,"Vượt KL HĐ","")</f>
        <v/>
      </c>
    </row>
    <row r="128" customFormat="false" ht="15" hidden="false" customHeight="false" outlineLevel="0" collapsed="false">
      <c r="A128" s="29" t="s">
        <v>293</v>
      </c>
      <c r="B128" s="27" t="s">
        <v>142</v>
      </c>
      <c r="C128" s="29" t="s">
        <v>116</v>
      </c>
      <c r="D128" s="30" t="n">
        <v>102.042</v>
      </c>
      <c r="E128" s="31" t="n">
        <v>0</v>
      </c>
      <c r="F128" s="31" t="n">
        <v>0</v>
      </c>
      <c r="G128" s="32" t="n">
        <f aca="false">E128+F128</f>
        <v>0</v>
      </c>
      <c r="H128" s="33" t="str">
        <f aca="false">IF(G128&gt;D128,"Vượt KL HĐ","")</f>
        <v/>
      </c>
    </row>
    <row r="129" customFormat="false" ht="15" hidden="false" customHeight="false" outlineLevel="0" collapsed="false">
      <c r="A129" s="29" t="s">
        <v>294</v>
      </c>
      <c r="B129" s="27" t="s">
        <v>144</v>
      </c>
      <c r="C129" s="29" t="s">
        <v>131</v>
      </c>
      <c r="D129" s="30" t="n">
        <v>927.65</v>
      </c>
      <c r="E129" s="31" t="n">
        <v>0</v>
      </c>
      <c r="F129" s="31" t="n">
        <v>0</v>
      </c>
      <c r="G129" s="32" t="n">
        <f aca="false">E129+F129</f>
        <v>0</v>
      </c>
      <c r="H129" s="33" t="str">
        <f aca="false">IF(G129&gt;D129,"Vượt KL HĐ","")</f>
        <v/>
      </c>
    </row>
    <row r="130" customFormat="false" ht="15" hidden="false" customHeight="false" outlineLevel="0" collapsed="false">
      <c r="A130" s="29" t="s">
        <v>295</v>
      </c>
      <c r="B130" s="27" t="s">
        <v>259</v>
      </c>
      <c r="C130" s="29" t="s">
        <v>131</v>
      </c>
      <c r="D130" s="30" t="n">
        <v>231.913</v>
      </c>
      <c r="E130" s="31" t="n">
        <v>0</v>
      </c>
      <c r="F130" s="31" t="n">
        <v>0</v>
      </c>
      <c r="G130" s="32" t="n">
        <f aca="false">E130+F130</f>
        <v>0</v>
      </c>
      <c r="H130" s="33" t="str">
        <f aca="false">IF(G130&gt;D130,"Vượt KL HĐ","")</f>
        <v/>
      </c>
    </row>
    <row r="131" customFormat="false" ht="15" hidden="false" customHeight="false" outlineLevel="0" collapsed="false">
      <c r="A131" s="29" t="s">
        <v>296</v>
      </c>
      <c r="B131" s="27" t="s">
        <v>297</v>
      </c>
      <c r="C131" s="29" t="s">
        <v>245</v>
      </c>
      <c r="D131" s="30" t="n">
        <v>4.6383</v>
      </c>
      <c r="E131" s="31" t="n">
        <v>0</v>
      </c>
      <c r="F131" s="31" t="n">
        <v>0</v>
      </c>
      <c r="G131" s="32" t="n">
        <f aca="false">E131+F131</f>
        <v>0</v>
      </c>
      <c r="H131" s="33" t="str">
        <f aca="false">IF(G131&gt;D131,"Vượt KL HĐ","")</f>
        <v/>
      </c>
    </row>
    <row r="132" customFormat="false" ht="15" hidden="false" customHeight="false" outlineLevel="0" collapsed="false">
      <c r="A132" s="29" t="s">
        <v>298</v>
      </c>
      <c r="B132" s="27" t="s">
        <v>299</v>
      </c>
      <c r="C132" s="29" t="s">
        <v>240</v>
      </c>
      <c r="D132" s="30" t="n">
        <v>1855</v>
      </c>
      <c r="E132" s="31" t="n">
        <v>0</v>
      </c>
      <c r="F132" s="31" t="n">
        <v>0</v>
      </c>
      <c r="G132" s="32" t="n">
        <f aca="false">E132+F132</f>
        <v>0</v>
      </c>
      <c r="H132" s="33" t="str">
        <f aca="false">IF(G132&gt;D132,"Vượt KL HĐ","")</f>
        <v/>
      </c>
    </row>
    <row r="133" customFormat="false" ht="15" hidden="false" customHeight="false" outlineLevel="0" collapsed="false">
      <c r="A133" s="29" t="s">
        <v>300</v>
      </c>
      <c r="B133" s="27" t="s">
        <v>301</v>
      </c>
      <c r="C133" s="29" t="s">
        <v>245</v>
      </c>
      <c r="D133" s="30" t="n">
        <v>2.3191</v>
      </c>
      <c r="E133" s="31" t="n">
        <v>0</v>
      </c>
      <c r="F133" s="31" t="n">
        <v>0</v>
      </c>
      <c r="G133" s="32" t="n">
        <f aca="false">E133+F133</f>
        <v>0</v>
      </c>
      <c r="H133" s="33" t="str">
        <f aca="false">IF(G133&gt;D133,"Vượt KL HĐ","")</f>
        <v/>
      </c>
    </row>
    <row r="134" customFormat="false" ht="15" hidden="false" customHeight="false" outlineLevel="0" collapsed="false">
      <c r="A134" s="29" t="s">
        <v>302</v>
      </c>
      <c r="B134" s="27" t="s">
        <v>303</v>
      </c>
      <c r="C134" s="29" t="s">
        <v>240</v>
      </c>
      <c r="D134" s="30" t="n">
        <v>928</v>
      </c>
      <c r="E134" s="31" t="n">
        <v>0</v>
      </c>
      <c r="F134" s="31" t="n">
        <v>0</v>
      </c>
      <c r="G134" s="32" t="n">
        <f aca="false">E134+F134</f>
        <v>0</v>
      </c>
      <c r="H134" s="33" t="str">
        <f aca="false">IF(G134&gt;D134,"Vượt KL HĐ","")</f>
        <v/>
      </c>
    </row>
    <row r="135" customFormat="false" ht="15" hidden="false" customHeight="false" outlineLevel="0" collapsed="false">
      <c r="A135" s="29" t="s">
        <v>304</v>
      </c>
      <c r="B135" s="27" t="s">
        <v>305</v>
      </c>
      <c r="C135" s="29" t="s">
        <v>149</v>
      </c>
      <c r="D135" s="30" t="n">
        <v>0.6772</v>
      </c>
      <c r="E135" s="31" t="n">
        <v>0</v>
      </c>
      <c r="F135" s="31" t="n">
        <v>0</v>
      </c>
      <c r="G135" s="32" t="n">
        <f aca="false">E135+F135</f>
        <v>0</v>
      </c>
      <c r="H135" s="33" t="str">
        <f aca="false">IF(G135&gt;D135,"Vượt KL HĐ","")</f>
        <v/>
      </c>
    </row>
    <row r="136" customFormat="false" ht="15" hidden="false" customHeight="false" outlineLevel="0" collapsed="false">
      <c r="A136" s="29" t="s">
        <v>306</v>
      </c>
      <c r="B136" s="27" t="s">
        <v>159</v>
      </c>
      <c r="C136" s="29" t="s">
        <v>160</v>
      </c>
      <c r="D136" s="30" t="n">
        <v>928</v>
      </c>
      <c r="E136" s="31" t="n">
        <v>0</v>
      </c>
      <c r="F136" s="31" t="n">
        <v>0</v>
      </c>
      <c r="G136" s="32" t="n">
        <f aca="false">E136+F136</f>
        <v>0</v>
      </c>
      <c r="H136" s="33" t="str">
        <f aca="false">IF(G136&gt;D136,"Vượt KL HĐ","")</f>
        <v/>
      </c>
    </row>
    <row r="137" customFormat="false" ht="15" hidden="false" customHeight="false" outlineLevel="0" collapsed="false">
      <c r="A137" s="29" t="s">
        <v>307</v>
      </c>
      <c r="B137" s="27" t="s">
        <v>153</v>
      </c>
      <c r="C137" s="29" t="s">
        <v>116</v>
      </c>
      <c r="D137" s="30" t="n">
        <v>60.297</v>
      </c>
      <c r="E137" s="31" t="n">
        <v>0</v>
      </c>
      <c r="F137" s="31" t="n">
        <v>0</v>
      </c>
      <c r="G137" s="32" t="n">
        <f aca="false">E137+F137</f>
        <v>0</v>
      </c>
      <c r="H137" s="33" t="str">
        <f aca="false">IF(G137&gt;D137,"Vượt KL HĐ","")</f>
        <v/>
      </c>
    </row>
    <row r="138" customFormat="false" ht="15" hidden="false" customHeight="false" outlineLevel="0" collapsed="false">
      <c r="A138" s="29" t="s">
        <v>308</v>
      </c>
      <c r="B138" s="27" t="s">
        <v>155</v>
      </c>
      <c r="C138" s="29" t="s">
        <v>149</v>
      </c>
      <c r="D138" s="30" t="n">
        <v>4.4434</v>
      </c>
      <c r="E138" s="31" t="n">
        <v>0</v>
      </c>
      <c r="F138" s="31" t="n">
        <v>0</v>
      </c>
      <c r="G138" s="32" t="n">
        <f aca="false">E138+F138</f>
        <v>0</v>
      </c>
      <c r="H138" s="33" t="str">
        <f aca="false">IF(G138&gt;D138,"Vượt KL HĐ","")</f>
        <v/>
      </c>
    </row>
    <row r="139" customFormat="false" ht="15" hidden="false" customHeight="false" outlineLevel="0" collapsed="false">
      <c r="A139" s="29" t="s">
        <v>309</v>
      </c>
      <c r="B139" s="27" t="s">
        <v>151</v>
      </c>
      <c r="C139" s="29" t="s">
        <v>106</v>
      </c>
      <c r="D139" s="30" t="n">
        <v>3.0613</v>
      </c>
      <c r="E139" s="31" t="n">
        <v>0</v>
      </c>
      <c r="F139" s="31" t="n">
        <v>0</v>
      </c>
      <c r="G139" s="32" t="n">
        <f aca="false">E139+F139</f>
        <v>0</v>
      </c>
      <c r="H139" s="33" t="str">
        <f aca="false">IF(G139&gt;D139,"Vượt KL HĐ","")</f>
        <v/>
      </c>
    </row>
    <row r="140" customFormat="false" ht="15" hidden="false" customHeight="false" outlineLevel="0" collapsed="false">
      <c r="A140" s="29" t="s">
        <v>310</v>
      </c>
      <c r="B140" s="27" t="s">
        <v>311</v>
      </c>
      <c r="C140" s="29" t="s">
        <v>245</v>
      </c>
      <c r="D140" s="30" t="n">
        <v>0.3908</v>
      </c>
      <c r="E140" s="31" t="n">
        <v>0</v>
      </c>
      <c r="F140" s="31" t="n">
        <v>0</v>
      </c>
      <c r="G140" s="32" t="n">
        <f aca="false">E140+F140</f>
        <v>0</v>
      </c>
      <c r="H140" s="33" t="str">
        <f aca="false">IF(G140&gt;D140,"Vượt KL HĐ","")</f>
        <v/>
      </c>
    </row>
    <row r="141" customFormat="false" ht="26.85" hidden="false" customHeight="false" outlineLevel="0" collapsed="false">
      <c r="A141" s="12" t="s">
        <v>312</v>
      </c>
      <c r="B141" s="13" t="s">
        <v>313</v>
      </c>
      <c r="C141" s="27"/>
      <c r="D141" s="27"/>
      <c r="E141" s="27"/>
      <c r="F141" s="27"/>
      <c r="G141" s="27"/>
      <c r="H141" s="27"/>
    </row>
    <row r="142" customFormat="false" ht="15" hidden="false" customHeight="false" outlineLevel="0" collapsed="false">
      <c r="A142" s="12" t="s">
        <v>314</v>
      </c>
      <c r="B142" s="28" t="s">
        <v>315</v>
      </c>
      <c r="C142" s="27"/>
      <c r="D142" s="27"/>
      <c r="E142" s="27"/>
      <c r="F142" s="27"/>
      <c r="G142" s="27"/>
      <c r="H142" s="27"/>
    </row>
    <row r="143" customFormat="false" ht="15" hidden="false" customHeight="false" outlineLevel="0" collapsed="false">
      <c r="A143" s="29" t="s">
        <v>316</v>
      </c>
      <c r="B143" s="27" t="s">
        <v>317</v>
      </c>
      <c r="C143" s="29" t="s">
        <v>131</v>
      </c>
      <c r="D143" s="30" t="n">
        <v>5144.62</v>
      </c>
      <c r="E143" s="31" t="n">
        <v>0</v>
      </c>
      <c r="F143" s="31" t="n">
        <v>0</v>
      </c>
      <c r="G143" s="32" t="n">
        <f aca="false">E143+F143</f>
        <v>0</v>
      </c>
      <c r="H143" s="33" t="str">
        <f aca="false">IF(G143&gt;D143,"Vượt KL HĐ","")</f>
        <v/>
      </c>
    </row>
    <row r="144" customFormat="false" ht="15" hidden="false" customHeight="false" outlineLevel="0" collapsed="false">
      <c r="A144" s="29" t="s">
        <v>318</v>
      </c>
      <c r="B144" s="27" t="s">
        <v>319</v>
      </c>
      <c r="C144" s="29" t="s">
        <v>116</v>
      </c>
      <c r="D144" s="30" t="n">
        <v>514.462</v>
      </c>
      <c r="E144" s="31" t="n">
        <v>0</v>
      </c>
      <c r="F144" s="31" t="n">
        <v>0</v>
      </c>
      <c r="G144" s="32" t="n">
        <f aca="false">E144+F144</f>
        <v>0</v>
      </c>
      <c r="H144" s="33" t="str">
        <f aca="false">IF(G144&gt;D144,"Vượt KL HĐ","")</f>
        <v/>
      </c>
    </row>
    <row r="145" customFormat="false" ht="15" hidden="false" customHeight="false" outlineLevel="0" collapsed="false">
      <c r="A145" s="29" t="s">
        <v>320</v>
      </c>
      <c r="B145" s="27" t="s">
        <v>321</v>
      </c>
      <c r="C145" s="29" t="s">
        <v>131</v>
      </c>
      <c r="D145" s="30" t="n">
        <v>5144.62</v>
      </c>
      <c r="E145" s="31" t="n">
        <v>0</v>
      </c>
      <c r="F145" s="31" t="n">
        <v>0</v>
      </c>
      <c r="G145" s="32" t="n">
        <f aca="false">E145+F145</f>
        <v>0</v>
      </c>
      <c r="H145" s="33" t="str">
        <f aca="false">IF(G145&gt;D145,"Vượt KL HĐ","")</f>
        <v/>
      </c>
    </row>
    <row r="146" customFormat="false" ht="15" hidden="false" customHeight="false" outlineLevel="0" collapsed="false">
      <c r="A146" s="12" t="s">
        <v>322</v>
      </c>
      <c r="B146" s="28" t="s">
        <v>323</v>
      </c>
      <c r="C146" s="27"/>
      <c r="D146" s="27"/>
      <c r="E146" s="27"/>
      <c r="F146" s="27"/>
      <c r="G146" s="27"/>
      <c r="H146" s="27"/>
    </row>
    <row r="147" customFormat="false" ht="15" hidden="false" customHeight="false" outlineLevel="0" collapsed="false">
      <c r="A147" s="29" t="s">
        <v>324</v>
      </c>
      <c r="B147" s="27" t="s">
        <v>325</v>
      </c>
      <c r="C147" s="29" t="s">
        <v>106</v>
      </c>
      <c r="D147" s="30" t="n">
        <v>2.5056</v>
      </c>
      <c r="E147" s="31" t="n">
        <v>0</v>
      </c>
      <c r="F147" s="31" t="n">
        <v>0</v>
      </c>
      <c r="G147" s="32" t="n">
        <f aca="false">E147+F147</f>
        <v>0</v>
      </c>
      <c r="H147" s="33" t="str">
        <f aca="false">IF(G147&gt;D147,"Vượt KL HĐ","")</f>
        <v/>
      </c>
    </row>
    <row r="148" customFormat="false" ht="15" hidden="false" customHeight="false" outlineLevel="0" collapsed="false">
      <c r="A148" s="29" t="s">
        <v>326</v>
      </c>
      <c r="B148" s="27" t="s">
        <v>327</v>
      </c>
      <c r="C148" s="29" t="s">
        <v>116</v>
      </c>
      <c r="D148" s="30" t="n">
        <v>32.57</v>
      </c>
      <c r="E148" s="31" t="n">
        <v>0</v>
      </c>
      <c r="F148" s="31" t="n">
        <v>0</v>
      </c>
      <c r="G148" s="32" t="n">
        <f aca="false">E148+F148</f>
        <v>0</v>
      </c>
      <c r="H148" s="33" t="str">
        <f aca="false">IF(G148&gt;D148,"Vượt KL HĐ","")</f>
        <v/>
      </c>
    </row>
    <row r="149" customFormat="false" ht="15" hidden="false" customHeight="false" outlineLevel="0" collapsed="false">
      <c r="A149" s="29" t="s">
        <v>328</v>
      </c>
      <c r="B149" s="27" t="s">
        <v>329</v>
      </c>
      <c r="C149" s="29" t="s">
        <v>131</v>
      </c>
      <c r="D149" s="30" t="n">
        <v>325.73</v>
      </c>
      <c r="E149" s="31" t="n">
        <v>0</v>
      </c>
      <c r="F149" s="31" t="n">
        <v>0</v>
      </c>
      <c r="G149" s="32" t="n">
        <f aca="false">E149+F149</f>
        <v>0</v>
      </c>
      <c r="H149" s="33" t="str">
        <f aca="false">IF(G149&gt;D149,"Vượt KL HĐ","")</f>
        <v/>
      </c>
    </row>
    <row r="150" customFormat="false" ht="15" hidden="false" customHeight="false" outlineLevel="0" collapsed="false">
      <c r="A150" s="29" t="s">
        <v>330</v>
      </c>
      <c r="B150" s="27" t="s">
        <v>331</v>
      </c>
      <c r="C150" s="29" t="s">
        <v>106</v>
      </c>
      <c r="D150" s="30" t="n">
        <v>8.2686</v>
      </c>
      <c r="E150" s="31" t="n">
        <v>0</v>
      </c>
      <c r="F150" s="31" t="n">
        <v>0</v>
      </c>
      <c r="G150" s="32" t="n">
        <f aca="false">E150+F150</f>
        <v>0</v>
      </c>
      <c r="H150" s="33" t="str">
        <f aca="false">IF(G150&gt;D150,"Vượt KL HĐ","")</f>
        <v/>
      </c>
    </row>
    <row r="151" customFormat="false" ht="15" hidden="false" customHeight="false" outlineLevel="0" collapsed="false">
      <c r="A151" s="29" t="s">
        <v>332</v>
      </c>
      <c r="B151" s="27" t="s">
        <v>333</v>
      </c>
      <c r="C151" s="29" t="s">
        <v>116</v>
      </c>
      <c r="D151" s="30" t="n">
        <v>57.63</v>
      </c>
      <c r="E151" s="31" t="n">
        <v>0</v>
      </c>
      <c r="F151" s="31" t="n">
        <v>0</v>
      </c>
      <c r="G151" s="32" t="n">
        <f aca="false">E151+F151</f>
        <v>0</v>
      </c>
      <c r="H151" s="33" t="str">
        <f aca="false">IF(G151&gt;D151,"Vượt KL HĐ","")</f>
        <v/>
      </c>
    </row>
    <row r="152" customFormat="false" ht="15" hidden="false" customHeight="false" outlineLevel="0" collapsed="false">
      <c r="A152" s="29" t="s">
        <v>334</v>
      </c>
      <c r="B152" s="27" t="s">
        <v>335</v>
      </c>
      <c r="C152" s="29" t="s">
        <v>160</v>
      </c>
      <c r="D152" s="30" t="n">
        <v>1253</v>
      </c>
      <c r="E152" s="31" t="n">
        <v>0</v>
      </c>
      <c r="F152" s="31" t="n">
        <v>0</v>
      </c>
      <c r="G152" s="32" t="n">
        <f aca="false">E152+F152</f>
        <v>0</v>
      </c>
      <c r="H152" s="33" t="str">
        <f aca="false">IF(G152&gt;D152,"Vượt KL HĐ","")</f>
        <v/>
      </c>
    </row>
    <row r="153" customFormat="false" ht="15" hidden="false" customHeight="false" outlineLevel="0" collapsed="false">
      <c r="A153" s="12" t="s">
        <v>336</v>
      </c>
      <c r="B153" s="28" t="s">
        <v>337</v>
      </c>
      <c r="C153" s="27"/>
      <c r="D153" s="27"/>
      <c r="E153" s="27"/>
      <c r="F153" s="27"/>
      <c r="G153" s="27"/>
      <c r="H153" s="27"/>
    </row>
    <row r="154" customFormat="false" ht="15" hidden="false" customHeight="false" outlineLevel="0" collapsed="false">
      <c r="A154" s="29" t="s">
        <v>338</v>
      </c>
      <c r="B154" s="27" t="s">
        <v>325</v>
      </c>
      <c r="C154" s="29" t="s">
        <v>106</v>
      </c>
      <c r="D154" s="30" t="n">
        <v>0.4498</v>
      </c>
      <c r="E154" s="31" t="n">
        <v>0</v>
      </c>
      <c r="F154" s="31" t="n">
        <v>0</v>
      </c>
      <c r="G154" s="32" t="n">
        <f aca="false">E154+F154</f>
        <v>0</v>
      </c>
      <c r="H154" s="33" t="str">
        <f aca="false">IF(G154&gt;D154,"Vượt KL HĐ","")</f>
        <v/>
      </c>
    </row>
    <row r="155" customFormat="false" ht="15" hidden="false" customHeight="false" outlineLevel="0" collapsed="false">
      <c r="A155" s="29" t="s">
        <v>339</v>
      </c>
      <c r="B155" s="27" t="s">
        <v>327</v>
      </c>
      <c r="C155" s="29" t="s">
        <v>116</v>
      </c>
      <c r="D155" s="30" t="n">
        <v>5.85</v>
      </c>
      <c r="E155" s="31" t="n">
        <v>0</v>
      </c>
      <c r="F155" s="31" t="n">
        <v>0</v>
      </c>
      <c r="G155" s="32" t="n">
        <f aca="false">E155+F155</f>
        <v>0</v>
      </c>
      <c r="H155" s="33" t="str">
        <f aca="false">IF(G155&gt;D155,"Vượt KL HĐ","")</f>
        <v/>
      </c>
    </row>
    <row r="156" customFormat="false" ht="15" hidden="false" customHeight="false" outlineLevel="0" collapsed="false">
      <c r="A156" s="29" t="s">
        <v>340</v>
      </c>
      <c r="B156" s="27" t="s">
        <v>329</v>
      </c>
      <c r="C156" s="29" t="s">
        <v>131</v>
      </c>
      <c r="D156" s="30" t="n">
        <v>58.47</v>
      </c>
      <c r="E156" s="31" t="n">
        <v>0</v>
      </c>
      <c r="F156" s="31" t="n">
        <v>0</v>
      </c>
      <c r="G156" s="32" t="n">
        <f aca="false">E156+F156</f>
        <v>0</v>
      </c>
      <c r="H156" s="33" t="str">
        <f aca="false">IF(G156&gt;D156,"Vượt KL HĐ","")</f>
        <v/>
      </c>
    </row>
    <row r="157" customFormat="false" ht="15" hidden="false" customHeight="false" outlineLevel="0" collapsed="false">
      <c r="A157" s="29" t="s">
        <v>341</v>
      </c>
      <c r="B157" s="27" t="s">
        <v>331</v>
      </c>
      <c r="C157" s="29" t="s">
        <v>106</v>
      </c>
      <c r="D157" s="30" t="n">
        <v>1.4843</v>
      </c>
      <c r="E157" s="31" t="n">
        <v>0</v>
      </c>
      <c r="F157" s="31" t="n">
        <v>0</v>
      </c>
      <c r="G157" s="32" t="n">
        <f aca="false">E157+F157</f>
        <v>0</v>
      </c>
      <c r="H157" s="33" t="str">
        <f aca="false">IF(G157&gt;D157,"Vượt KL HĐ","")</f>
        <v/>
      </c>
    </row>
    <row r="158" customFormat="false" ht="15" hidden="false" customHeight="false" outlineLevel="0" collapsed="false">
      <c r="A158" s="29" t="s">
        <v>342</v>
      </c>
      <c r="B158" s="27" t="s">
        <v>333</v>
      </c>
      <c r="C158" s="29" t="s">
        <v>116</v>
      </c>
      <c r="D158" s="30" t="n">
        <v>10.68</v>
      </c>
      <c r="E158" s="31" t="n">
        <v>0</v>
      </c>
      <c r="F158" s="31" t="n">
        <v>0</v>
      </c>
      <c r="G158" s="32" t="n">
        <f aca="false">E158+F158</f>
        <v>0</v>
      </c>
      <c r="H158" s="33" t="str">
        <f aca="false">IF(G158&gt;D158,"Vượt KL HĐ","")</f>
        <v/>
      </c>
    </row>
    <row r="159" customFormat="false" ht="15" hidden="false" customHeight="false" outlineLevel="0" collapsed="false">
      <c r="A159" s="29" t="s">
        <v>343</v>
      </c>
      <c r="B159" s="27" t="s">
        <v>335</v>
      </c>
      <c r="C159" s="29" t="s">
        <v>160</v>
      </c>
      <c r="D159" s="30" t="n">
        <v>562</v>
      </c>
      <c r="E159" s="31" t="n">
        <v>0</v>
      </c>
      <c r="F159" s="31" t="n">
        <v>0</v>
      </c>
      <c r="G159" s="32" t="n">
        <f aca="false">E159+F159</f>
        <v>0</v>
      </c>
      <c r="H159" s="33" t="str">
        <f aca="false">IF(G159&gt;D159,"Vượt KL HĐ","")</f>
        <v/>
      </c>
    </row>
    <row r="160" customFormat="false" ht="15" hidden="false" customHeight="false" outlineLevel="0" collapsed="false">
      <c r="A160" s="12" t="s">
        <v>344</v>
      </c>
      <c r="B160" s="28" t="s">
        <v>345</v>
      </c>
      <c r="C160" s="27"/>
      <c r="D160" s="27"/>
      <c r="E160" s="27"/>
      <c r="F160" s="27"/>
      <c r="G160" s="27"/>
      <c r="H160" s="27"/>
    </row>
    <row r="161" customFormat="false" ht="15" hidden="false" customHeight="false" outlineLevel="0" collapsed="false">
      <c r="A161" s="29" t="s">
        <v>346</v>
      </c>
      <c r="B161" s="27" t="s">
        <v>347</v>
      </c>
      <c r="C161" s="29" t="s">
        <v>106</v>
      </c>
      <c r="D161" s="30" t="n">
        <v>2.3692</v>
      </c>
      <c r="E161" s="31" t="n">
        <v>0</v>
      </c>
      <c r="F161" s="31" t="n">
        <v>0</v>
      </c>
      <c r="G161" s="32" t="n">
        <f aca="false">E161+F161</f>
        <v>0</v>
      </c>
      <c r="H161" s="33" t="str">
        <f aca="false">IF(G161&gt;D161,"Vượt KL HĐ","")</f>
        <v/>
      </c>
    </row>
    <row r="162" customFormat="false" ht="15" hidden="false" customHeight="false" outlineLevel="0" collapsed="false">
      <c r="A162" s="29" t="s">
        <v>348</v>
      </c>
      <c r="B162" s="27" t="s">
        <v>349</v>
      </c>
      <c r="C162" s="29" t="s">
        <v>116</v>
      </c>
      <c r="D162" s="30" t="n">
        <v>29.61</v>
      </c>
      <c r="E162" s="31" t="n">
        <v>0</v>
      </c>
      <c r="F162" s="31" t="n">
        <v>0</v>
      </c>
      <c r="G162" s="32" t="n">
        <f aca="false">E162+F162</f>
        <v>0</v>
      </c>
      <c r="H162" s="33" t="str">
        <f aca="false">IF(G162&gt;D162,"Vượt KL HĐ","")</f>
        <v/>
      </c>
    </row>
    <row r="163" customFormat="false" ht="15" hidden="false" customHeight="false" outlineLevel="0" collapsed="false">
      <c r="A163" s="29" t="s">
        <v>350</v>
      </c>
      <c r="B163" s="27" t="s">
        <v>351</v>
      </c>
      <c r="C163" s="29" t="s">
        <v>116</v>
      </c>
      <c r="D163" s="30" t="n">
        <v>26.06</v>
      </c>
      <c r="E163" s="31" t="n">
        <v>0</v>
      </c>
      <c r="F163" s="31" t="n">
        <v>0</v>
      </c>
      <c r="G163" s="32" t="n">
        <f aca="false">E163+F163</f>
        <v>0</v>
      </c>
      <c r="H163" s="33" t="str">
        <f aca="false">IF(G163&gt;D163,"Vượt KL HĐ","")</f>
        <v/>
      </c>
    </row>
    <row r="164" customFormat="false" ht="15" hidden="false" customHeight="false" outlineLevel="0" collapsed="false">
      <c r="A164" s="29" t="s">
        <v>352</v>
      </c>
      <c r="B164" s="27" t="s">
        <v>353</v>
      </c>
      <c r="C164" s="29" t="s">
        <v>131</v>
      </c>
      <c r="D164" s="30" t="n">
        <v>355.38</v>
      </c>
      <c r="E164" s="31" t="n">
        <v>0</v>
      </c>
      <c r="F164" s="31" t="n">
        <v>0</v>
      </c>
      <c r="G164" s="32" t="n">
        <f aca="false">E164+F164</f>
        <v>0</v>
      </c>
      <c r="H164" s="33" t="str">
        <f aca="false">IF(G164&gt;D164,"Vượt KL HĐ","")</f>
        <v/>
      </c>
    </row>
    <row r="165" customFormat="false" ht="15" hidden="false" customHeight="false" outlineLevel="0" collapsed="false">
      <c r="A165" s="12" t="s">
        <v>354</v>
      </c>
      <c r="B165" s="28" t="s">
        <v>355</v>
      </c>
      <c r="C165" s="27"/>
      <c r="D165" s="27"/>
      <c r="E165" s="27"/>
      <c r="F165" s="27"/>
      <c r="G165" s="27"/>
      <c r="H165" s="27"/>
    </row>
    <row r="166" customFormat="false" ht="15" hidden="false" customHeight="false" outlineLevel="0" collapsed="false">
      <c r="A166" s="29" t="s">
        <v>356</v>
      </c>
      <c r="B166" s="27" t="s">
        <v>357</v>
      </c>
      <c r="C166" s="29" t="s">
        <v>106</v>
      </c>
      <c r="D166" s="30" t="n">
        <v>0.7008</v>
      </c>
      <c r="E166" s="31" t="n">
        <v>0</v>
      </c>
      <c r="F166" s="31" t="n">
        <v>0</v>
      </c>
      <c r="G166" s="32" t="n">
        <f aca="false">E166+F166</f>
        <v>0</v>
      </c>
      <c r="H166" s="33" t="str">
        <f aca="false">IF(G166&gt;D166,"Vượt KL HĐ","")</f>
        <v/>
      </c>
    </row>
    <row r="167" customFormat="false" ht="15" hidden="false" customHeight="false" outlineLevel="0" collapsed="false">
      <c r="A167" s="29" t="s">
        <v>358</v>
      </c>
      <c r="B167" s="27" t="s">
        <v>275</v>
      </c>
      <c r="C167" s="29" t="s">
        <v>116</v>
      </c>
      <c r="D167" s="30" t="n">
        <v>1.97</v>
      </c>
      <c r="E167" s="31" t="n">
        <v>0</v>
      </c>
      <c r="F167" s="31" t="n">
        <v>0</v>
      </c>
      <c r="G167" s="32" t="n">
        <f aca="false">E167+F167</f>
        <v>0</v>
      </c>
      <c r="H167" s="33" t="str">
        <f aca="false">IF(G167&gt;D167,"Vượt KL HĐ","")</f>
        <v/>
      </c>
    </row>
    <row r="168" customFormat="false" ht="15" hidden="false" customHeight="false" outlineLevel="0" collapsed="false">
      <c r="A168" s="29" t="s">
        <v>359</v>
      </c>
      <c r="B168" s="27" t="s">
        <v>360</v>
      </c>
      <c r="C168" s="29" t="s">
        <v>116</v>
      </c>
      <c r="D168" s="30" t="n">
        <v>6.42</v>
      </c>
      <c r="E168" s="31" t="n">
        <v>0</v>
      </c>
      <c r="F168" s="31" t="n">
        <v>0</v>
      </c>
      <c r="G168" s="32" t="n">
        <f aca="false">E168+F168</f>
        <v>0</v>
      </c>
      <c r="H168" s="33" t="str">
        <f aca="false">IF(G168&gt;D168,"Vượt KL HĐ","")</f>
        <v/>
      </c>
    </row>
    <row r="169" customFormat="false" ht="15" hidden="false" customHeight="false" outlineLevel="0" collapsed="false">
      <c r="A169" s="29" t="s">
        <v>361</v>
      </c>
      <c r="B169" s="27" t="s">
        <v>362</v>
      </c>
      <c r="C169" s="29" t="s">
        <v>131</v>
      </c>
      <c r="D169" s="30" t="n">
        <v>32.12</v>
      </c>
      <c r="E169" s="31" t="n">
        <v>0</v>
      </c>
      <c r="F169" s="31" t="n">
        <v>0</v>
      </c>
      <c r="G169" s="32" t="n">
        <f aca="false">E169+F169</f>
        <v>0</v>
      </c>
      <c r="H169" s="33" t="str">
        <f aca="false">IF(G169&gt;D169,"Vượt KL HĐ","")</f>
        <v/>
      </c>
    </row>
    <row r="170" customFormat="false" ht="15" hidden="false" customHeight="false" outlineLevel="0" collapsed="false">
      <c r="A170" s="12" t="s">
        <v>363</v>
      </c>
      <c r="B170" s="28" t="s">
        <v>364</v>
      </c>
      <c r="C170" s="27"/>
      <c r="D170" s="27"/>
      <c r="E170" s="27"/>
      <c r="F170" s="27"/>
      <c r="G170" s="27"/>
      <c r="H170" s="27"/>
    </row>
    <row r="171" customFormat="false" ht="15" hidden="false" customHeight="false" outlineLevel="0" collapsed="false">
      <c r="A171" s="29" t="s">
        <v>365</v>
      </c>
      <c r="B171" s="27" t="s">
        <v>115</v>
      </c>
      <c r="C171" s="29" t="s">
        <v>116</v>
      </c>
      <c r="D171" s="30" t="n">
        <v>149.8904</v>
      </c>
      <c r="E171" s="31" t="n">
        <v>0</v>
      </c>
      <c r="F171" s="31" t="n">
        <v>0</v>
      </c>
      <c r="G171" s="32" t="n">
        <f aca="false">E171+F171</f>
        <v>0</v>
      </c>
      <c r="H171" s="33" t="str">
        <f aca="false">IF(G171&gt;D171,"Vượt KL HĐ","")</f>
        <v/>
      </c>
    </row>
    <row r="172" customFormat="false" ht="15" hidden="false" customHeight="false" outlineLevel="0" collapsed="false">
      <c r="A172" s="29" t="s">
        <v>366</v>
      </c>
      <c r="B172" s="27" t="s">
        <v>118</v>
      </c>
      <c r="C172" s="29" t="s">
        <v>111</v>
      </c>
      <c r="D172" s="30" t="n">
        <v>1.0679</v>
      </c>
      <c r="E172" s="31" t="n">
        <v>0</v>
      </c>
      <c r="F172" s="31" t="n">
        <v>0</v>
      </c>
      <c r="G172" s="32" t="n">
        <f aca="false">E172+F172</f>
        <v>0</v>
      </c>
      <c r="H172" s="33" t="str">
        <f aca="false">IF(G172&gt;D172,"Vượt KL HĐ","")</f>
        <v/>
      </c>
    </row>
    <row r="173" customFormat="false" ht="15" hidden="false" customHeight="false" outlineLevel="0" collapsed="false">
      <c r="A173" s="29" t="s">
        <v>367</v>
      </c>
      <c r="B173" s="27" t="s">
        <v>368</v>
      </c>
      <c r="C173" s="29" t="s">
        <v>111</v>
      </c>
      <c r="D173" s="30" t="n">
        <v>0.6407</v>
      </c>
      <c r="E173" s="31" t="n">
        <v>0</v>
      </c>
      <c r="F173" s="31" t="n">
        <v>0</v>
      </c>
      <c r="G173" s="32" t="n">
        <f aca="false">E173+F173</f>
        <v>0</v>
      </c>
      <c r="H173" s="33" t="str">
        <f aca="false">IF(G173&gt;D173,"Vượt KL HĐ","")</f>
        <v/>
      </c>
    </row>
    <row r="174" customFormat="false" ht="15" hidden="false" customHeight="false" outlineLevel="0" collapsed="false">
      <c r="A174" s="29" t="s">
        <v>369</v>
      </c>
      <c r="B174" s="27" t="s">
        <v>370</v>
      </c>
      <c r="C174" s="29" t="s">
        <v>111</v>
      </c>
      <c r="D174" s="30" t="n">
        <v>0.5339</v>
      </c>
      <c r="E174" s="31" t="n">
        <v>0</v>
      </c>
      <c r="F174" s="31" t="n">
        <v>0</v>
      </c>
      <c r="G174" s="32" t="n">
        <f aca="false">E174+F174</f>
        <v>0</v>
      </c>
      <c r="H174" s="33" t="str">
        <f aca="false">IF(G174&gt;D174,"Vượt KL HĐ","")</f>
        <v/>
      </c>
    </row>
    <row r="175" customFormat="false" ht="15" hidden="false" customHeight="false" outlineLevel="0" collapsed="false">
      <c r="A175" s="29" t="s">
        <v>371</v>
      </c>
      <c r="B175" s="27" t="s">
        <v>372</v>
      </c>
      <c r="C175" s="29" t="s">
        <v>116</v>
      </c>
      <c r="D175" s="30" t="n">
        <v>17.8</v>
      </c>
      <c r="E175" s="31" t="n">
        <v>0</v>
      </c>
      <c r="F175" s="31" t="n">
        <v>0</v>
      </c>
      <c r="G175" s="32" t="n">
        <f aca="false">E175+F175</f>
        <v>0</v>
      </c>
      <c r="H175" s="33" t="str">
        <f aca="false">IF(G175&gt;D175,"Vượt KL HĐ","")</f>
        <v/>
      </c>
    </row>
    <row r="176" customFormat="false" ht="15" hidden="false" customHeight="false" outlineLevel="0" collapsed="false">
      <c r="A176" s="12" t="s">
        <v>373</v>
      </c>
      <c r="B176" s="13" t="s">
        <v>374</v>
      </c>
      <c r="C176" s="27"/>
      <c r="D176" s="27"/>
      <c r="E176" s="27"/>
      <c r="F176" s="27"/>
      <c r="G176" s="27"/>
      <c r="H176" s="27"/>
    </row>
    <row r="177" customFormat="false" ht="15" hidden="false" customHeight="false" outlineLevel="0" collapsed="false">
      <c r="A177" s="12" t="s">
        <v>74</v>
      </c>
      <c r="B177" s="28" t="s">
        <v>375</v>
      </c>
      <c r="C177" s="27"/>
      <c r="D177" s="27"/>
      <c r="E177" s="27"/>
      <c r="F177" s="27"/>
      <c r="G177" s="27"/>
      <c r="H177" s="27"/>
    </row>
    <row r="178" customFormat="false" ht="15" hidden="false" customHeight="false" outlineLevel="0" collapsed="false">
      <c r="A178" s="29" t="s">
        <v>376</v>
      </c>
      <c r="B178" s="27" t="s">
        <v>377</v>
      </c>
      <c r="C178" s="29" t="s">
        <v>116</v>
      </c>
      <c r="D178" s="30" t="n">
        <v>40.16</v>
      </c>
      <c r="E178" s="31" t="n">
        <v>0</v>
      </c>
      <c r="F178" s="31" t="n">
        <v>0</v>
      </c>
      <c r="G178" s="32" t="n">
        <f aca="false">E178+F178</f>
        <v>0</v>
      </c>
      <c r="H178" s="33" t="str">
        <f aca="false">IF(G178&gt;D178,"Vượt KL HĐ","")</f>
        <v/>
      </c>
    </row>
    <row r="179" customFormat="false" ht="15" hidden="false" customHeight="false" outlineLevel="0" collapsed="false">
      <c r="A179" s="29" t="s">
        <v>378</v>
      </c>
      <c r="B179" s="27" t="s">
        <v>379</v>
      </c>
      <c r="C179" s="29" t="s">
        <v>111</v>
      </c>
      <c r="D179" s="30" t="n">
        <v>0.4076</v>
      </c>
      <c r="E179" s="31" t="n">
        <v>0</v>
      </c>
      <c r="F179" s="31" t="n">
        <v>0</v>
      </c>
      <c r="G179" s="32" t="n">
        <f aca="false">E179+F179</f>
        <v>0</v>
      </c>
      <c r="H179" s="33" t="str">
        <f aca="false">IF(G179&gt;D179,"Vượt KL HĐ","")</f>
        <v/>
      </c>
    </row>
    <row r="180" customFormat="false" ht="15" hidden="false" customHeight="false" outlineLevel="0" collapsed="false">
      <c r="A180" s="29" t="s">
        <v>380</v>
      </c>
      <c r="B180" s="27" t="s">
        <v>381</v>
      </c>
      <c r="C180" s="29" t="s">
        <v>149</v>
      </c>
      <c r="D180" s="30" t="n">
        <v>1.8228</v>
      </c>
      <c r="E180" s="31" t="n">
        <v>0</v>
      </c>
      <c r="F180" s="31" t="n">
        <v>0</v>
      </c>
      <c r="G180" s="32" t="n">
        <f aca="false">E180+F180</f>
        <v>0</v>
      </c>
      <c r="H180" s="33" t="str">
        <f aca="false">IF(G180&gt;D180,"Vượt KL HĐ","")</f>
        <v/>
      </c>
    </row>
    <row r="181" customFormat="false" ht="15" hidden="false" customHeight="false" outlineLevel="0" collapsed="false">
      <c r="A181" s="29" t="s">
        <v>382</v>
      </c>
      <c r="B181" s="27" t="s">
        <v>383</v>
      </c>
      <c r="C181" s="29" t="s">
        <v>245</v>
      </c>
      <c r="D181" s="30" t="n">
        <v>1.792</v>
      </c>
      <c r="E181" s="31" t="n">
        <v>0</v>
      </c>
      <c r="F181" s="31" t="n">
        <v>0</v>
      </c>
      <c r="G181" s="32" t="n">
        <f aca="false">E181+F181</f>
        <v>0</v>
      </c>
      <c r="H181" s="33" t="str">
        <f aca="false">IF(G181&gt;D181,"Vượt KL HĐ","")</f>
        <v/>
      </c>
    </row>
    <row r="182" customFormat="false" ht="15" hidden="false" customHeight="false" outlineLevel="0" collapsed="false">
      <c r="A182" s="29" t="s">
        <v>384</v>
      </c>
      <c r="B182" s="27" t="s">
        <v>385</v>
      </c>
      <c r="C182" s="29" t="s">
        <v>149</v>
      </c>
      <c r="D182" s="30" t="n">
        <v>1.751</v>
      </c>
      <c r="E182" s="31" t="n">
        <v>0</v>
      </c>
      <c r="F182" s="31" t="n">
        <v>0</v>
      </c>
      <c r="G182" s="32" t="n">
        <f aca="false">E182+F182</f>
        <v>0</v>
      </c>
      <c r="H182" s="33" t="str">
        <f aca="false">IF(G182&gt;D182,"Vượt KL HĐ","")</f>
        <v/>
      </c>
    </row>
    <row r="183" customFormat="false" ht="15" hidden="false" customHeight="false" outlineLevel="0" collapsed="false">
      <c r="A183" s="29" t="s">
        <v>386</v>
      </c>
      <c r="B183" s="27" t="s">
        <v>387</v>
      </c>
      <c r="C183" s="29" t="s">
        <v>149</v>
      </c>
      <c r="D183" s="30" t="n">
        <v>1.751</v>
      </c>
      <c r="E183" s="31" t="n">
        <v>0</v>
      </c>
      <c r="F183" s="31" t="n">
        <v>0</v>
      </c>
      <c r="G183" s="32" t="n">
        <f aca="false">E183+F183</f>
        <v>0</v>
      </c>
      <c r="H183" s="33" t="str">
        <f aca="false">IF(G183&gt;D183,"Vượt KL HĐ","")</f>
        <v/>
      </c>
    </row>
    <row r="184" customFormat="false" ht="15" hidden="false" customHeight="false" outlineLevel="0" collapsed="false">
      <c r="A184" s="29" t="s">
        <v>388</v>
      </c>
      <c r="B184" s="27" t="s">
        <v>389</v>
      </c>
      <c r="C184" s="29" t="s">
        <v>131</v>
      </c>
      <c r="D184" s="30" t="n">
        <v>7.68</v>
      </c>
      <c r="E184" s="31" t="n">
        <v>0</v>
      </c>
      <c r="F184" s="31" t="n">
        <v>0</v>
      </c>
      <c r="G184" s="32" t="n">
        <f aca="false">E184+F184</f>
        <v>0</v>
      </c>
      <c r="H184" s="33" t="str">
        <f aca="false">IF(G184&gt;D184,"Vượt KL HĐ","")</f>
        <v/>
      </c>
    </row>
    <row r="185" customFormat="false" ht="15" hidden="false" customHeight="false" outlineLevel="0" collapsed="false">
      <c r="A185" s="29" t="s">
        <v>390</v>
      </c>
      <c r="B185" s="27" t="s">
        <v>391</v>
      </c>
      <c r="C185" s="29" t="s">
        <v>149</v>
      </c>
      <c r="D185" s="30" t="n">
        <v>5.5448</v>
      </c>
      <c r="E185" s="31" t="n">
        <v>0</v>
      </c>
      <c r="F185" s="31" t="n">
        <v>0</v>
      </c>
      <c r="G185" s="32" t="n">
        <f aca="false">E185+F185</f>
        <v>0</v>
      </c>
      <c r="H185" s="33" t="str">
        <f aca="false">IF(G185&gt;D185,"Vượt KL HĐ","")</f>
        <v/>
      </c>
    </row>
    <row r="186" customFormat="false" ht="15" hidden="false" customHeight="false" outlineLevel="0" collapsed="false">
      <c r="A186" s="29" t="s">
        <v>392</v>
      </c>
      <c r="B186" s="27" t="s">
        <v>393</v>
      </c>
      <c r="C186" s="29" t="s">
        <v>149</v>
      </c>
      <c r="D186" s="30" t="n">
        <v>0.1295</v>
      </c>
      <c r="E186" s="31" t="n">
        <v>0</v>
      </c>
      <c r="F186" s="31" t="n">
        <v>0</v>
      </c>
      <c r="G186" s="32" t="n">
        <f aca="false">E186+F186</f>
        <v>0</v>
      </c>
      <c r="H186" s="33" t="str">
        <f aca="false">IF(G186&gt;D186,"Vượt KL HĐ","")</f>
        <v/>
      </c>
    </row>
    <row r="187" customFormat="false" ht="15" hidden="false" customHeight="false" outlineLevel="0" collapsed="false">
      <c r="A187" s="29" t="s">
        <v>394</v>
      </c>
      <c r="B187" s="27" t="s">
        <v>395</v>
      </c>
      <c r="C187" s="29" t="s">
        <v>240</v>
      </c>
      <c r="D187" s="30" t="n">
        <v>32</v>
      </c>
      <c r="E187" s="31" t="n">
        <v>0</v>
      </c>
      <c r="F187" s="31" t="n">
        <v>0</v>
      </c>
      <c r="G187" s="32" t="n">
        <f aca="false">E187+F187</f>
        <v>0</v>
      </c>
      <c r="H187" s="33" t="str">
        <f aca="false">IF(G187&gt;D187,"Vượt KL HĐ","")</f>
        <v/>
      </c>
    </row>
    <row r="188" customFormat="false" ht="15" hidden="false" customHeight="false" outlineLevel="0" collapsed="false">
      <c r="A188" s="29" t="s">
        <v>396</v>
      </c>
      <c r="B188" s="27" t="s">
        <v>397</v>
      </c>
      <c r="C188" s="29" t="s">
        <v>131</v>
      </c>
      <c r="D188" s="30" t="n">
        <v>205.19</v>
      </c>
      <c r="E188" s="31" t="n">
        <v>0</v>
      </c>
      <c r="F188" s="31" t="n">
        <v>0</v>
      </c>
      <c r="G188" s="32" t="n">
        <f aca="false">E188+F188</f>
        <v>0</v>
      </c>
      <c r="H188" s="33" t="str">
        <f aca="false">IF(G188&gt;D188,"Vượt KL HĐ","")</f>
        <v/>
      </c>
    </row>
    <row r="189" customFormat="false" ht="15" hidden="false" customHeight="false" outlineLevel="0" collapsed="false">
      <c r="A189" s="29" t="s">
        <v>398</v>
      </c>
      <c r="B189" s="27" t="s">
        <v>399</v>
      </c>
      <c r="C189" s="29" t="s">
        <v>240</v>
      </c>
      <c r="D189" s="30" t="n">
        <v>42</v>
      </c>
      <c r="E189" s="31" t="n">
        <v>0</v>
      </c>
      <c r="F189" s="31" t="n">
        <v>0</v>
      </c>
      <c r="G189" s="32" t="n">
        <f aca="false">E189+F189</f>
        <v>0</v>
      </c>
      <c r="H189" s="33" t="str">
        <f aca="false">IF(G189&gt;D189,"Vượt KL HĐ","")</f>
        <v/>
      </c>
    </row>
    <row r="190" customFormat="false" ht="15" hidden="false" customHeight="false" outlineLevel="0" collapsed="false">
      <c r="A190" s="29" t="s">
        <v>400</v>
      </c>
      <c r="B190" s="27" t="s">
        <v>401</v>
      </c>
      <c r="C190" s="29" t="s">
        <v>402</v>
      </c>
      <c r="D190" s="30" t="n">
        <v>336</v>
      </c>
      <c r="E190" s="31" t="n">
        <v>0</v>
      </c>
      <c r="F190" s="31" t="n">
        <v>0</v>
      </c>
      <c r="G190" s="32" t="n">
        <f aca="false">E190+F190</f>
        <v>0</v>
      </c>
      <c r="H190" s="33" t="str">
        <f aca="false">IF(G190&gt;D190,"Vượt KL HĐ","")</f>
        <v/>
      </c>
    </row>
    <row r="191" customFormat="false" ht="15" hidden="false" customHeight="false" outlineLevel="0" collapsed="false">
      <c r="A191" s="12" t="s">
        <v>75</v>
      </c>
      <c r="B191" s="28" t="s">
        <v>403</v>
      </c>
      <c r="C191" s="27"/>
      <c r="D191" s="27"/>
      <c r="E191" s="27"/>
      <c r="F191" s="27"/>
      <c r="G191" s="27"/>
      <c r="H191" s="27"/>
    </row>
    <row r="192" customFormat="false" ht="15" hidden="false" customHeight="false" outlineLevel="0" collapsed="false">
      <c r="A192" s="29" t="s">
        <v>404</v>
      </c>
      <c r="B192" s="27" t="s">
        <v>405</v>
      </c>
      <c r="C192" s="29" t="s">
        <v>116</v>
      </c>
      <c r="D192" s="30" t="n">
        <v>18.65</v>
      </c>
      <c r="E192" s="31" t="n">
        <v>0</v>
      </c>
      <c r="F192" s="31" t="n">
        <v>0</v>
      </c>
      <c r="G192" s="32" t="n">
        <f aca="false">E192+F192</f>
        <v>0</v>
      </c>
      <c r="H192" s="33" t="str">
        <f aca="false">IF(G192&gt;D192,"Vượt KL HĐ","")</f>
        <v/>
      </c>
    </row>
    <row r="193" customFormat="false" ht="15" hidden="false" customHeight="false" outlineLevel="0" collapsed="false">
      <c r="A193" s="29" t="s">
        <v>406</v>
      </c>
      <c r="B193" s="27" t="s">
        <v>379</v>
      </c>
      <c r="C193" s="29" t="s">
        <v>111</v>
      </c>
      <c r="D193" s="30" t="n">
        <v>0.1893</v>
      </c>
      <c r="E193" s="31" t="n">
        <v>0</v>
      </c>
      <c r="F193" s="31" t="n">
        <v>0</v>
      </c>
      <c r="G193" s="32" t="n">
        <f aca="false">E193+F193</f>
        <v>0</v>
      </c>
      <c r="H193" s="33" t="str">
        <f aca="false">IF(G193&gt;D193,"Vượt KL HĐ","")</f>
        <v/>
      </c>
    </row>
    <row r="194" customFormat="false" ht="15" hidden="false" customHeight="false" outlineLevel="0" collapsed="false">
      <c r="A194" s="29" t="s">
        <v>407</v>
      </c>
      <c r="B194" s="27" t="s">
        <v>408</v>
      </c>
      <c r="C194" s="29" t="s">
        <v>149</v>
      </c>
      <c r="D194" s="30" t="n">
        <v>0.1073</v>
      </c>
      <c r="E194" s="31" t="n">
        <v>0</v>
      </c>
      <c r="F194" s="31" t="n">
        <v>0</v>
      </c>
      <c r="G194" s="32" t="n">
        <f aca="false">E194+F194</f>
        <v>0</v>
      </c>
      <c r="H194" s="33" t="str">
        <f aca="false">IF(G194&gt;D194,"Vượt KL HĐ","")</f>
        <v/>
      </c>
    </row>
    <row r="195" customFormat="false" ht="15" hidden="false" customHeight="false" outlineLevel="0" collapsed="false">
      <c r="A195" s="29" t="s">
        <v>409</v>
      </c>
      <c r="B195" s="27" t="s">
        <v>410</v>
      </c>
      <c r="C195" s="29" t="s">
        <v>149</v>
      </c>
      <c r="D195" s="30" t="n">
        <v>3.2046</v>
      </c>
      <c r="E195" s="31" t="n">
        <v>0</v>
      </c>
      <c r="F195" s="31" t="n">
        <v>0</v>
      </c>
      <c r="G195" s="32" t="n">
        <f aca="false">E195+F195</f>
        <v>0</v>
      </c>
      <c r="H195" s="33" t="str">
        <f aca="false">IF(G195&gt;D195,"Vượt KL HĐ","")</f>
        <v/>
      </c>
    </row>
    <row r="196" customFormat="false" ht="15" hidden="false" customHeight="false" outlineLevel="0" collapsed="false">
      <c r="A196" s="29" t="s">
        <v>411</v>
      </c>
      <c r="B196" s="27" t="s">
        <v>412</v>
      </c>
      <c r="C196" s="29" t="s">
        <v>106</v>
      </c>
      <c r="D196" s="30" t="n">
        <v>0.0738</v>
      </c>
      <c r="E196" s="31" t="n">
        <v>0</v>
      </c>
      <c r="F196" s="31" t="n">
        <v>0</v>
      </c>
      <c r="G196" s="32" t="n">
        <f aca="false">E196+F196</f>
        <v>0</v>
      </c>
      <c r="H196" s="33" t="str">
        <f aca="false">IF(G196&gt;D196,"Vượt KL HĐ","")</f>
        <v/>
      </c>
    </row>
    <row r="197" customFormat="false" ht="15" hidden="false" customHeight="false" outlineLevel="0" collapsed="false">
      <c r="A197" s="12" t="s">
        <v>413</v>
      </c>
      <c r="B197" s="28" t="s">
        <v>414</v>
      </c>
      <c r="C197" s="27"/>
      <c r="D197" s="27"/>
      <c r="E197" s="27"/>
      <c r="F197" s="27"/>
      <c r="G197" s="27"/>
      <c r="H197" s="27"/>
    </row>
    <row r="198" customFormat="false" ht="15" hidden="false" customHeight="false" outlineLevel="0" collapsed="false">
      <c r="A198" s="29" t="s">
        <v>415</v>
      </c>
      <c r="B198" s="27" t="s">
        <v>416</v>
      </c>
      <c r="C198" s="29" t="s">
        <v>149</v>
      </c>
      <c r="D198" s="30" t="n">
        <v>3.5</v>
      </c>
      <c r="E198" s="31" t="n">
        <v>0</v>
      </c>
      <c r="F198" s="31" t="n">
        <v>0</v>
      </c>
      <c r="G198" s="32" t="n">
        <f aca="false">E198+F198</f>
        <v>0</v>
      </c>
      <c r="H198" s="33" t="str">
        <f aca="false">IF(G198&gt;D198,"Vượt KL HĐ","")</f>
        <v/>
      </c>
    </row>
    <row r="199" customFormat="false" ht="15" hidden="false" customHeight="false" outlineLevel="0" collapsed="false">
      <c r="A199" s="29" t="s">
        <v>417</v>
      </c>
      <c r="B199" s="27" t="s">
        <v>418</v>
      </c>
      <c r="C199" s="29" t="s">
        <v>149</v>
      </c>
      <c r="D199" s="30" t="n">
        <v>3.5</v>
      </c>
      <c r="E199" s="31" t="n">
        <v>0</v>
      </c>
      <c r="F199" s="31" t="n">
        <v>0</v>
      </c>
      <c r="G199" s="32" t="n">
        <f aca="false">E199+F199</f>
        <v>0</v>
      </c>
      <c r="H199" s="33" t="str">
        <f aca="false">IF(G199&gt;D199,"Vượt KL HĐ","")</f>
        <v/>
      </c>
    </row>
    <row r="200" customFormat="false" ht="15" hidden="false" customHeight="false" outlineLevel="0" collapsed="false">
      <c r="A200" s="29" t="s">
        <v>419</v>
      </c>
      <c r="B200" s="27" t="s">
        <v>420</v>
      </c>
      <c r="C200" s="29" t="s">
        <v>149</v>
      </c>
      <c r="D200" s="30" t="n">
        <v>3.5</v>
      </c>
      <c r="E200" s="31" t="n">
        <v>0</v>
      </c>
      <c r="F200" s="31" t="n">
        <v>0</v>
      </c>
      <c r="G200" s="32" t="n">
        <f aca="false">E200+F200</f>
        <v>0</v>
      </c>
      <c r="H200" s="33" t="str">
        <f aca="false">IF(G200&gt;D200,"Vượt KL HĐ","")</f>
        <v/>
      </c>
    </row>
    <row r="201" customFormat="false" ht="15" hidden="false" customHeight="false" outlineLevel="0" collapsed="false">
      <c r="A201" s="29" t="s">
        <v>421</v>
      </c>
      <c r="B201" s="27" t="s">
        <v>422</v>
      </c>
      <c r="C201" s="29" t="s">
        <v>149</v>
      </c>
      <c r="D201" s="30" t="n">
        <v>3.5</v>
      </c>
      <c r="E201" s="31" t="n">
        <v>0</v>
      </c>
      <c r="F201" s="31" t="n">
        <v>0</v>
      </c>
      <c r="G201" s="32" t="n">
        <f aca="false">E201+F201</f>
        <v>0</v>
      </c>
      <c r="H201" s="33" t="str">
        <f aca="false">IF(G201&gt;D201,"Vượt KL HĐ","")</f>
        <v/>
      </c>
    </row>
    <row r="202" customFormat="false" ht="15" hidden="false" customHeight="false" outlineLevel="0" collapsed="false">
      <c r="A202" s="12" t="s">
        <v>423</v>
      </c>
      <c r="B202" s="28" t="s">
        <v>424</v>
      </c>
      <c r="C202" s="27"/>
      <c r="D202" s="27"/>
      <c r="E202" s="27"/>
      <c r="F202" s="27"/>
      <c r="G202" s="27"/>
      <c r="H202" s="27"/>
    </row>
    <row r="203" customFormat="false" ht="15" hidden="false" customHeight="false" outlineLevel="0" collapsed="false">
      <c r="A203" s="29" t="s">
        <v>425</v>
      </c>
      <c r="B203" s="27" t="s">
        <v>426</v>
      </c>
      <c r="C203" s="29" t="s">
        <v>116</v>
      </c>
      <c r="D203" s="30" t="n">
        <v>4.4</v>
      </c>
      <c r="E203" s="31" t="n">
        <v>0</v>
      </c>
      <c r="F203" s="31" t="n">
        <v>0</v>
      </c>
      <c r="G203" s="32" t="n">
        <f aca="false">E203+F203</f>
        <v>0</v>
      </c>
      <c r="H203" s="33" t="str">
        <f aca="false">IF(G203&gt;D203,"Vượt KL HĐ","")</f>
        <v/>
      </c>
    </row>
    <row r="204" customFormat="false" ht="15" hidden="false" customHeight="false" outlineLevel="0" collapsed="false">
      <c r="A204" s="29" t="s">
        <v>427</v>
      </c>
      <c r="B204" s="27" t="s">
        <v>428</v>
      </c>
      <c r="C204" s="29" t="s">
        <v>149</v>
      </c>
      <c r="D204" s="30" t="n">
        <v>0.6649</v>
      </c>
      <c r="E204" s="31" t="n">
        <v>0</v>
      </c>
      <c r="F204" s="31" t="n">
        <v>0</v>
      </c>
      <c r="G204" s="32" t="n">
        <f aca="false">E204+F204</f>
        <v>0</v>
      </c>
      <c r="H204" s="33" t="str">
        <f aca="false">IF(G204&gt;D204,"Vượt KL HĐ","")</f>
        <v/>
      </c>
    </row>
    <row r="205" customFormat="false" ht="15" hidden="false" customHeight="false" outlineLevel="0" collapsed="false">
      <c r="A205" s="29" t="s">
        <v>429</v>
      </c>
      <c r="B205" s="27" t="s">
        <v>430</v>
      </c>
      <c r="C205" s="29" t="s">
        <v>106</v>
      </c>
      <c r="D205" s="30" t="n">
        <v>0.2623</v>
      </c>
      <c r="E205" s="31" t="n">
        <v>0</v>
      </c>
      <c r="F205" s="31" t="n">
        <v>0</v>
      </c>
      <c r="G205" s="32" t="n">
        <f aca="false">E205+F205</f>
        <v>0</v>
      </c>
      <c r="H205" s="33" t="str">
        <f aca="false">IF(G205&gt;D205,"Vượt KL HĐ","")</f>
        <v/>
      </c>
    </row>
    <row r="206" customFormat="false" ht="15" hidden="false" customHeight="false" outlineLevel="0" collapsed="false">
      <c r="A206" s="29" t="s">
        <v>431</v>
      </c>
      <c r="B206" s="27" t="s">
        <v>432</v>
      </c>
      <c r="C206" s="29" t="s">
        <v>149</v>
      </c>
      <c r="D206" s="30" t="n">
        <v>0.6976</v>
      </c>
      <c r="E206" s="31" t="n">
        <v>0</v>
      </c>
      <c r="F206" s="31" t="n">
        <v>0</v>
      </c>
      <c r="G206" s="32" t="n">
        <f aca="false">E206+F206</f>
        <v>0</v>
      </c>
      <c r="H206" s="33" t="str">
        <f aca="false">IF(G206&gt;D206,"Vượt KL HĐ","")</f>
        <v/>
      </c>
    </row>
    <row r="207" customFormat="false" ht="15" hidden="false" customHeight="false" outlineLevel="0" collapsed="false">
      <c r="A207" s="29" t="s">
        <v>433</v>
      </c>
      <c r="B207" s="27" t="s">
        <v>434</v>
      </c>
      <c r="C207" s="29" t="s">
        <v>149</v>
      </c>
      <c r="D207" s="30" t="n">
        <v>0.6976</v>
      </c>
      <c r="E207" s="31" t="n">
        <v>0</v>
      </c>
      <c r="F207" s="31" t="n">
        <v>0</v>
      </c>
      <c r="G207" s="32" t="n">
        <f aca="false">E207+F207</f>
        <v>0</v>
      </c>
      <c r="H207" s="33" t="str">
        <f aca="false">IF(G207&gt;D207,"Vượt KL HĐ","")</f>
        <v/>
      </c>
    </row>
    <row r="208" customFormat="false" ht="15" hidden="false" customHeight="false" outlineLevel="0" collapsed="false">
      <c r="A208" s="29" t="s">
        <v>435</v>
      </c>
      <c r="B208" s="27" t="s">
        <v>436</v>
      </c>
      <c r="C208" s="29" t="s">
        <v>193</v>
      </c>
      <c r="D208" s="30" t="n">
        <v>28</v>
      </c>
      <c r="E208" s="31" t="n">
        <v>0</v>
      </c>
      <c r="F208" s="31" t="n">
        <v>0</v>
      </c>
      <c r="G208" s="32" t="n">
        <f aca="false">E208+F208</f>
        <v>0</v>
      </c>
      <c r="H208" s="33" t="str">
        <f aca="false">IF(G208&gt;D208,"Vượt KL HĐ","")</f>
        <v/>
      </c>
    </row>
    <row r="209" customFormat="false" ht="15" hidden="false" customHeight="false" outlineLevel="0" collapsed="false">
      <c r="A209" s="29" t="s">
        <v>437</v>
      </c>
      <c r="B209" s="27" t="s">
        <v>438</v>
      </c>
      <c r="C209" s="29" t="s">
        <v>245</v>
      </c>
      <c r="D209" s="30" t="n">
        <v>0.24</v>
      </c>
      <c r="E209" s="31" t="n">
        <v>0</v>
      </c>
      <c r="F209" s="31" t="n">
        <v>0</v>
      </c>
      <c r="G209" s="32" t="n">
        <f aca="false">E209+F209</f>
        <v>0</v>
      </c>
      <c r="H209" s="33" t="str">
        <f aca="false">IF(G209&gt;D209,"Vượt KL HĐ","")</f>
        <v/>
      </c>
    </row>
    <row r="210" customFormat="false" ht="15" hidden="false" customHeight="false" outlineLevel="0" collapsed="false">
      <c r="A210" s="12" t="s">
        <v>439</v>
      </c>
      <c r="B210" s="28" t="s">
        <v>440</v>
      </c>
      <c r="C210" s="27"/>
      <c r="D210" s="27"/>
      <c r="E210" s="27"/>
      <c r="F210" s="27"/>
      <c r="G210" s="27"/>
      <c r="H210" s="27"/>
    </row>
    <row r="211" customFormat="false" ht="15" hidden="false" customHeight="false" outlineLevel="0" collapsed="false">
      <c r="A211" s="29" t="s">
        <v>441</v>
      </c>
      <c r="B211" s="27" t="s">
        <v>98</v>
      </c>
      <c r="C211" s="29" t="s">
        <v>99</v>
      </c>
      <c r="D211" s="30" t="n">
        <v>0.1553</v>
      </c>
      <c r="E211" s="31" t="n">
        <v>0</v>
      </c>
      <c r="F211" s="31" t="n">
        <v>0</v>
      </c>
      <c r="G211" s="32" t="n">
        <f aca="false">E211+F211</f>
        <v>0</v>
      </c>
      <c r="H211" s="33" t="str">
        <f aca="false">IF(G211&gt;D211,"Vượt KL HĐ","")</f>
        <v/>
      </c>
    </row>
    <row r="212" customFormat="false" ht="15" hidden="false" customHeight="false" outlineLevel="0" collapsed="false">
      <c r="A212" s="29" t="s">
        <v>442</v>
      </c>
      <c r="B212" s="27" t="s">
        <v>101</v>
      </c>
      <c r="C212" s="29" t="s">
        <v>99</v>
      </c>
      <c r="D212" s="30" t="n">
        <v>0.1553</v>
      </c>
      <c r="E212" s="31" t="n">
        <v>0</v>
      </c>
      <c r="F212" s="31" t="n">
        <v>0</v>
      </c>
      <c r="G212" s="32" t="n">
        <f aca="false">E212+F212</f>
        <v>0</v>
      </c>
      <c r="H212" s="33" t="str">
        <f aca="false">IF(G212&gt;D212,"Vượt KL HĐ","")</f>
        <v/>
      </c>
    </row>
    <row r="213" customFormat="false" ht="26.85" hidden="false" customHeight="false" outlineLevel="0" collapsed="false">
      <c r="A213" s="29" t="s">
        <v>443</v>
      </c>
      <c r="B213" s="27" t="s">
        <v>103</v>
      </c>
      <c r="C213" s="29" t="s">
        <v>99</v>
      </c>
      <c r="D213" s="30" t="n">
        <v>0.1553</v>
      </c>
      <c r="E213" s="31" t="n">
        <v>0</v>
      </c>
      <c r="F213" s="31" t="n">
        <v>0</v>
      </c>
      <c r="G213" s="32" t="n">
        <f aca="false">E213+F213</f>
        <v>0</v>
      </c>
      <c r="H213" s="33" t="str">
        <f aca="false">IF(G213&gt;D213,"Vượt KL HĐ","")</f>
        <v/>
      </c>
    </row>
    <row r="214" customFormat="false" ht="26.85" hidden="false" customHeight="false" outlineLevel="0" collapsed="false">
      <c r="A214" s="29" t="s">
        <v>444</v>
      </c>
      <c r="B214" s="27" t="s">
        <v>105</v>
      </c>
      <c r="C214" s="29" t="s">
        <v>106</v>
      </c>
      <c r="D214" s="30" t="n">
        <v>0.9</v>
      </c>
      <c r="E214" s="31" t="n">
        <v>0</v>
      </c>
      <c r="F214" s="31" t="n">
        <v>0</v>
      </c>
      <c r="G214" s="32" t="n">
        <f aca="false">E214+F214</f>
        <v>0</v>
      </c>
      <c r="H214" s="33" t="str">
        <f aca="false">IF(G214&gt;D214,"Vượt KL HĐ","")</f>
        <v/>
      </c>
    </row>
    <row r="215" customFormat="false" ht="15" hidden="false" customHeight="false" outlineLevel="0" collapsed="false">
      <c r="A215" s="29" t="s">
        <v>445</v>
      </c>
      <c r="B215" s="27" t="s">
        <v>108</v>
      </c>
      <c r="C215" s="29" t="s">
        <v>106</v>
      </c>
      <c r="D215" s="30" t="n">
        <v>0.9</v>
      </c>
      <c r="E215" s="31" t="n">
        <v>0</v>
      </c>
      <c r="F215" s="31" t="n">
        <v>0</v>
      </c>
      <c r="G215" s="32" t="n">
        <f aca="false">E215+F215</f>
        <v>0</v>
      </c>
      <c r="H215" s="33" t="str">
        <f aca="false">IF(G215&gt;D215,"Vượt KL HĐ","")</f>
        <v/>
      </c>
    </row>
    <row r="216" customFormat="false" ht="15" hidden="false" customHeight="false" outlineLevel="0" collapsed="false">
      <c r="A216" s="29" t="s">
        <v>446</v>
      </c>
      <c r="B216" s="27" t="s">
        <v>447</v>
      </c>
      <c r="C216" s="29" t="s">
        <v>448</v>
      </c>
      <c r="D216" s="30" t="n">
        <v>90</v>
      </c>
      <c r="E216" s="31" t="n">
        <v>0</v>
      </c>
      <c r="F216" s="31" t="n">
        <v>0</v>
      </c>
      <c r="G216" s="32" t="n">
        <f aca="false">E216+F216</f>
        <v>0</v>
      </c>
      <c r="H216" s="33" t="str">
        <f aca="false">IF(G216&gt;D216,"Vượt KL HĐ","")</f>
        <v/>
      </c>
    </row>
    <row r="217" customFormat="false" ht="15" hidden="false" customHeight="false" outlineLevel="0" collapsed="false">
      <c r="A217" s="12" t="s">
        <v>449</v>
      </c>
      <c r="B217" s="28" t="s">
        <v>450</v>
      </c>
      <c r="C217" s="27"/>
      <c r="D217" s="27"/>
      <c r="E217" s="27"/>
      <c r="F217" s="27"/>
      <c r="G217" s="27"/>
      <c r="H217" s="27"/>
    </row>
    <row r="218" customFormat="false" ht="15" hidden="false" customHeight="false" outlineLevel="0" collapsed="false">
      <c r="A218" s="29" t="s">
        <v>451</v>
      </c>
      <c r="B218" s="27" t="s">
        <v>452</v>
      </c>
      <c r="C218" s="29" t="s">
        <v>224</v>
      </c>
      <c r="D218" s="30" t="n">
        <v>15.48</v>
      </c>
      <c r="E218" s="31" t="n">
        <v>0</v>
      </c>
      <c r="F218" s="31" t="n">
        <v>0</v>
      </c>
      <c r="G218" s="32" t="n">
        <f aca="false">E218+F218</f>
        <v>0</v>
      </c>
      <c r="H218" s="33" t="str">
        <f aca="false">IF(G218&gt;D218,"Vượt KL HĐ","")</f>
        <v/>
      </c>
    </row>
    <row r="219" customFormat="false" ht="15" hidden="false" customHeight="false" outlineLevel="0" collapsed="false">
      <c r="A219" s="29" t="s">
        <v>453</v>
      </c>
      <c r="B219" s="27" t="s">
        <v>454</v>
      </c>
      <c r="C219" s="29" t="s">
        <v>149</v>
      </c>
      <c r="D219" s="30" t="n">
        <v>0.3935</v>
      </c>
      <c r="E219" s="31" t="n">
        <v>0</v>
      </c>
      <c r="F219" s="31" t="n">
        <v>0</v>
      </c>
      <c r="G219" s="32" t="n">
        <f aca="false">E219+F219</f>
        <v>0</v>
      </c>
      <c r="H219" s="33" t="str">
        <f aca="false">IF(G219&gt;D219,"Vượt KL HĐ","")</f>
        <v/>
      </c>
    </row>
    <row r="220" customFormat="false" ht="15" hidden="false" customHeight="false" outlineLevel="0" collapsed="false">
      <c r="A220" s="29" t="s">
        <v>455</v>
      </c>
      <c r="B220" s="27" t="s">
        <v>456</v>
      </c>
      <c r="C220" s="29" t="s">
        <v>149</v>
      </c>
      <c r="D220" s="30" t="n">
        <v>0.3126</v>
      </c>
      <c r="E220" s="31" t="n">
        <v>0</v>
      </c>
      <c r="F220" s="31" t="n">
        <v>0</v>
      </c>
      <c r="G220" s="32" t="n">
        <f aca="false">E220+F220</f>
        <v>0</v>
      </c>
      <c r="H220" s="33" t="str">
        <f aca="false">IF(G220&gt;D220,"Vượt KL HĐ","")</f>
        <v/>
      </c>
    </row>
    <row r="221" customFormat="false" ht="15" hidden="false" customHeight="false" outlineLevel="0" collapsed="false">
      <c r="A221" s="29" t="s">
        <v>457</v>
      </c>
      <c r="B221" s="27" t="s">
        <v>458</v>
      </c>
      <c r="C221" s="29" t="s">
        <v>149</v>
      </c>
      <c r="D221" s="30" t="n">
        <v>0.3126</v>
      </c>
      <c r="E221" s="31" t="n">
        <v>0</v>
      </c>
      <c r="F221" s="31" t="n">
        <v>0</v>
      </c>
      <c r="G221" s="32" t="n">
        <f aca="false">E221+F221</f>
        <v>0</v>
      </c>
      <c r="H221" s="33" t="str">
        <f aca="false">IF(G221&gt;D221,"Vượt KL HĐ","")</f>
        <v/>
      </c>
    </row>
    <row r="222" customFormat="false" ht="15" hidden="false" customHeight="false" outlineLevel="0" collapsed="false">
      <c r="A222" s="29" t="s">
        <v>459</v>
      </c>
      <c r="B222" s="27" t="s">
        <v>460</v>
      </c>
      <c r="C222" s="29" t="s">
        <v>193</v>
      </c>
      <c r="D222" s="30" t="n">
        <v>80</v>
      </c>
      <c r="E222" s="31" t="n">
        <v>0</v>
      </c>
      <c r="F222" s="31" t="n">
        <v>0</v>
      </c>
      <c r="G222" s="32" t="n">
        <f aca="false">E222+F222</f>
        <v>0</v>
      </c>
      <c r="H222" s="33" t="str">
        <f aca="false">IF(G222&gt;D222,"Vượt KL HĐ","")</f>
        <v/>
      </c>
    </row>
    <row r="223" customFormat="false" ht="15" hidden="false" customHeight="false" outlineLevel="0" collapsed="false">
      <c r="A223" s="29" t="s">
        <v>461</v>
      </c>
      <c r="B223" s="27" t="s">
        <v>462</v>
      </c>
      <c r="C223" s="29" t="s">
        <v>116</v>
      </c>
      <c r="D223" s="30" t="n">
        <v>2.22</v>
      </c>
      <c r="E223" s="31" t="n">
        <v>0</v>
      </c>
      <c r="F223" s="31" t="n">
        <v>0</v>
      </c>
      <c r="G223" s="32" t="n">
        <f aca="false">E223+F223</f>
        <v>0</v>
      </c>
      <c r="H223" s="33" t="str">
        <f aca="false">IF(G223&gt;D223,"Vượt KL HĐ","")</f>
        <v/>
      </c>
    </row>
    <row r="224" customFormat="false" ht="15" hidden="false" customHeight="false" outlineLevel="0" collapsed="false">
      <c r="A224" s="12" t="s">
        <v>463</v>
      </c>
      <c r="B224" s="28" t="s">
        <v>464</v>
      </c>
      <c r="C224" s="27"/>
      <c r="D224" s="27"/>
      <c r="E224" s="27"/>
      <c r="F224" s="27"/>
      <c r="G224" s="27"/>
      <c r="H224" s="27"/>
    </row>
    <row r="225" customFormat="false" ht="15" hidden="false" customHeight="false" outlineLevel="0" collapsed="false">
      <c r="A225" s="29" t="s">
        <v>465</v>
      </c>
      <c r="B225" s="27" t="s">
        <v>466</v>
      </c>
      <c r="C225" s="29" t="s">
        <v>193</v>
      </c>
      <c r="D225" s="30" t="n">
        <v>4</v>
      </c>
      <c r="E225" s="31" t="n">
        <v>0</v>
      </c>
      <c r="F225" s="31" t="n">
        <v>0</v>
      </c>
      <c r="G225" s="32" t="n">
        <f aca="false">E225+F225</f>
        <v>0</v>
      </c>
      <c r="H225" s="33" t="str">
        <f aca="false">IF(G225&gt;D225,"Vượt KL HĐ","")</f>
        <v/>
      </c>
    </row>
    <row r="226" customFormat="false" ht="15" hidden="false" customHeight="false" outlineLevel="0" collapsed="false">
      <c r="A226" s="29" t="s">
        <v>467</v>
      </c>
      <c r="B226" s="27" t="s">
        <v>468</v>
      </c>
      <c r="C226" s="29" t="s">
        <v>160</v>
      </c>
      <c r="D226" s="30" t="n">
        <v>4</v>
      </c>
      <c r="E226" s="31" t="n">
        <v>0</v>
      </c>
      <c r="F226" s="31" t="n">
        <v>0</v>
      </c>
      <c r="G226" s="32" t="n">
        <f aca="false">E226+F226</f>
        <v>0</v>
      </c>
      <c r="H226" s="33" t="str">
        <f aca="false">IF(G226&gt;D226,"Vượt KL HĐ","")</f>
        <v/>
      </c>
    </row>
    <row r="227" customFormat="false" ht="15" hidden="false" customHeight="false" outlineLevel="0" collapsed="false">
      <c r="A227" s="29" t="s">
        <v>469</v>
      </c>
      <c r="B227" s="27" t="s">
        <v>470</v>
      </c>
      <c r="C227" s="29" t="s">
        <v>240</v>
      </c>
      <c r="D227" s="30" t="n">
        <v>4</v>
      </c>
      <c r="E227" s="31" t="n">
        <v>0</v>
      </c>
      <c r="F227" s="31" t="n">
        <v>0</v>
      </c>
      <c r="G227" s="32" t="n">
        <f aca="false">E227+F227</f>
        <v>0</v>
      </c>
      <c r="H227" s="33" t="str">
        <f aca="false">IF(G227&gt;D227,"Vượt KL HĐ","")</f>
        <v/>
      </c>
    </row>
    <row r="228" customFormat="false" ht="15" hidden="false" customHeight="false" outlineLevel="0" collapsed="false">
      <c r="A228" s="29" t="s">
        <v>471</v>
      </c>
      <c r="B228" s="27" t="s">
        <v>472</v>
      </c>
      <c r="C228" s="29" t="s">
        <v>149</v>
      </c>
      <c r="D228" s="30" t="n">
        <v>0.0322</v>
      </c>
      <c r="E228" s="31" t="n">
        <v>0</v>
      </c>
      <c r="F228" s="31" t="n">
        <v>0</v>
      </c>
      <c r="G228" s="32" t="n">
        <f aca="false">E228+F228</f>
        <v>0</v>
      </c>
      <c r="H228" s="33" t="str">
        <f aca="false">IF(G228&gt;D228,"Vượt KL HĐ","")</f>
        <v/>
      </c>
    </row>
    <row r="229" customFormat="false" ht="15" hidden="false" customHeight="false" outlineLevel="0" collapsed="false">
      <c r="A229" s="29" t="s">
        <v>473</v>
      </c>
      <c r="B229" s="27" t="s">
        <v>460</v>
      </c>
      <c r="C229" s="29" t="s">
        <v>193</v>
      </c>
      <c r="D229" s="30" t="n">
        <v>4</v>
      </c>
      <c r="E229" s="31" t="n">
        <v>0</v>
      </c>
      <c r="F229" s="31" t="n">
        <v>0</v>
      </c>
      <c r="G229" s="32" t="n">
        <f aca="false">E229+F229</f>
        <v>0</v>
      </c>
      <c r="H229" s="33" t="str">
        <f aca="false">IF(G229&gt;D229,"Vượt KL HĐ","")</f>
        <v/>
      </c>
    </row>
    <row r="230" customFormat="false" ht="15" hidden="false" customHeight="false" outlineLevel="0" collapsed="false">
      <c r="A230" s="12" t="s">
        <v>474</v>
      </c>
      <c r="B230" s="28" t="s">
        <v>475</v>
      </c>
      <c r="C230" s="27"/>
      <c r="D230" s="27"/>
      <c r="E230" s="27"/>
      <c r="F230" s="27"/>
      <c r="G230" s="27"/>
      <c r="H230" s="27"/>
    </row>
    <row r="231" customFormat="false" ht="15" hidden="false" customHeight="false" outlineLevel="0" collapsed="false">
      <c r="A231" s="29" t="s">
        <v>476</v>
      </c>
      <c r="B231" s="27" t="s">
        <v>477</v>
      </c>
      <c r="C231" s="29" t="s">
        <v>116</v>
      </c>
      <c r="D231" s="30" t="n">
        <v>3.95</v>
      </c>
      <c r="E231" s="31" t="n">
        <v>0</v>
      </c>
      <c r="F231" s="31" t="n">
        <v>0</v>
      </c>
      <c r="G231" s="32" t="n">
        <f aca="false">E231+F231</f>
        <v>0</v>
      </c>
      <c r="H231" s="33" t="str">
        <f aca="false">IF(G231&gt;D231,"Vượt KL HĐ","")</f>
        <v/>
      </c>
    </row>
    <row r="232" customFormat="false" ht="15" hidden="false" customHeight="false" outlineLevel="0" collapsed="false">
      <c r="A232" s="29" t="s">
        <v>478</v>
      </c>
      <c r="B232" s="27" t="s">
        <v>479</v>
      </c>
      <c r="C232" s="29" t="s">
        <v>116</v>
      </c>
      <c r="D232" s="30" t="n">
        <v>77.53</v>
      </c>
      <c r="E232" s="31" t="n">
        <v>0</v>
      </c>
      <c r="F232" s="31" t="n">
        <v>0</v>
      </c>
      <c r="G232" s="32" t="n">
        <f aca="false">E232+F232</f>
        <v>0</v>
      </c>
      <c r="H232" s="33" t="str">
        <f aca="false">IF(G232&gt;D232,"Vượt KL HĐ","")</f>
        <v/>
      </c>
    </row>
    <row r="233" customFormat="false" ht="15" hidden="false" customHeight="false" outlineLevel="0" collapsed="false">
      <c r="A233" s="29" t="s">
        <v>480</v>
      </c>
      <c r="B233" s="27" t="s">
        <v>379</v>
      </c>
      <c r="C233" s="29" t="s">
        <v>111</v>
      </c>
      <c r="D233" s="30" t="n">
        <v>0.7869</v>
      </c>
      <c r="E233" s="31" t="n">
        <v>0</v>
      </c>
      <c r="F233" s="31" t="n">
        <v>0</v>
      </c>
      <c r="G233" s="32" t="n">
        <f aca="false">E233+F233</f>
        <v>0</v>
      </c>
      <c r="H233" s="33" t="str">
        <f aca="false">IF(G233&gt;D233,"Vượt KL HĐ","")</f>
        <v/>
      </c>
    </row>
    <row r="234" customFormat="false" ht="15" hidden="false" customHeight="false" outlineLevel="0" collapsed="false">
      <c r="A234" s="29" t="s">
        <v>481</v>
      </c>
      <c r="B234" s="27" t="s">
        <v>482</v>
      </c>
      <c r="C234" s="29" t="s">
        <v>149</v>
      </c>
      <c r="D234" s="30" t="n">
        <v>0.0227</v>
      </c>
      <c r="E234" s="31" t="n">
        <v>0</v>
      </c>
      <c r="F234" s="31" t="n">
        <v>0</v>
      </c>
      <c r="G234" s="32" t="n">
        <f aca="false">E234+F234</f>
        <v>0</v>
      </c>
      <c r="H234" s="33" t="str">
        <f aca="false">IF(G234&gt;D234,"Vượt KL HĐ","")</f>
        <v/>
      </c>
    </row>
    <row r="235" customFormat="false" ht="15" hidden="false" customHeight="false" outlineLevel="0" collapsed="false">
      <c r="A235" s="29" t="s">
        <v>483</v>
      </c>
      <c r="B235" s="27" t="s">
        <v>484</v>
      </c>
      <c r="C235" s="29" t="s">
        <v>149</v>
      </c>
      <c r="D235" s="30" t="n">
        <v>2.962</v>
      </c>
      <c r="E235" s="31" t="n">
        <v>0</v>
      </c>
      <c r="F235" s="31" t="n">
        <v>0</v>
      </c>
      <c r="G235" s="32" t="n">
        <f aca="false">E235+F235</f>
        <v>0</v>
      </c>
      <c r="H235" s="33" t="str">
        <f aca="false">IF(G235&gt;D235,"Vượt KL HĐ","")</f>
        <v/>
      </c>
    </row>
    <row r="236" customFormat="false" ht="15" hidden="false" customHeight="false" outlineLevel="0" collapsed="false">
      <c r="A236" s="29" t="s">
        <v>485</v>
      </c>
      <c r="B236" s="27" t="s">
        <v>486</v>
      </c>
      <c r="C236" s="29" t="s">
        <v>149</v>
      </c>
      <c r="D236" s="30" t="n">
        <v>0.8283</v>
      </c>
      <c r="E236" s="31" t="n">
        <v>0</v>
      </c>
      <c r="F236" s="31" t="n">
        <v>0</v>
      </c>
      <c r="G236" s="32" t="n">
        <f aca="false">E236+F236</f>
        <v>0</v>
      </c>
      <c r="H236" s="33" t="str">
        <f aca="false">IF(G236&gt;D236,"Vượt KL HĐ","")</f>
        <v/>
      </c>
    </row>
    <row r="237" customFormat="false" ht="15" hidden="false" customHeight="false" outlineLevel="0" collapsed="false">
      <c r="A237" s="29" t="s">
        <v>487</v>
      </c>
      <c r="B237" s="27" t="s">
        <v>488</v>
      </c>
      <c r="C237" s="29" t="s">
        <v>106</v>
      </c>
      <c r="D237" s="30" t="n">
        <v>1.3969</v>
      </c>
      <c r="E237" s="31" t="n">
        <v>0</v>
      </c>
      <c r="F237" s="31" t="n">
        <v>0</v>
      </c>
      <c r="G237" s="32" t="n">
        <f aca="false">E237+F237</f>
        <v>0</v>
      </c>
      <c r="H237" s="33" t="str">
        <f aca="false">IF(G237&gt;D237,"Vượt KL HĐ","")</f>
        <v/>
      </c>
    </row>
    <row r="238" customFormat="false" ht="15" hidden="false" customHeight="false" outlineLevel="0" collapsed="false">
      <c r="A238" s="29" t="s">
        <v>489</v>
      </c>
      <c r="B238" s="27" t="s">
        <v>490</v>
      </c>
      <c r="C238" s="29" t="s">
        <v>116</v>
      </c>
      <c r="D238" s="30" t="n">
        <v>0.25</v>
      </c>
      <c r="E238" s="31" t="n">
        <v>0</v>
      </c>
      <c r="F238" s="31" t="n">
        <v>0</v>
      </c>
      <c r="G238" s="32" t="n">
        <f aca="false">E238+F238</f>
        <v>0</v>
      </c>
      <c r="H238" s="33" t="str">
        <f aca="false">IF(G238&gt;D238,"Vượt KL HĐ","")</f>
        <v/>
      </c>
    </row>
    <row r="239" customFormat="false" ht="15" hidden="false" customHeight="false" outlineLevel="0" collapsed="false">
      <c r="A239" s="29" t="s">
        <v>491</v>
      </c>
      <c r="B239" s="27" t="s">
        <v>492</v>
      </c>
      <c r="C239" s="29" t="s">
        <v>131</v>
      </c>
      <c r="D239" s="30" t="n">
        <v>33.09</v>
      </c>
      <c r="E239" s="31" t="n">
        <v>0</v>
      </c>
      <c r="F239" s="31" t="n">
        <v>0</v>
      </c>
      <c r="G239" s="32" t="n">
        <f aca="false">E239+F239</f>
        <v>0</v>
      </c>
      <c r="H239" s="33" t="str">
        <f aca="false">IF(G239&gt;D239,"Vượt KL HĐ","")</f>
        <v/>
      </c>
    </row>
    <row r="240" customFormat="false" ht="15" hidden="false" customHeight="false" outlineLevel="0" collapsed="false">
      <c r="A240" s="12" t="s">
        <v>493</v>
      </c>
      <c r="B240" s="28" t="s">
        <v>494</v>
      </c>
      <c r="C240" s="27"/>
      <c r="D240" s="27"/>
      <c r="E240" s="27"/>
      <c r="F240" s="27"/>
      <c r="G240" s="27"/>
      <c r="H240" s="27"/>
    </row>
    <row r="241" customFormat="false" ht="15" hidden="false" customHeight="false" outlineLevel="0" collapsed="false">
      <c r="A241" s="29" t="s">
        <v>495</v>
      </c>
      <c r="B241" s="27" t="s">
        <v>98</v>
      </c>
      <c r="C241" s="29" t="s">
        <v>99</v>
      </c>
      <c r="D241" s="30" t="n">
        <v>0.0427</v>
      </c>
      <c r="E241" s="31" t="n">
        <v>0</v>
      </c>
      <c r="F241" s="31" t="n">
        <v>0</v>
      </c>
      <c r="G241" s="32" t="n">
        <f aca="false">E241+F241</f>
        <v>0</v>
      </c>
      <c r="H241" s="33" t="str">
        <f aca="false">IF(G241&gt;D241,"Vượt KL HĐ","")</f>
        <v/>
      </c>
    </row>
    <row r="242" customFormat="false" ht="15" hidden="false" customHeight="false" outlineLevel="0" collapsed="false">
      <c r="A242" s="29" t="s">
        <v>496</v>
      </c>
      <c r="B242" s="27" t="s">
        <v>101</v>
      </c>
      <c r="C242" s="29" t="s">
        <v>99</v>
      </c>
      <c r="D242" s="30" t="n">
        <v>0.0427</v>
      </c>
      <c r="E242" s="31" t="n">
        <v>0</v>
      </c>
      <c r="F242" s="31" t="n">
        <v>0</v>
      </c>
      <c r="G242" s="32" t="n">
        <f aca="false">E242+F242</f>
        <v>0</v>
      </c>
      <c r="H242" s="33" t="str">
        <f aca="false">IF(G242&gt;D242,"Vượt KL HĐ","")</f>
        <v/>
      </c>
    </row>
    <row r="243" customFormat="false" ht="26.85" hidden="false" customHeight="false" outlineLevel="0" collapsed="false">
      <c r="A243" s="29" t="s">
        <v>497</v>
      </c>
      <c r="B243" s="27" t="s">
        <v>103</v>
      </c>
      <c r="C243" s="29" t="s">
        <v>99</v>
      </c>
      <c r="D243" s="30" t="n">
        <v>0.0427</v>
      </c>
      <c r="E243" s="31" t="n">
        <v>0</v>
      </c>
      <c r="F243" s="31" t="n">
        <v>0</v>
      </c>
      <c r="G243" s="32" t="n">
        <f aca="false">E243+F243</f>
        <v>0</v>
      </c>
      <c r="H243" s="33" t="str">
        <f aca="false">IF(G243&gt;D243,"Vượt KL HĐ","")</f>
        <v/>
      </c>
    </row>
    <row r="244" customFormat="false" ht="26.85" hidden="false" customHeight="false" outlineLevel="0" collapsed="false">
      <c r="A244" s="29" t="s">
        <v>498</v>
      </c>
      <c r="B244" s="27" t="s">
        <v>105</v>
      </c>
      <c r="C244" s="29" t="s">
        <v>106</v>
      </c>
      <c r="D244" s="30" t="n">
        <v>0.2477</v>
      </c>
      <c r="E244" s="31" t="n">
        <v>0</v>
      </c>
      <c r="F244" s="31" t="n">
        <v>0</v>
      </c>
      <c r="G244" s="32" t="n">
        <f aca="false">E244+F244</f>
        <v>0</v>
      </c>
      <c r="H244" s="33" t="str">
        <f aca="false">IF(G244&gt;D244,"Vượt KL HĐ","")</f>
        <v/>
      </c>
    </row>
    <row r="245" customFormat="false" ht="15" hidden="false" customHeight="false" outlineLevel="0" collapsed="false">
      <c r="A245" s="29" t="s">
        <v>499</v>
      </c>
      <c r="B245" s="27" t="s">
        <v>108</v>
      </c>
      <c r="C245" s="29" t="s">
        <v>106</v>
      </c>
      <c r="D245" s="30" t="n">
        <v>0.2477</v>
      </c>
      <c r="E245" s="31" t="n">
        <v>0</v>
      </c>
      <c r="F245" s="31" t="n">
        <v>0</v>
      </c>
      <c r="G245" s="32" t="n">
        <f aca="false">E245+F245</f>
        <v>0</v>
      </c>
      <c r="H245" s="33" t="str">
        <f aca="false">IF(G245&gt;D245,"Vượt KL HĐ","")</f>
        <v/>
      </c>
    </row>
    <row r="246" customFormat="false" ht="15" hidden="false" customHeight="false" outlineLevel="0" collapsed="false">
      <c r="A246" s="29" t="s">
        <v>500</v>
      </c>
      <c r="B246" s="27" t="s">
        <v>110</v>
      </c>
      <c r="C246" s="29" t="s">
        <v>111</v>
      </c>
      <c r="D246" s="30" t="n">
        <v>0.2477</v>
      </c>
      <c r="E246" s="31" t="n">
        <v>0</v>
      </c>
      <c r="F246" s="31" t="n">
        <v>0</v>
      </c>
      <c r="G246" s="32" t="n">
        <f aca="false">E246+F246</f>
        <v>0</v>
      </c>
      <c r="H246" s="33" t="str">
        <f aca="false">IF(G246&gt;D246,"Vượt KL HĐ","")</f>
        <v/>
      </c>
    </row>
    <row r="247" customFormat="false" ht="15" hidden="false" customHeight="false" outlineLevel="0" collapsed="false">
      <c r="A247" s="29" t="s">
        <v>501</v>
      </c>
      <c r="B247" s="27" t="s">
        <v>113</v>
      </c>
      <c r="C247" s="29" t="s">
        <v>111</v>
      </c>
      <c r="D247" s="30" t="n">
        <v>0.2477</v>
      </c>
      <c r="E247" s="31" t="n">
        <v>0</v>
      </c>
      <c r="F247" s="31" t="n">
        <v>0</v>
      </c>
      <c r="G247" s="32" t="n">
        <f aca="false">E247+F247</f>
        <v>0</v>
      </c>
      <c r="H247" s="33" t="str">
        <f aca="false">IF(G247&gt;D247,"Vượt KL HĐ","")</f>
        <v/>
      </c>
    </row>
    <row r="248" customFormat="false" ht="15" hidden="false" customHeight="false" outlineLevel="0" collapsed="false">
      <c r="A248" s="29" t="s">
        <v>502</v>
      </c>
      <c r="B248" s="27" t="s">
        <v>503</v>
      </c>
      <c r="C248" s="29" t="s">
        <v>240</v>
      </c>
      <c r="D248" s="30" t="n">
        <v>2</v>
      </c>
      <c r="E248" s="31" t="n">
        <v>0</v>
      </c>
      <c r="F248" s="31" t="n">
        <v>0</v>
      </c>
      <c r="G248" s="32" t="n">
        <f aca="false">E248+F248</f>
        <v>0</v>
      </c>
      <c r="H248" s="33" t="str">
        <f aca="false">IF(G248&gt;D248,"Vượt KL HĐ","")</f>
        <v/>
      </c>
    </row>
    <row r="249" customFormat="false" ht="15" hidden="false" customHeight="false" outlineLevel="0" collapsed="false">
      <c r="A249" s="29" t="s">
        <v>504</v>
      </c>
      <c r="B249" s="27" t="s">
        <v>505</v>
      </c>
      <c r="C249" s="29" t="s">
        <v>111</v>
      </c>
      <c r="D249" s="30" t="n">
        <v>0.3715</v>
      </c>
      <c r="E249" s="31" t="n">
        <v>0</v>
      </c>
      <c r="F249" s="31" t="n">
        <v>0</v>
      </c>
      <c r="G249" s="32" t="n">
        <f aca="false">E249+F249</f>
        <v>0</v>
      </c>
      <c r="H249" s="33" t="str">
        <f aca="false">IF(G249&gt;D249,"Vượt KL HĐ","")</f>
        <v/>
      </c>
    </row>
    <row r="250" customFormat="false" ht="15" hidden="false" customHeight="false" outlineLevel="0" collapsed="false">
      <c r="A250" s="12" t="s">
        <v>506</v>
      </c>
      <c r="B250" s="28" t="s">
        <v>507</v>
      </c>
      <c r="C250" s="27"/>
      <c r="D250" s="27"/>
      <c r="E250" s="27"/>
      <c r="F250" s="27"/>
      <c r="G250" s="27"/>
      <c r="H250" s="27"/>
    </row>
    <row r="251" customFormat="false" ht="15" hidden="false" customHeight="false" outlineLevel="0" collapsed="false">
      <c r="A251" s="29" t="s">
        <v>508</v>
      </c>
      <c r="B251" s="27" t="s">
        <v>509</v>
      </c>
      <c r="C251" s="29" t="s">
        <v>116</v>
      </c>
      <c r="D251" s="30" t="n">
        <v>9.88</v>
      </c>
      <c r="E251" s="31" t="n">
        <v>0</v>
      </c>
      <c r="F251" s="31" t="n">
        <v>0</v>
      </c>
      <c r="G251" s="32" t="n">
        <f aca="false">E251+F251</f>
        <v>0</v>
      </c>
      <c r="H251" s="33" t="str">
        <f aca="false">IF(G251&gt;D251,"Vượt KL HĐ","")</f>
        <v/>
      </c>
    </row>
    <row r="252" customFormat="false" ht="15" hidden="false" customHeight="false" outlineLevel="0" collapsed="false">
      <c r="A252" s="29" t="s">
        <v>510</v>
      </c>
      <c r="B252" s="27" t="s">
        <v>379</v>
      </c>
      <c r="C252" s="29" t="s">
        <v>111</v>
      </c>
      <c r="D252" s="30" t="n">
        <v>0.1003</v>
      </c>
      <c r="E252" s="31" t="n">
        <v>0</v>
      </c>
      <c r="F252" s="31" t="n">
        <v>0</v>
      </c>
      <c r="G252" s="32" t="n">
        <f aca="false">E252+F252</f>
        <v>0</v>
      </c>
      <c r="H252" s="33" t="str">
        <f aca="false">IF(G252&gt;D252,"Vượt KL HĐ","")</f>
        <v/>
      </c>
    </row>
    <row r="253" customFormat="false" ht="15" hidden="false" customHeight="false" outlineLevel="0" collapsed="false">
      <c r="A253" s="29" t="s">
        <v>511</v>
      </c>
      <c r="B253" s="27" t="s">
        <v>512</v>
      </c>
      <c r="C253" s="29" t="s">
        <v>149</v>
      </c>
      <c r="D253" s="30" t="n">
        <v>0.0096</v>
      </c>
      <c r="E253" s="31" t="n">
        <v>0</v>
      </c>
      <c r="F253" s="31" t="n">
        <v>0</v>
      </c>
      <c r="G253" s="32" t="n">
        <f aca="false">E253+F253</f>
        <v>0</v>
      </c>
      <c r="H253" s="33" t="str">
        <f aca="false">IF(G253&gt;D253,"Vượt KL HĐ","")</f>
        <v/>
      </c>
    </row>
    <row r="254" customFormat="false" ht="15" hidden="false" customHeight="false" outlineLevel="0" collapsed="false">
      <c r="A254" s="29" t="s">
        <v>513</v>
      </c>
      <c r="B254" s="27" t="s">
        <v>514</v>
      </c>
      <c r="C254" s="29" t="s">
        <v>149</v>
      </c>
      <c r="D254" s="30" t="n">
        <v>1.0783</v>
      </c>
      <c r="E254" s="31" t="n">
        <v>0</v>
      </c>
      <c r="F254" s="31" t="n">
        <v>0</v>
      </c>
      <c r="G254" s="32" t="n">
        <f aca="false">E254+F254</f>
        <v>0</v>
      </c>
      <c r="H254" s="33" t="str">
        <f aca="false">IF(G254&gt;D254,"Vượt KL HĐ","")</f>
        <v/>
      </c>
    </row>
    <row r="255" customFormat="false" ht="15" hidden="false" customHeight="false" outlineLevel="0" collapsed="false">
      <c r="A255" s="29" t="s">
        <v>515</v>
      </c>
      <c r="B255" s="27" t="s">
        <v>516</v>
      </c>
      <c r="C255" s="29" t="s">
        <v>149</v>
      </c>
      <c r="D255" s="30" t="n">
        <v>0.6958</v>
      </c>
      <c r="E255" s="31" t="n">
        <v>0</v>
      </c>
      <c r="F255" s="31" t="n">
        <v>0</v>
      </c>
      <c r="G255" s="32" t="n">
        <f aca="false">E255+F255</f>
        <v>0</v>
      </c>
      <c r="H255" s="33" t="str">
        <f aca="false">IF(G255&gt;D255,"Vượt KL HĐ","")</f>
        <v/>
      </c>
    </row>
    <row r="256" customFormat="false" ht="15" hidden="false" customHeight="false" outlineLevel="0" collapsed="false">
      <c r="A256" s="29" t="s">
        <v>517</v>
      </c>
      <c r="B256" s="27" t="s">
        <v>518</v>
      </c>
      <c r="C256" s="29" t="s">
        <v>106</v>
      </c>
      <c r="D256" s="30" t="n">
        <v>0.0642</v>
      </c>
      <c r="E256" s="31" t="n">
        <v>0</v>
      </c>
      <c r="F256" s="31" t="n">
        <v>0</v>
      </c>
      <c r="G256" s="32" t="n">
        <f aca="false">E256+F256</f>
        <v>0</v>
      </c>
      <c r="H256" s="33" t="str">
        <f aca="false">IF(G256&gt;D256,"Vượt KL HĐ","")</f>
        <v/>
      </c>
    </row>
    <row r="257" customFormat="false" ht="15" hidden="false" customHeight="false" outlineLevel="0" collapsed="false">
      <c r="A257" s="29" t="s">
        <v>519</v>
      </c>
      <c r="B257" s="27" t="s">
        <v>136</v>
      </c>
      <c r="C257" s="29" t="s">
        <v>116</v>
      </c>
      <c r="D257" s="30" t="n">
        <v>3.09</v>
      </c>
      <c r="E257" s="31" t="n">
        <v>0</v>
      </c>
      <c r="F257" s="31" t="n">
        <v>0</v>
      </c>
      <c r="G257" s="32" t="n">
        <f aca="false">E257+F257</f>
        <v>0</v>
      </c>
      <c r="H257" s="33" t="str">
        <f aca="false">IF(G257&gt;D257,"Vượt KL HĐ","")</f>
        <v/>
      </c>
    </row>
    <row r="258" customFormat="false" ht="15" hidden="false" customHeight="false" outlineLevel="0" collapsed="false">
      <c r="A258" s="29" t="s">
        <v>520</v>
      </c>
      <c r="B258" s="27" t="s">
        <v>521</v>
      </c>
      <c r="C258" s="29" t="s">
        <v>522</v>
      </c>
      <c r="D258" s="30" t="n">
        <v>47.5</v>
      </c>
      <c r="E258" s="31" t="n">
        <v>0</v>
      </c>
      <c r="F258" s="31" t="n">
        <v>0</v>
      </c>
      <c r="G258" s="32" t="n">
        <f aca="false">E258+F258</f>
        <v>0</v>
      </c>
      <c r="H258" s="33" t="str">
        <f aca="false">IF(G258&gt;D258,"Vượt KL HĐ","")</f>
        <v/>
      </c>
    </row>
    <row r="259" customFormat="false" ht="15" hidden="false" customHeight="false" outlineLevel="0" collapsed="false">
      <c r="A259" s="29" t="s">
        <v>523</v>
      </c>
      <c r="B259" s="27" t="s">
        <v>524</v>
      </c>
      <c r="C259" s="29" t="s">
        <v>245</v>
      </c>
      <c r="D259" s="30" t="n">
        <v>0.03</v>
      </c>
      <c r="E259" s="31" t="n">
        <v>0</v>
      </c>
      <c r="F259" s="31" t="n">
        <v>0</v>
      </c>
      <c r="G259" s="32" t="n">
        <f aca="false">E259+F259</f>
        <v>0</v>
      </c>
      <c r="H259" s="33" t="str">
        <f aca="false">IF(G259&gt;D259,"Vượt KL HĐ","")</f>
        <v/>
      </c>
    </row>
    <row r="260" customFormat="false" ht="15" hidden="false" customHeight="false" outlineLevel="0" collapsed="false">
      <c r="A260" s="12" t="s">
        <v>525</v>
      </c>
      <c r="B260" s="28" t="s">
        <v>526</v>
      </c>
      <c r="C260" s="27"/>
      <c r="D260" s="27"/>
      <c r="E260" s="27"/>
      <c r="F260" s="27"/>
      <c r="G260" s="27"/>
      <c r="H260" s="27"/>
    </row>
    <row r="261" customFormat="false" ht="15" hidden="false" customHeight="false" outlineLevel="0" collapsed="false">
      <c r="A261" s="29" t="s">
        <v>527</v>
      </c>
      <c r="B261" s="27" t="s">
        <v>528</v>
      </c>
      <c r="C261" s="29" t="s">
        <v>116</v>
      </c>
      <c r="D261" s="30" t="n">
        <v>101.52</v>
      </c>
      <c r="E261" s="31" t="n">
        <v>0</v>
      </c>
      <c r="F261" s="31" t="n">
        <v>0</v>
      </c>
      <c r="G261" s="32" t="n">
        <f aca="false">E261+F261</f>
        <v>0</v>
      </c>
      <c r="H261" s="33" t="str">
        <f aca="false">IF(G261&gt;D261,"Vượt KL HĐ","")</f>
        <v/>
      </c>
    </row>
    <row r="262" customFormat="false" ht="15" hidden="false" customHeight="false" outlineLevel="0" collapsed="false">
      <c r="A262" s="29" t="s">
        <v>529</v>
      </c>
      <c r="B262" s="27" t="s">
        <v>379</v>
      </c>
      <c r="C262" s="29" t="s">
        <v>111</v>
      </c>
      <c r="D262" s="30" t="n">
        <v>1.0304</v>
      </c>
      <c r="E262" s="31" t="n">
        <v>0</v>
      </c>
      <c r="F262" s="31" t="n">
        <v>0</v>
      </c>
      <c r="G262" s="32" t="n">
        <f aca="false">E262+F262</f>
        <v>0</v>
      </c>
      <c r="H262" s="33" t="str">
        <f aca="false">IF(G262&gt;D262,"Vượt KL HĐ","")</f>
        <v/>
      </c>
    </row>
    <row r="263" customFormat="false" ht="15" hidden="false" customHeight="false" outlineLevel="0" collapsed="false">
      <c r="A263" s="29" t="s">
        <v>530</v>
      </c>
      <c r="B263" s="27" t="s">
        <v>531</v>
      </c>
      <c r="C263" s="29" t="s">
        <v>149</v>
      </c>
      <c r="D263" s="30" t="n">
        <v>3.5325</v>
      </c>
      <c r="E263" s="31" t="n">
        <v>0</v>
      </c>
      <c r="F263" s="31" t="n">
        <v>0</v>
      </c>
      <c r="G263" s="32" t="n">
        <f aca="false">E263+F263</f>
        <v>0</v>
      </c>
      <c r="H263" s="33" t="str">
        <f aca="false">IF(G263&gt;D263,"Vượt KL HĐ","")</f>
        <v/>
      </c>
    </row>
    <row r="264" customFormat="false" ht="15" hidden="false" customHeight="false" outlineLevel="0" collapsed="false">
      <c r="A264" s="29" t="s">
        <v>532</v>
      </c>
      <c r="B264" s="27" t="s">
        <v>533</v>
      </c>
      <c r="C264" s="29" t="s">
        <v>149</v>
      </c>
      <c r="D264" s="30" t="n">
        <v>3.5325</v>
      </c>
      <c r="E264" s="31" t="n">
        <v>0</v>
      </c>
      <c r="F264" s="31" t="n">
        <v>0</v>
      </c>
      <c r="G264" s="32" t="n">
        <f aca="false">E264+F264</f>
        <v>0</v>
      </c>
      <c r="H264" s="33" t="str">
        <f aca="false">IF(G264&gt;D264,"Vượt KL HĐ","")</f>
        <v/>
      </c>
    </row>
    <row r="265" customFormat="false" ht="15" hidden="false" customHeight="false" outlineLevel="0" collapsed="false">
      <c r="A265" s="29" t="s">
        <v>534</v>
      </c>
      <c r="B265" s="27" t="s">
        <v>535</v>
      </c>
      <c r="C265" s="29" t="s">
        <v>149</v>
      </c>
      <c r="D265" s="30" t="n">
        <v>4.6256</v>
      </c>
      <c r="E265" s="31" t="n">
        <v>0</v>
      </c>
      <c r="F265" s="31" t="n">
        <v>0</v>
      </c>
      <c r="G265" s="32" t="n">
        <f aca="false">E265+F265</f>
        <v>0</v>
      </c>
      <c r="H265" s="33" t="str">
        <f aca="false">IF(G265&gt;D265,"Vượt KL HĐ","")</f>
        <v/>
      </c>
    </row>
    <row r="266" customFormat="false" ht="15" hidden="false" customHeight="false" outlineLevel="0" collapsed="false">
      <c r="A266" s="29" t="s">
        <v>536</v>
      </c>
      <c r="B266" s="27" t="s">
        <v>537</v>
      </c>
      <c r="C266" s="29" t="s">
        <v>149</v>
      </c>
      <c r="D266" s="30" t="n">
        <v>18.6851</v>
      </c>
      <c r="E266" s="31" t="n">
        <v>0</v>
      </c>
      <c r="F266" s="31" t="n">
        <v>0</v>
      </c>
      <c r="G266" s="32" t="n">
        <f aca="false">E266+F266</f>
        <v>0</v>
      </c>
      <c r="H266" s="33" t="str">
        <f aca="false">IF(G266&gt;D266,"Vượt KL HĐ","")</f>
        <v/>
      </c>
    </row>
    <row r="267" customFormat="false" ht="15" hidden="false" customHeight="false" outlineLevel="0" collapsed="false">
      <c r="A267" s="29" t="s">
        <v>538</v>
      </c>
      <c r="B267" s="27" t="s">
        <v>539</v>
      </c>
      <c r="C267" s="29" t="s">
        <v>149</v>
      </c>
      <c r="D267" s="30" t="n">
        <v>1.7208</v>
      </c>
      <c r="E267" s="31" t="n">
        <v>0</v>
      </c>
      <c r="F267" s="31" t="n">
        <v>0</v>
      </c>
      <c r="G267" s="32" t="n">
        <f aca="false">E267+F267</f>
        <v>0</v>
      </c>
      <c r="H267" s="33" t="str">
        <f aca="false">IF(G267&gt;D267,"Vượt KL HĐ","")</f>
        <v/>
      </c>
    </row>
    <row r="268" customFormat="false" ht="26.85" hidden="false" customHeight="false" outlineLevel="0" collapsed="false">
      <c r="A268" s="29" t="s">
        <v>540</v>
      </c>
      <c r="B268" s="27" t="s">
        <v>541</v>
      </c>
      <c r="C268" s="29" t="s">
        <v>106</v>
      </c>
      <c r="D268" s="30" t="n">
        <v>10.2492</v>
      </c>
      <c r="E268" s="31" t="n">
        <v>0</v>
      </c>
      <c r="F268" s="31" t="n">
        <v>0</v>
      </c>
      <c r="G268" s="32" t="n">
        <f aca="false">E268+F268</f>
        <v>0</v>
      </c>
      <c r="H268" s="33" t="str">
        <f aca="false">IF(G268&gt;D268,"Vượt KL HĐ","")</f>
        <v/>
      </c>
    </row>
    <row r="269" customFormat="false" ht="15" hidden="false" customHeight="false" outlineLevel="0" collapsed="false">
      <c r="A269" s="29" t="s">
        <v>542</v>
      </c>
      <c r="B269" s="27" t="s">
        <v>543</v>
      </c>
      <c r="C269" s="29" t="s">
        <v>245</v>
      </c>
      <c r="D269" s="30" t="n">
        <v>10.8208</v>
      </c>
      <c r="E269" s="31" t="n">
        <v>0</v>
      </c>
      <c r="F269" s="31" t="n">
        <v>0</v>
      </c>
      <c r="G269" s="32" t="n">
        <f aca="false">E269+F269</f>
        <v>0</v>
      </c>
      <c r="H269" s="33" t="str">
        <f aca="false">IF(G269&gt;D269,"Vượt KL HĐ","")</f>
        <v/>
      </c>
    </row>
    <row r="270" customFormat="false" ht="15" hidden="false" customHeight="false" outlineLevel="0" collapsed="false">
      <c r="A270" s="29" t="s">
        <v>544</v>
      </c>
      <c r="B270" s="27" t="s">
        <v>545</v>
      </c>
      <c r="C270" s="29" t="s">
        <v>546</v>
      </c>
      <c r="D270" s="30" t="n">
        <v>72</v>
      </c>
      <c r="E270" s="31" t="n">
        <v>0</v>
      </c>
      <c r="F270" s="31" t="n">
        <v>0</v>
      </c>
      <c r="G270" s="32" t="n">
        <f aca="false">E270+F270</f>
        <v>0</v>
      </c>
      <c r="H270" s="33" t="str">
        <f aca="false">IF(G270&gt;D270,"Vượt KL HĐ","")</f>
        <v/>
      </c>
    </row>
    <row r="271" customFormat="false" ht="15" hidden="false" customHeight="false" outlineLevel="0" collapsed="false">
      <c r="A271" s="12" t="s">
        <v>547</v>
      </c>
      <c r="B271" s="28" t="s">
        <v>548</v>
      </c>
      <c r="C271" s="27"/>
      <c r="D271" s="27"/>
      <c r="E271" s="27"/>
      <c r="F271" s="27"/>
      <c r="G271" s="27"/>
      <c r="H271" s="27"/>
    </row>
    <row r="272" customFormat="false" ht="15" hidden="false" customHeight="false" outlineLevel="0" collapsed="false">
      <c r="A272" s="29" t="s">
        <v>549</v>
      </c>
      <c r="B272" s="27" t="s">
        <v>550</v>
      </c>
      <c r="C272" s="29" t="s">
        <v>551</v>
      </c>
      <c r="D272" s="30" t="n">
        <v>2</v>
      </c>
      <c r="E272" s="31" t="n">
        <v>0</v>
      </c>
      <c r="F272" s="31" t="n">
        <v>0</v>
      </c>
      <c r="G272" s="32" t="n">
        <f aca="false">E272+F272</f>
        <v>0</v>
      </c>
      <c r="H272" s="33" t="str">
        <f aca="false">IF(G272&gt;D272,"Vượt KL HĐ","")</f>
        <v/>
      </c>
    </row>
    <row r="273" customFormat="false" ht="15" hidden="false" customHeight="false" outlineLevel="0" collapsed="false">
      <c r="A273" s="12" t="s">
        <v>552</v>
      </c>
      <c r="B273" s="28" t="s">
        <v>553</v>
      </c>
      <c r="C273" s="27"/>
      <c r="D273" s="27"/>
      <c r="E273" s="27"/>
      <c r="F273" s="27"/>
      <c r="G273" s="27"/>
      <c r="H273" s="27"/>
    </row>
    <row r="274" customFormat="false" ht="15" hidden="false" customHeight="false" outlineLevel="0" collapsed="false">
      <c r="A274" s="29" t="s">
        <v>554</v>
      </c>
      <c r="B274" s="27" t="s">
        <v>555</v>
      </c>
      <c r="C274" s="29" t="s">
        <v>149</v>
      </c>
      <c r="D274" s="30" t="n">
        <v>0.0148</v>
      </c>
      <c r="E274" s="31" t="n">
        <v>0</v>
      </c>
      <c r="F274" s="31" t="n">
        <v>0</v>
      </c>
      <c r="G274" s="32" t="n">
        <f aca="false">E274+F274</f>
        <v>0</v>
      </c>
      <c r="H274" s="33" t="str">
        <f aca="false">IF(G274&gt;D274,"Vượt KL HĐ","")</f>
        <v/>
      </c>
    </row>
    <row r="275" customFormat="false" ht="15" hidden="false" customHeight="false" outlineLevel="0" collapsed="false">
      <c r="A275" s="29" t="s">
        <v>556</v>
      </c>
      <c r="B275" s="27" t="s">
        <v>557</v>
      </c>
      <c r="C275" s="29" t="s">
        <v>149</v>
      </c>
      <c r="D275" s="30" t="n">
        <v>0.0354</v>
      </c>
      <c r="E275" s="31" t="n">
        <v>0</v>
      </c>
      <c r="F275" s="31" t="n">
        <v>0</v>
      </c>
      <c r="G275" s="32" t="n">
        <f aca="false">E275+F275</f>
        <v>0</v>
      </c>
      <c r="H275" s="33" t="str">
        <f aca="false">IF(G275&gt;D275,"Vượt KL HĐ","")</f>
        <v/>
      </c>
    </row>
    <row r="276" customFormat="false" ht="15" hidden="false" customHeight="false" outlineLevel="0" collapsed="false">
      <c r="A276" s="29" t="s">
        <v>558</v>
      </c>
      <c r="B276" s="27" t="s">
        <v>559</v>
      </c>
      <c r="C276" s="29" t="s">
        <v>149</v>
      </c>
      <c r="D276" s="30" t="n">
        <v>0.0966</v>
      </c>
      <c r="E276" s="31" t="n">
        <v>0</v>
      </c>
      <c r="F276" s="31" t="n">
        <v>0</v>
      </c>
      <c r="G276" s="32" t="n">
        <f aca="false">E276+F276</f>
        <v>0</v>
      </c>
      <c r="H276" s="33" t="str">
        <f aca="false">IF(G276&gt;D276,"Vượt KL HĐ","")</f>
        <v/>
      </c>
    </row>
    <row r="277" customFormat="false" ht="15" hidden="false" customHeight="false" outlineLevel="0" collapsed="false">
      <c r="A277" s="29" t="s">
        <v>560</v>
      </c>
      <c r="B277" s="27" t="s">
        <v>561</v>
      </c>
      <c r="C277" s="29" t="s">
        <v>149</v>
      </c>
      <c r="D277" s="30" t="n">
        <v>0.0966</v>
      </c>
      <c r="E277" s="31" t="n">
        <v>0</v>
      </c>
      <c r="F277" s="31" t="n">
        <v>0</v>
      </c>
      <c r="G277" s="32" t="n">
        <f aca="false">E277+F277</f>
        <v>0</v>
      </c>
      <c r="H277" s="33" t="str">
        <f aca="false">IF(G277&gt;D277,"Vượt KL HĐ","")</f>
        <v/>
      </c>
    </row>
    <row r="278" customFormat="false" ht="15" hidden="false" customHeight="false" outlineLevel="0" collapsed="false">
      <c r="A278" s="29" t="s">
        <v>562</v>
      </c>
      <c r="B278" s="27" t="s">
        <v>490</v>
      </c>
      <c r="C278" s="29" t="s">
        <v>116</v>
      </c>
      <c r="D278" s="30" t="n">
        <v>0.02</v>
      </c>
      <c r="E278" s="31" t="n">
        <v>0</v>
      </c>
      <c r="F278" s="31" t="n">
        <v>0</v>
      </c>
      <c r="G278" s="32" t="n">
        <f aca="false">E278+F278</f>
        <v>0</v>
      </c>
      <c r="H278" s="33" t="str">
        <f aca="false">IF(G278&gt;D278,"Vượt KL HĐ","")</f>
        <v/>
      </c>
    </row>
    <row r="279" customFormat="false" ht="15" hidden="false" customHeight="false" outlineLevel="0" collapsed="false">
      <c r="A279" s="29" t="s">
        <v>563</v>
      </c>
      <c r="B279" s="27" t="s">
        <v>521</v>
      </c>
      <c r="C279" s="29" t="s">
        <v>522</v>
      </c>
      <c r="D279" s="30" t="n">
        <v>0.1</v>
      </c>
      <c r="E279" s="31" t="n">
        <v>0</v>
      </c>
      <c r="F279" s="31" t="n">
        <v>0</v>
      </c>
      <c r="G279" s="32" t="n">
        <f aca="false">E279+F279</f>
        <v>0</v>
      </c>
      <c r="H279" s="33" t="str">
        <f aca="false">IF(G279&gt;D279,"Vượt KL HĐ","")</f>
        <v/>
      </c>
    </row>
    <row r="280" customFormat="false" ht="15" hidden="false" customHeight="false" outlineLevel="0" collapsed="false">
      <c r="A280" s="12" t="s">
        <v>564</v>
      </c>
      <c r="B280" s="28" t="s">
        <v>565</v>
      </c>
      <c r="C280" s="27"/>
      <c r="D280" s="27"/>
      <c r="E280" s="27"/>
      <c r="F280" s="27"/>
      <c r="G280" s="27"/>
      <c r="H280" s="27"/>
    </row>
    <row r="281" customFormat="false" ht="15" hidden="false" customHeight="false" outlineLevel="0" collapsed="false">
      <c r="A281" s="29" t="s">
        <v>566</v>
      </c>
      <c r="B281" s="27" t="s">
        <v>567</v>
      </c>
      <c r="C281" s="29" t="s">
        <v>111</v>
      </c>
      <c r="D281" s="30" t="n">
        <v>4.078</v>
      </c>
      <c r="E281" s="31" t="n">
        <v>0</v>
      </c>
      <c r="F281" s="31" t="n">
        <v>0</v>
      </c>
      <c r="G281" s="32" t="n">
        <f aca="false">E281+F281</f>
        <v>0</v>
      </c>
      <c r="H281" s="33" t="str">
        <f aca="false">IF(G281&gt;D281,"Vượt KL HĐ","")</f>
        <v/>
      </c>
    </row>
    <row r="282" customFormat="false" ht="15" hidden="false" customHeight="false" outlineLevel="0" collapsed="false">
      <c r="A282" s="29" t="s">
        <v>568</v>
      </c>
      <c r="B282" s="27" t="s">
        <v>569</v>
      </c>
      <c r="C282" s="29" t="s">
        <v>111</v>
      </c>
      <c r="D282" s="30" t="n">
        <v>2.376</v>
      </c>
      <c r="E282" s="31" t="n">
        <v>0</v>
      </c>
      <c r="F282" s="31" t="n">
        <v>0</v>
      </c>
      <c r="G282" s="32" t="n">
        <f aca="false">E282+F282</f>
        <v>0</v>
      </c>
      <c r="H282" s="33" t="str">
        <f aca="false">IF(G282&gt;D282,"Vượt KL HĐ","")</f>
        <v/>
      </c>
    </row>
    <row r="283" customFormat="false" ht="15" hidden="false" customHeight="false" outlineLevel="0" collapsed="false">
      <c r="A283" s="29" t="s">
        <v>570</v>
      </c>
      <c r="B283" s="27" t="s">
        <v>571</v>
      </c>
      <c r="C283" s="29" t="s">
        <v>111</v>
      </c>
      <c r="D283" s="30" t="n">
        <v>1.814</v>
      </c>
      <c r="E283" s="31" t="n">
        <v>0</v>
      </c>
      <c r="F283" s="31" t="n">
        <v>0</v>
      </c>
      <c r="G283" s="32" t="n">
        <f aca="false">E283+F283</f>
        <v>0</v>
      </c>
      <c r="H283" s="33" t="str">
        <f aca="false">IF(G283&gt;D283,"Vượt KL HĐ","")</f>
        <v/>
      </c>
    </row>
    <row r="284" customFormat="false" ht="15" hidden="false" customHeight="false" outlineLevel="0" collapsed="false">
      <c r="A284" s="29" t="s">
        <v>572</v>
      </c>
      <c r="B284" s="27" t="s">
        <v>573</v>
      </c>
      <c r="C284" s="29" t="s">
        <v>574</v>
      </c>
      <c r="D284" s="30" t="n">
        <v>10</v>
      </c>
      <c r="E284" s="31" t="n">
        <v>0</v>
      </c>
      <c r="F284" s="31" t="n">
        <v>0</v>
      </c>
      <c r="G284" s="32" t="n">
        <f aca="false">E284+F284</f>
        <v>0</v>
      </c>
      <c r="H284" s="33" t="str">
        <f aca="false">IF(G284&gt;D284,"Vượt KL HĐ","")</f>
        <v/>
      </c>
    </row>
    <row r="285" customFormat="false" ht="15" hidden="false" customHeight="false" outlineLevel="0" collapsed="false">
      <c r="A285" s="29" t="s">
        <v>575</v>
      </c>
      <c r="B285" s="27" t="s">
        <v>576</v>
      </c>
      <c r="C285" s="29" t="s">
        <v>245</v>
      </c>
      <c r="D285" s="30" t="n">
        <v>1.4</v>
      </c>
      <c r="E285" s="31" t="n">
        <v>0</v>
      </c>
      <c r="F285" s="31" t="n">
        <v>0</v>
      </c>
      <c r="G285" s="32" t="n">
        <f aca="false">E285+F285</f>
        <v>0</v>
      </c>
      <c r="H285" s="33" t="str">
        <f aca="false">IF(G285&gt;D285,"Vượt KL HĐ","")</f>
        <v/>
      </c>
    </row>
    <row r="286" customFormat="false" ht="15" hidden="false" customHeight="false" outlineLevel="0" collapsed="false">
      <c r="A286" s="29" t="s">
        <v>577</v>
      </c>
      <c r="B286" s="27" t="s">
        <v>578</v>
      </c>
      <c r="C286" s="29" t="s">
        <v>245</v>
      </c>
      <c r="D286" s="30" t="n">
        <v>1.4</v>
      </c>
      <c r="E286" s="31" t="n">
        <v>0</v>
      </c>
      <c r="F286" s="31" t="n">
        <v>0</v>
      </c>
      <c r="G286" s="32" t="n">
        <f aca="false">E286+F286</f>
        <v>0</v>
      </c>
      <c r="H286" s="33" t="str">
        <f aca="false">IF(G286&gt;D286,"Vượt KL HĐ","")</f>
        <v/>
      </c>
    </row>
    <row r="287" customFormat="false" ht="15" hidden="false" customHeight="false" outlineLevel="0" collapsed="false">
      <c r="A287" s="29" t="s">
        <v>579</v>
      </c>
      <c r="B287" s="27" t="s">
        <v>580</v>
      </c>
      <c r="C287" s="29" t="s">
        <v>149</v>
      </c>
      <c r="D287" s="30" t="n">
        <v>10.654</v>
      </c>
      <c r="E287" s="31" t="n">
        <v>0</v>
      </c>
      <c r="F287" s="31" t="n">
        <v>0</v>
      </c>
      <c r="G287" s="32" t="n">
        <f aca="false">E287+F287</f>
        <v>0</v>
      </c>
      <c r="H287" s="33" t="str">
        <f aca="false">IF(G287&gt;D287,"Vượt KL HĐ","")</f>
        <v/>
      </c>
    </row>
    <row r="288" customFormat="false" ht="15" hidden="false" customHeight="false" outlineLevel="0" collapsed="false">
      <c r="A288" s="29" t="s">
        <v>581</v>
      </c>
      <c r="B288" s="27" t="s">
        <v>416</v>
      </c>
      <c r="C288" s="29" t="s">
        <v>149</v>
      </c>
      <c r="D288" s="30" t="n">
        <v>9.82</v>
      </c>
      <c r="E288" s="31" t="n">
        <v>0</v>
      </c>
      <c r="F288" s="31" t="n">
        <v>0</v>
      </c>
      <c r="G288" s="32" t="n">
        <f aca="false">E288+F288</f>
        <v>0</v>
      </c>
      <c r="H288" s="33" t="str">
        <f aca="false">IF(G288&gt;D288,"Vượt KL HĐ","")</f>
        <v/>
      </c>
    </row>
    <row r="289" customFormat="false" ht="15" hidden="false" customHeight="false" outlineLevel="0" collapsed="false">
      <c r="A289" s="29" t="s">
        <v>582</v>
      </c>
      <c r="B289" s="27" t="s">
        <v>418</v>
      </c>
      <c r="C289" s="29" t="s">
        <v>149</v>
      </c>
      <c r="D289" s="30" t="n">
        <v>9.82</v>
      </c>
      <c r="E289" s="31" t="n">
        <v>0</v>
      </c>
      <c r="F289" s="31" t="n">
        <v>0</v>
      </c>
      <c r="G289" s="32" t="n">
        <f aca="false">E289+F289</f>
        <v>0</v>
      </c>
      <c r="H289" s="33" t="str">
        <f aca="false">IF(G289&gt;D289,"Vượt KL HĐ","")</f>
        <v/>
      </c>
    </row>
    <row r="290" customFormat="false" ht="15" hidden="false" customHeight="false" outlineLevel="0" collapsed="false">
      <c r="A290" s="29" t="s">
        <v>583</v>
      </c>
      <c r="B290" s="27" t="s">
        <v>420</v>
      </c>
      <c r="C290" s="29" t="s">
        <v>149</v>
      </c>
      <c r="D290" s="30" t="n">
        <v>9.82</v>
      </c>
      <c r="E290" s="31" t="n">
        <v>0</v>
      </c>
      <c r="F290" s="31" t="n">
        <v>0</v>
      </c>
      <c r="G290" s="32" t="n">
        <f aca="false">E290+F290</f>
        <v>0</v>
      </c>
      <c r="H290" s="33" t="str">
        <f aca="false">IF(G290&gt;D290,"Vượt KL HĐ","")</f>
        <v/>
      </c>
    </row>
    <row r="291" customFormat="false" ht="15" hidden="false" customHeight="false" outlineLevel="0" collapsed="false">
      <c r="A291" s="29" t="s">
        <v>584</v>
      </c>
      <c r="B291" s="27" t="s">
        <v>422</v>
      </c>
      <c r="C291" s="29" t="s">
        <v>149</v>
      </c>
      <c r="D291" s="30" t="n">
        <v>9.82</v>
      </c>
      <c r="E291" s="31" t="n">
        <v>0</v>
      </c>
      <c r="F291" s="31" t="n">
        <v>0</v>
      </c>
      <c r="G291" s="32" t="n">
        <f aca="false">E291+F291</f>
        <v>0</v>
      </c>
      <c r="H291" s="33" t="str">
        <f aca="false">IF(G291&gt;D291,"Vượt KL HĐ","")</f>
        <v/>
      </c>
    </row>
    <row r="292" customFormat="false" ht="15" hidden="false" customHeight="false" outlineLevel="0" collapsed="false">
      <c r="A292" s="29" t="s">
        <v>585</v>
      </c>
      <c r="B292" s="27" t="s">
        <v>586</v>
      </c>
      <c r="C292" s="29" t="s">
        <v>587</v>
      </c>
      <c r="D292" s="30" t="n">
        <v>4.1</v>
      </c>
      <c r="E292" s="31" t="n">
        <v>0</v>
      </c>
      <c r="F292" s="31" t="n">
        <v>0</v>
      </c>
      <c r="G292" s="32" t="n">
        <f aca="false">E292+F292</f>
        <v>0</v>
      </c>
      <c r="H292" s="33" t="str">
        <f aca="false">IF(G292&gt;D292,"Vượt KL HĐ","")</f>
        <v/>
      </c>
    </row>
    <row r="293" customFormat="false" ht="15" hidden="false" customHeight="false" outlineLevel="0" collapsed="false">
      <c r="A293" s="29" t="s">
        <v>588</v>
      </c>
      <c r="B293" s="27" t="s">
        <v>589</v>
      </c>
      <c r="C293" s="29" t="s">
        <v>116</v>
      </c>
      <c r="D293" s="30" t="n">
        <v>2.44</v>
      </c>
      <c r="E293" s="31" t="n">
        <v>0</v>
      </c>
      <c r="F293" s="31" t="n">
        <v>0</v>
      </c>
      <c r="G293" s="32" t="n">
        <f aca="false">E293+F293</f>
        <v>0</v>
      </c>
      <c r="H293" s="33" t="str">
        <f aca="false">IF(G293&gt;D293,"Vượt KL HĐ","")</f>
        <v/>
      </c>
    </row>
    <row r="294" customFormat="false" ht="15" hidden="false" customHeight="false" outlineLevel="0" collapsed="false">
      <c r="A294" s="29" t="s">
        <v>590</v>
      </c>
      <c r="B294" s="27" t="s">
        <v>591</v>
      </c>
      <c r="C294" s="29" t="s">
        <v>111</v>
      </c>
      <c r="D294" s="30" t="n">
        <v>2.8546</v>
      </c>
      <c r="E294" s="31" t="n">
        <v>0</v>
      </c>
      <c r="F294" s="31" t="n">
        <v>0</v>
      </c>
      <c r="G294" s="32" t="n">
        <f aca="false">E294+F294</f>
        <v>0</v>
      </c>
      <c r="H294" s="33" t="str">
        <f aca="false">IF(G294&gt;D294,"Vượt KL HĐ","")</f>
        <v/>
      </c>
    </row>
    <row r="295" customFormat="false" ht="15" hidden="false" customHeight="false" outlineLevel="0" collapsed="false">
      <c r="A295" s="12" t="s">
        <v>592</v>
      </c>
      <c r="B295" s="28" t="s">
        <v>593</v>
      </c>
      <c r="C295" s="27"/>
      <c r="D295" s="27"/>
      <c r="E295" s="27"/>
      <c r="F295" s="27"/>
      <c r="G295" s="27"/>
      <c r="H295" s="27"/>
    </row>
    <row r="296" customFormat="false" ht="15" hidden="false" customHeight="false" outlineLevel="0" collapsed="false">
      <c r="A296" s="29" t="s">
        <v>594</v>
      </c>
      <c r="B296" s="27" t="s">
        <v>595</v>
      </c>
      <c r="C296" s="29" t="s">
        <v>596</v>
      </c>
      <c r="D296" s="30" t="n">
        <v>8</v>
      </c>
      <c r="E296" s="31" t="n">
        <v>0</v>
      </c>
      <c r="F296" s="31" t="n">
        <v>0</v>
      </c>
      <c r="G296" s="32" t="n">
        <f aca="false">E296+F296</f>
        <v>0</v>
      </c>
      <c r="H296" s="33" t="str">
        <f aca="false">IF(G296&gt;D296,"Vượt KL HĐ","")</f>
        <v/>
      </c>
    </row>
    <row r="297" customFormat="false" ht="15" hidden="false" customHeight="false" outlineLevel="0" collapsed="false">
      <c r="A297" s="12" t="s">
        <v>597</v>
      </c>
      <c r="B297" s="28" t="s">
        <v>598</v>
      </c>
      <c r="C297" s="27"/>
      <c r="D297" s="27"/>
      <c r="E297" s="27"/>
      <c r="F297" s="27"/>
      <c r="G297" s="27"/>
      <c r="H297" s="27"/>
    </row>
    <row r="298" customFormat="false" ht="15" hidden="false" customHeight="false" outlineLevel="0" collapsed="false">
      <c r="A298" s="29" t="s">
        <v>599</v>
      </c>
      <c r="B298" s="27" t="s">
        <v>136</v>
      </c>
      <c r="C298" s="29" t="s">
        <v>116</v>
      </c>
      <c r="D298" s="30" t="n">
        <v>3.96</v>
      </c>
      <c r="E298" s="31" t="n">
        <v>0</v>
      </c>
      <c r="F298" s="31" t="n">
        <v>0</v>
      </c>
      <c r="G298" s="32" t="n">
        <f aca="false">E298+F298</f>
        <v>0</v>
      </c>
      <c r="H298" s="33" t="str">
        <f aca="false">IF(G298&gt;D298,"Vượt KL HĐ","")</f>
        <v/>
      </c>
    </row>
    <row r="299" customFormat="false" ht="15" hidden="false" customHeight="false" outlineLevel="0" collapsed="false">
      <c r="A299" s="29" t="s">
        <v>600</v>
      </c>
      <c r="B299" s="27" t="s">
        <v>601</v>
      </c>
      <c r="C299" s="29" t="s">
        <v>116</v>
      </c>
      <c r="D299" s="30" t="n">
        <v>1.01</v>
      </c>
      <c r="E299" s="31" t="n">
        <v>0</v>
      </c>
      <c r="F299" s="31" t="n">
        <v>0</v>
      </c>
      <c r="G299" s="32" t="n">
        <f aca="false">E299+F299</f>
        <v>0</v>
      </c>
      <c r="H299" s="33" t="str">
        <f aca="false">IF(G299&gt;D299,"Vượt KL HĐ","")</f>
        <v/>
      </c>
    </row>
    <row r="300" customFormat="false" ht="15" hidden="false" customHeight="false" outlineLevel="0" collapsed="false">
      <c r="A300" s="29" t="s">
        <v>602</v>
      </c>
      <c r="B300" s="27" t="s">
        <v>603</v>
      </c>
      <c r="C300" s="29" t="s">
        <v>116</v>
      </c>
      <c r="D300" s="30" t="n">
        <v>2.27</v>
      </c>
      <c r="E300" s="31" t="n">
        <v>0</v>
      </c>
      <c r="F300" s="31" t="n">
        <v>0</v>
      </c>
      <c r="G300" s="32" t="n">
        <f aca="false">E300+F300</f>
        <v>0</v>
      </c>
      <c r="H300" s="33" t="str">
        <f aca="false">IF(G300&gt;D300,"Vượt KL HĐ","")</f>
        <v/>
      </c>
    </row>
    <row r="301" customFormat="false" ht="15" hidden="false" customHeight="false" outlineLevel="0" collapsed="false">
      <c r="A301" s="29" t="s">
        <v>604</v>
      </c>
      <c r="B301" s="27" t="s">
        <v>605</v>
      </c>
      <c r="C301" s="29" t="s">
        <v>149</v>
      </c>
      <c r="D301" s="30" t="n">
        <v>0.1773</v>
      </c>
      <c r="E301" s="31" t="n">
        <v>0</v>
      </c>
      <c r="F301" s="31" t="n">
        <v>0</v>
      </c>
      <c r="G301" s="32" t="n">
        <f aca="false">E301+F301</f>
        <v>0</v>
      </c>
      <c r="H301" s="33" t="str">
        <f aca="false">IF(G301&gt;D301,"Vượt KL HĐ","")</f>
        <v/>
      </c>
    </row>
    <row r="302" customFormat="false" ht="15" hidden="false" customHeight="false" outlineLevel="0" collapsed="false">
      <c r="A302" s="29" t="s">
        <v>606</v>
      </c>
      <c r="B302" s="27" t="s">
        <v>607</v>
      </c>
      <c r="C302" s="29" t="s">
        <v>106</v>
      </c>
      <c r="D302" s="30" t="n">
        <v>0.1285</v>
      </c>
      <c r="E302" s="31" t="n">
        <v>0</v>
      </c>
      <c r="F302" s="31" t="n">
        <v>0</v>
      </c>
      <c r="G302" s="32" t="n">
        <f aca="false">E302+F302</f>
        <v>0</v>
      </c>
      <c r="H302" s="33" t="str">
        <f aca="false">IF(G302&gt;D302,"Vượt KL HĐ","")</f>
        <v/>
      </c>
    </row>
    <row r="303" customFormat="false" ht="15" hidden="false" customHeight="false" outlineLevel="0" collapsed="false">
      <c r="A303" s="29" t="s">
        <v>608</v>
      </c>
      <c r="B303" s="27" t="s">
        <v>609</v>
      </c>
      <c r="C303" s="29" t="s">
        <v>149</v>
      </c>
      <c r="D303" s="30" t="n">
        <v>14.695</v>
      </c>
      <c r="E303" s="31" t="n">
        <v>0</v>
      </c>
      <c r="F303" s="31" t="n">
        <v>0</v>
      </c>
      <c r="G303" s="32" t="n">
        <f aca="false">E303+F303</f>
        <v>0</v>
      </c>
      <c r="H303" s="33" t="str">
        <f aca="false">IF(G303&gt;D303,"Vượt KL HĐ","")</f>
        <v/>
      </c>
    </row>
    <row r="304" customFormat="false" ht="15" hidden="false" customHeight="false" outlineLevel="0" collapsed="false">
      <c r="A304" s="29" t="s">
        <v>610</v>
      </c>
      <c r="B304" s="27" t="s">
        <v>611</v>
      </c>
      <c r="C304" s="29" t="s">
        <v>149</v>
      </c>
      <c r="D304" s="30" t="n">
        <v>14.695</v>
      </c>
      <c r="E304" s="31" t="n">
        <v>0</v>
      </c>
      <c r="F304" s="31" t="n">
        <v>0</v>
      </c>
      <c r="G304" s="32" t="n">
        <f aca="false">E304+F304</f>
        <v>0</v>
      </c>
      <c r="H304" s="33" t="str">
        <f aca="false">IF(G304&gt;D304,"Vượt KL HĐ","")</f>
        <v/>
      </c>
    </row>
    <row r="305" customFormat="false" ht="15" hidden="false" customHeight="false" outlineLevel="0" collapsed="false">
      <c r="A305" s="29" t="s">
        <v>612</v>
      </c>
      <c r="B305" s="27" t="s">
        <v>613</v>
      </c>
      <c r="C305" s="29" t="s">
        <v>149</v>
      </c>
      <c r="D305" s="30" t="n">
        <v>14.695</v>
      </c>
      <c r="E305" s="31" t="n">
        <v>0</v>
      </c>
      <c r="F305" s="31" t="n">
        <v>0</v>
      </c>
      <c r="G305" s="32" t="n">
        <f aca="false">E305+F305</f>
        <v>0</v>
      </c>
      <c r="H305" s="33" t="str">
        <f aca="false">IF(G305&gt;D305,"Vượt KL HĐ","")</f>
        <v/>
      </c>
    </row>
    <row r="306" customFormat="false" ht="15" hidden="false" customHeight="false" outlineLevel="0" collapsed="false">
      <c r="A306" s="29" t="s">
        <v>614</v>
      </c>
      <c r="B306" s="27" t="s">
        <v>615</v>
      </c>
      <c r="C306" s="29" t="s">
        <v>193</v>
      </c>
      <c r="D306" s="30" t="n">
        <v>60</v>
      </c>
      <c r="E306" s="31" t="n">
        <v>0</v>
      </c>
      <c r="F306" s="31" t="n">
        <v>0</v>
      </c>
      <c r="G306" s="32" t="n">
        <f aca="false">E306+F306</f>
        <v>0</v>
      </c>
      <c r="H306" s="33" t="str">
        <f aca="false">IF(G306&gt;D306,"Vượt KL HĐ","")</f>
        <v/>
      </c>
    </row>
    <row r="307" customFormat="false" ht="15" hidden="false" customHeight="false" outlineLevel="0" collapsed="false">
      <c r="A307" s="29" t="s">
        <v>616</v>
      </c>
      <c r="B307" s="27" t="s">
        <v>617</v>
      </c>
      <c r="C307" s="29" t="s">
        <v>116</v>
      </c>
      <c r="D307" s="30" t="n">
        <v>3.28</v>
      </c>
      <c r="E307" s="31" t="n">
        <v>0</v>
      </c>
      <c r="F307" s="31" t="n">
        <v>0</v>
      </c>
      <c r="G307" s="32" t="n">
        <f aca="false">E307+F307</f>
        <v>0</v>
      </c>
      <c r="H307" s="33" t="str">
        <f aca="false">IF(G307&gt;D307,"Vượt KL HĐ","")</f>
        <v/>
      </c>
    </row>
    <row r="308" customFormat="false" ht="15" hidden="false" customHeight="false" outlineLevel="0" collapsed="false">
      <c r="A308" s="12" t="s">
        <v>618</v>
      </c>
      <c r="B308" s="28" t="s">
        <v>619</v>
      </c>
      <c r="C308" s="27"/>
      <c r="D308" s="27"/>
      <c r="E308" s="27"/>
      <c r="F308" s="27"/>
      <c r="G308" s="27"/>
      <c r="H308" s="27"/>
    </row>
    <row r="309" customFormat="false" ht="15" hidden="false" customHeight="false" outlineLevel="0" collapsed="false">
      <c r="A309" s="29" t="s">
        <v>620</v>
      </c>
      <c r="B309" s="27" t="s">
        <v>621</v>
      </c>
      <c r="C309" s="29" t="s">
        <v>116</v>
      </c>
      <c r="D309" s="30" t="n">
        <v>439.2875</v>
      </c>
      <c r="E309" s="31" t="n">
        <v>0</v>
      </c>
      <c r="F309" s="31" t="n">
        <v>0</v>
      </c>
      <c r="G309" s="32" t="n">
        <f aca="false">E309+F309</f>
        <v>0</v>
      </c>
      <c r="H309" s="33" t="str">
        <f aca="false">IF(G309&gt;D309,"Vượt KL HĐ","")</f>
        <v/>
      </c>
    </row>
    <row r="310" customFormat="false" ht="15" hidden="false" customHeight="false" outlineLevel="0" collapsed="false">
      <c r="A310" s="29" t="s">
        <v>622</v>
      </c>
      <c r="B310" s="27" t="s">
        <v>623</v>
      </c>
      <c r="C310" s="29" t="s">
        <v>111</v>
      </c>
      <c r="D310" s="30" t="n">
        <v>14.7194</v>
      </c>
      <c r="E310" s="31" t="n">
        <v>0</v>
      </c>
      <c r="F310" s="31" t="n">
        <v>0</v>
      </c>
      <c r="G310" s="32" t="n">
        <f aca="false">E310+F310</f>
        <v>0</v>
      </c>
      <c r="H310" s="33" t="str">
        <f aca="false">IF(G310&gt;D310,"Vượt KL HĐ","")</f>
        <v/>
      </c>
    </row>
    <row r="311" customFormat="false" ht="15" hidden="false" customHeight="false" outlineLevel="0" collapsed="false">
      <c r="A311" s="12" t="s">
        <v>624</v>
      </c>
      <c r="B311" s="13" t="s">
        <v>625</v>
      </c>
      <c r="C311" s="27"/>
      <c r="D311" s="27"/>
      <c r="E311" s="27"/>
      <c r="F311" s="27"/>
      <c r="G311" s="27"/>
      <c r="H311" s="27"/>
    </row>
    <row r="312" customFormat="false" ht="15" hidden="false" customHeight="false" outlineLevel="0" collapsed="false">
      <c r="A312" s="29" t="s">
        <v>626</v>
      </c>
      <c r="B312" s="27" t="s">
        <v>627</v>
      </c>
      <c r="C312" s="29" t="s">
        <v>245</v>
      </c>
      <c r="D312" s="30" t="n">
        <v>3.02</v>
      </c>
      <c r="E312" s="31" t="n">
        <v>0</v>
      </c>
      <c r="F312" s="31" t="n">
        <v>0</v>
      </c>
      <c r="G312" s="32" t="n">
        <f aca="false">E312+F312</f>
        <v>0</v>
      </c>
      <c r="H312" s="33" t="str">
        <f aca="false">IF(G312&gt;D312,"Vượt KL HĐ","")</f>
        <v/>
      </c>
    </row>
    <row r="313" customFormat="false" ht="15" hidden="false" customHeight="false" outlineLevel="0" collapsed="false">
      <c r="A313" s="29" t="s">
        <v>628</v>
      </c>
      <c r="B313" s="27" t="s">
        <v>629</v>
      </c>
      <c r="C313" s="29" t="s">
        <v>630</v>
      </c>
      <c r="D313" s="30" t="n">
        <v>6.09</v>
      </c>
      <c r="E313" s="31" t="n">
        <v>0</v>
      </c>
      <c r="F313" s="31" t="n">
        <v>0</v>
      </c>
      <c r="G313" s="32" t="n">
        <f aca="false">E313+F313</f>
        <v>0</v>
      </c>
      <c r="H313" s="33" t="str">
        <f aca="false">IF(G313&gt;D313,"Vượt KL HĐ","")</f>
        <v/>
      </c>
    </row>
    <row r="314" customFormat="false" ht="15" hidden="false" customHeight="false" outlineLevel="0" collapsed="false">
      <c r="A314" s="29" t="s">
        <v>631</v>
      </c>
      <c r="B314" s="27" t="s">
        <v>632</v>
      </c>
      <c r="C314" s="29" t="s">
        <v>240</v>
      </c>
      <c r="D314" s="30" t="n">
        <v>22</v>
      </c>
      <c r="E314" s="31" t="n">
        <v>0</v>
      </c>
      <c r="F314" s="31" t="n">
        <v>0</v>
      </c>
      <c r="G314" s="32" t="n">
        <f aca="false">E314+F314</f>
        <v>0</v>
      </c>
      <c r="H314" s="33" t="str">
        <f aca="false">IF(G314&gt;D314,"Vượt KL HĐ","")</f>
        <v/>
      </c>
    </row>
    <row r="315" customFormat="false" ht="15" hidden="false" customHeight="false" outlineLevel="0" collapsed="false">
      <c r="A315" s="29" t="s">
        <v>633</v>
      </c>
      <c r="B315" s="27" t="s">
        <v>634</v>
      </c>
      <c r="C315" s="29" t="s">
        <v>245</v>
      </c>
      <c r="D315" s="30" t="n">
        <v>0.12</v>
      </c>
      <c r="E315" s="31" t="n">
        <v>0</v>
      </c>
      <c r="F315" s="31" t="n">
        <v>0</v>
      </c>
      <c r="G315" s="32" t="n">
        <f aca="false">E315+F315</f>
        <v>0</v>
      </c>
      <c r="H315" s="33" t="str">
        <f aca="false">IF(G315&gt;D315,"Vượt KL HĐ","")</f>
        <v/>
      </c>
    </row>
    <row r="316" customFormat="false" ht="15" hidden="false" customHeight="false" outlineLevel="0" collapsed="false">
      <c r="A316" s="29" t="s">
        <v>635</v>
      </c>
      <c r="B316" s="27" t="s">
        <v>636</v>
      </c>
      <c r="C316" s="29" t="s">
        <v>240</v>
      </c>
      <c r="D316" s="30" t="n">
        <v>1</v>
      </c>
      <c r="E316" s="31" t="n">
        <v>0</v>
      </c>
      <c r="F316" s="31" t="n">
        <v>0</v>
      </c>
      <c r="G316" s="32" t="n">
        <f aca="false">E316+F316</f>
        <v>0</v>
      </c>
      <c r="H316" s="33" t="str">
        <f aca="false">IF(G316&gt;D316,"Vượt KL HĐ","")</f>
        <v/>
      </c>
    </row>
    <row r="317" customFormat="false" ht="15" hidden="false" customHeight="false" outlineLevel="0" collapsed="false">
      <c r="A317" s="29" t="s">
        <v>637</v>
      </c>
      <c r="B317" s="27" t="s">
        <v>638</v>
      </c>
      <c r="C317" s="29" t="s">
        <v>240</v>
      </c>
      <c r="D317" s="30" t="n">
        <v>6</v>
      </c>
      <c r="E317" s="31" t="n">
        <v>0</v>
      </c>
      <c r="F317" s="31" t="n">
        <v>0</v>
      </c>
      <c r="G317" s="32" t="n">
        <f aca="false">E317+F317</f>
        <v>0</v>
      </c>
      <c r="H317" s="33" t="str">
        <f aca="false">IF(G317&gt;D317,"Vượt KL HĐ","")</f>
        <v/>
      </c>
    </row>
    <row r="318" customFormat="false" ht="15" hidden="false" customHeight="false" outlineLevel="0" collapsed="false">
      <c r="A318" s="29" t="s">
        <v>639</v>
      </c>
      <c r="B318" s="27" t="s">
        <v>640</v>
      </c>
      <c r="C318" s="29" t="s">
        <v>240</v>
      </c>
      <c r="D318" s="30" t="n">
        <v>3</v>
      </c>
      <c r="E318" s="31" t="n">
        <v>0</v>
      </c>
      <c r="F318" s="31" t="n">
        <v>0</v>
      </c>
      <c r="G318" s="32" t="n">
        <f aca="false">E318+F318</f>
        <v>0</v>
      </c>
      <c r="H318" s="33" t="str">
        <f aca="false">IF(G318&gt;D318,"Vượt KL HĐ","")</f>
        <v/>
      </c>
    </row>
    <row r="319" customFormat="false" ht="15" hidden="false" customHeight="false" outlineLevel="0" collapsed="false">
      <c r="A319" s="29" t="s">
        <v>641</v>
      </c>
      <c r="B319" s="27" t="s">
        <v>642</v>
      </c>
      <c r="C319" s="29" t="s">
        <v>240</v>
      </c>
      <c r="D319" s="30" t="n">
        <v>1</v>
      </c>
      <c r="E319" s="31" t="n">
        <v>0</v>
      </c>
      <c r="F319" s="31" t="n">
        <v>0</v>
      </c>
      <c r="G319" s="32" t="n">
        <f aca="false">E319+F319</f>
        <v>0</v>
      </c>
      <c r="H319" s="33" t="str">
        <f aca="false">IF(G319&gt;D319,"Vượt KL HĐ","")</f>
        <v/>
      </c>
    </row>
    <row r="320" customFormat="false" ht="15" hidden="false" customHeight="false" outlineLevel="0" collapsed="false">
      <c r="A320" s="29" t="s">
        <v>643</v>
      </c>
      <c r="B320" s="27" t="s">
        <v>644</v>
      </c>
      <c r="C320" s="29" t="s">
        <v>240</v>
      </c>
      <c r="D320" s="30" t="n">
        <v>16</v>
      </c>
      <c r="E320" s="31" t="n">
        <v>0</v>
      </c>
      <c r="F320" s="31" t="n">
        <v>0</v>
      </c>
      <c r="G320" s="32" t="n">
        <f aca="false">E320+F320</f>
        <v>0</v>
      </c>
      <c r="H320" s="33" t="str">
        <f aca="false">IF(G320&gt;D320,"Vượt KL HĐ","")</f>
        <v/>
      </c>
    </row>
    <row r="321" customFormat="false" ht="15" hidden="false" customHeight="false" outlineLevel="0" collapsed="false">
      <c r="A321" s="29" t="s">
        <v>645</v>
      </c>
      <c r="B321" s="27" t="s">
        <v>646</v>
      </c>
      <c r="C321" s="29" t="s">
        <v>240</v>
      </c>
      <c r="D321" s="30" t="n">
        <v>4</v>
      </c>
      <c r="E321" s="31" t="n">
        <v>0</v>
      </c>
      <c r="F321" s="31" t="n">
        <v>0</v>
      </c>
      <c r="G321" s="32" t="n">
        <f aca="false">E321+F321</f>
        <v>0</v>
      </c>
      <c r="H321" s="33" t="str">
        <f aca="false">IF(G321&gt;D321,"Vượt KL HĐ","")</f>
        <v/>
      </c>
    </row>
    <row r="322" customFormat="false" ht="15" hidden="false" customHeight="false" outlineLevel="0" collapsed="false">
      <c r="A322" s="29" t="s">
        <v>647</v>
      </c>
      <c r="B322" s="27" t="s">
        <v>648</v>
      </c>
      <c r="C322" s="29" t="s">
        <v>240</v>
      </c>
      <c r="D322" s="30" t="n">
        <v>1</v>
      </c>
      <c r="E322" s="31" t="n">
        <v>0</v>
      </c>
      <c r="F322" s="31" t="n">
        <v>0</v>
      </c>
      <c r="G322" s="32" t="n">
        <f aca="false">E322+F322</f>
        <v>0</v>
      </c>
      <c r="H322" s="33" t="str">
        <f aca="false">IF(G322&gt;D322,"Vượt KL HĐ","")</f>
        <v/>
      </c>
    </row>
    <row r="323" customFormat="false" ht="15" hidden="false" customHeight="false" outlineLevel="0" collapsed="false">
      <c r="A323" s="29" t="s">
        <v>649</v>
      </c>
      <c r="B323" s="27" t="s">
        <v>650</v>
      </c>
      <c r="C323" s="29" t="s">
        <v>240</v>
      </c>
      <c r="D323" s="30" t="n">
        <v>5</v>
      </c>
      <c r="E323" s="31" t="n">
        <v>0</v>
      </c>
      <c r="F323" s="31" t="n">
        <v>0</v>
      </c>
      <c r="G323" s="32" t="n">
        <f aca="false">E323+F323</f>
        <v>0</v>
      </c>
      <c r="H323" s="33" t="str">
        <f aca="false">IF(G323&gt;D323,"Vượt KL HĐ","")</f>
        <v/>
      </c>
    </row>
    <row r="324" customFormat="false" ht="15" hidden="false" customHeight="false" outlineLevel="0" collapsed="false">
      <c r="A324" s="29" t="s">
        <v>651</v>
      </c>
      <c r="B324" s="27" t="s">
        <v>652</v>
      </c>
      <c r="C324" s="29" t="s">
        <v>240</v>
      </c>
      <c r="D324" s="30" t="n">
        <v>5</v>
      </c>
      <c r="E324" s="31" t="n">
        <v>0</v>
      </c>
      <c r="F324" s="31" t="n">
        <v>0</v>
      </c>
      <c r="G324" s="32" t="n">
        <f aca="false">E324+F324</f>
        <v>0</v>
      </c>
      <c r="H324" s="33" t="str">
        <f aca="false">IF(G324&gt;D324,"Vượt KL HĐ","")</f>
        <v/>
      </c>
    </row>
    <row r="325" customFormat="false" ht="15" hidden="false" customHeight="false" outlineLevel="0" collapsed="false">
      <c r="A325" s="29" t="s">
        <v>653</v>
      </c>
      <c r="B325" s="27" t="s">
        <v>654</v>
      </c>
      <c r="C325" s="29" t="s">
        <v>240</v>
      </c>
      <c r="D325" s="30" t="n">
        <v>2</v>
      </c>
      <c r="E325" s="31" t="n">
        <v>0</v>
      </c>
      <c r="F325" s="31" t="n">
        <v>0</v>
      </c>
      <c r="G325" s="32" t="n">
        <f aca="false">E325+F325</f>
        <v>0</v>
      </c>
      <c r="H325" s="33" t="str">
        <f aca="false">IF(G325&gt;D325,"Vượt KL HĐ","")</f>
        <v/>
      </c>
    </row>
    <row r="326" customFormat="false" ht="15" hidden="false" customHeight="false" outlineLevel="0" collapsed="false">
      <c r="A326" s="29" t="s">
        <v>655</v>
      </c>
      <c r="B326" s="27" t="s">
        <v>656</v>
      </c>
      <c r="C326" s="29" t="s">
        <v>240</v>
      </c>
      <c r="D326" s="30" t="n">
        <v>3</v>
      </c>
      <c r="E326" s="31" t="n">
        <v>0</v>
      </c>
      <c r="F326" s="31" t="n">
        <v>0</v>
      </c>
      <c r="G326" s="32" t="n">
        <f aca="false">E326+F326</f>
        <v>0</v>
      </c>
      <c r="H326" s="33" t="str">
        <f aca="false">IF(G326&gt;D326,"Vượt KL HĐ","")</f>
        <v/>
      </c>
    </row>
    <row r="327" customFormat="false" ht="15" hidden="false" customHeight="false" outlineLevel="0" collapsed="false">
      <c r="A327" s="29" t="s">
        <v>657</v>
      </c>
      <c r="B327" s="27" t="s">
        <v>658</v>
      </c>
      <c r="C327" s="29" t="s">
        <v>240</v>
      </c>
      <c r="D327" s="30" t="n">
        <v>3</v>
      </c>
      <c r="E327" s="31" t="n">
        <v>0</v>
      </c>
      <c r="F327" s="31" t="n">
        <v>0</v>
      </c>
      <c r="G327" s="32" t="n">
        <f aca="false">E327+F327</f>
        <v>0</v>
      </c>
      <c r="H327" s="33" t="str">
        <f aca="false">IF(G327&gt;D327,"Vượt KL HĐ","")</f>
        <v/>
      </c>
    </row>
    <row r="328" customFormat="false" ht="15" hidden="false" customHeight="false" outlineLevel="0" collapsed="false">
      <c r="A328" s="29" t="s">
        <v>659</v>
      </c>
      <c r="B328" s="27" t="s">
        <v>660</v>
      </c>
      <c r="C328" s="29" t="s">
        <v>240</v>
      </c>
      <c r="D328" s="30" t="n">
        <v>6</v>
      </c>
      <c r="E328" s="31" t="n">
        <v>0</v>
      </c>
      <c r="F328" s="31" t="n">
        <v>0</v>
      </c>
      <c r="G328" s="32" t="n">
        <f aca="false">E328+F328</f>
        <v>0</v>
      </c>
      <c r="H328" s="33" t="str">
        <f aca="false">IF(G328&gt;D328,"Vượt KL HĐ","")</f>
        <v/>
      </c>
    </row>
    <row r="329" customFormat="false" ht="15" hidden="false" customHeight="false" outlineLevel="0" collapsed="false">
      <c r="A329" s="29" t="s">
        <v>661</v>
      </c>
      <c r="B329" s="27" t="s">
        <v>662</v>
      </c>
      <c r="C329" s="29" t="s">
        <v>663</v>
      </c>
      <c r="D329" s="30" t="n">
        <v>3</v>
      </c>
      <c r="E329" s="31" t="n">
        <v>0</v>
      </c>
      <c r="F329" s="31" t="n">
        <v>0</v>
      </c>
      <c r="G329" s="32" t="n">
        <f aca="false">E329+F329</f>
        <v>0</v>
      </c>
      <c r="H329" s="33" t="str">
        <f aca="false">IF(G329&gt;D329,"Vượt KL HĐ","")</f>
        <v/>
      </c>
    </row>
    <row r="330" customFormat="false" ht="15" hidden="false" customHeight="false" outlineLevel="0" collapsed="false">
      <c r="A330" s="29" t="s">
        <v>664</v>
      </c>
      <c r="B330" s="27" t="s">
        <v>665</v>
      </c>
      <c r="C330" s="29" t="s">
        <v>240</v>
      </c>
      <c r="D330" s="30" t="n">
        <v>1</v>
      </c>
      <c r="E330" s="31" t="n">
        <v>0</v>
      </c>
      <c r="F330" s="31" t="n">
        <v>0</v>
      </c>
      <c r="G330" s="32" t="n">
        <f aca="false">E330+F330</f>
        <v>0</v>
      </c>
      <c r="H330" s="33" t="str">
        <f aca="false">IF(G330&gt;D330,"Vượt KL HĐ","")</f>
        <v/>
      </c>
    </row>
    <row r="331" customFormat="false" ht="15" hidden="false" customHeight="false" outlineLevel="0" collapsed="false">
      <c r="A331" s="29" t="s">
        <v>666</v>
      </c>
      <c r="B331" s="27" t="s">
        <v>667</v>
      </c>
      <c r="C331" s="29" t="s">
        <v>240</v>
      </c>
      <c r="D331" s="30" t="n">
        <v>1</v>
      </c>
      <c r="E331" s="31" t="n">
        <v>0</v>
      </c>
      <c r="F331" s="31" t="n">
        <v>0</v>
      </c>
      <c r="G331" s="32" t="n">
        <f aca="false">E331+F331</f>
        <v>0</v>
      </c>
      <c r="H331" s="33" t="str">
        <f aca="false">IF(G331&gt;D331,"Vượt KL HĐ","")</f>
        <v/>
      </c>
    </row>
    <row r="332" customFormat="false" ht="15" hidden="false" customHeight="false" outlineLevel="0" collapsed="false">
      <c r="A332" s="29" t="s">
        <v>668</v>
      </c>
      <c r="B332" s="27" t="s">
        <v>669</v>
      </c>
      <c r="C332" s="29" t="s">
        <v>240</v>
      </c>
      <c r="D332" s="30" t="n">
        <v>1</v>
      </c>
      <c r="E332" s="31" t="n">
        <v>0</v>
      </c>
      <c r="F332" s="31" t="n">
        <v>0</v>
      </c>
      <c r="G332" s="32" t="n">
        <f aca="false">E332+F332</f>
        <v>0</v>
      </c>
      <c r="H332" s="33" t="str">
        <f aca="false">IF(G332&gt;D332,"Vượt KL HĐ","")</f>
        <v/>
      </c>
    </row>
    <row r="333" customFormat="false" ht="15" hidden="false" customHeight="false" outlineLevel="0" collapsed="false">
      <c r="A333" s="29" t="s">
        <v>670</v>
      </c>
      <c r="B333" s="27" t="s">
        <v>671</v>
      </c>
      <c r="C333" s="29" t="s">
        <v>240</v>
      </c>
      <c r="D333" s="30" t="n">
        <v>1</v>
      </c>
      <c r="E333" s="31" t="n">
        <v>0</v>
      </c>
      <c r="F333" s="31" t="n">
        <v>0</v>
      </c>
      <c r="G333" s="32" t="n">
        <f aca="false">E333+F333</f>
        <v>0</v>
      </c>
      <c r="H333" s="33" t="str">
        <f aca="false">IF(G333&gt;D333,"Vượt KL HĐ","")</f>
        <v/>
      </c>
    </row>
    <row r="334" customFormat="false" ht="15" hidden="false" customHeight="false" outlineLevel="0" collapsed="false">
      <c r="A334" s="29" t="s">
        <v>672</v>
      </c>
      <c r="B334" s="27" t="s">
        <v>673</v>
      </c>
      <c r="C334" s="29" t="s">
        <v>240</v>
      </c>
      <c r="D334" s="30" t="n">
        <v>1</v>
      </c>
      <c r="E334" s="31" t="n">
        <v>0</v>
      </c>
      <c r="F334" s="31" t="n">
        <v>0</v>
      </c>
      <c r="G334" s="32" t="n">
        <f aca="false">E334+F334</f>
        <v>0</v>
      </c>
      <c r="H334" s="33" t="str">
        <f aca="false">IF(G334&gt;D334,"Vượt KL HĐ","")</f>
        <v/>
      </c>
    </row>
    <row r="335" customFormat="false" ht="15" hidden="false" customHeight="false" outlineLevel="0" collapsed="false">
      <c r="A335" s="29" t="s">
        <v>674</v>
      </c>
      <c r="B335" s="27" t="s">
        <v>675</v>
      </c>
      <c r="C335" s="29" t="s">
        <v>240</v>
      </c>
      <c r="D335" s="30" t="n">
        <v>5</v>
      </c>
      <c r="E335" s="31" t="n">
        <v>0</v>
      </c>
      <c r="F335" s="31" t="n">
        <v>0</v>
      </c>
      <c r="G335" s="32" t="n">
        <f aca="false">E335+F335</f>
        <v>0</v>
      </c>
      <c r="H335" s="33" t="str">
        <f aca="false">IF(G335&gt;D335,"Vượt KL HĐ","")</f>
        <v/>
      </c>
    </row>
    <row r="336" customFormat="false" ht="15" hidden="false" customHeight="false" outlineLevel="0" collapsed="false">
      <c r="A336" s="29" t="s">
        <v>676</v>
      </c>
      <c r="B336" s="27" t="s">
        <v>677</v>
      </c>
      <c r="C336" s="29" t="s">
        <v>240</v>
      </c>
      <c r="D336" s="30" t="n">
        <v>5</v>
      </c>
      <c r="E336" s="31" t="n">
        <v>0</v>
      </c>
      <c r="F336" s="31" t="n">
        <v>0</v>
      </c>
      <c r="G336" s="32" t="n">
        <f aca="false">E336+F336</f>
        <v>0</v>
      </c>
      <c r="H336" s="33" t="str">
        <f aca="false">IF(G336&gt;D336,"Vượt KL HĐ","")</f>
        <v/>
      </c>
    </row>
    <row r="337" customFormat="false" ht="15" hidden="false" customHeight="false" outlineLevel="0" collapsed="false">
      <c r="A337" s="29" t="s">
        <v>678</v>
      </c>
      <c r="B337" s="27" t="s">
        <v>679</v>
      </c>
      <c r="C337" s="29" t="s">
        <v>240</v>
      </c>
      <c r="D337" s="30" t="n">
        <v>7</v>
      </c>
      <c r="E337" s="31" t="n">
        <v>0</v>
      </c>
      <c r="F337" s="31" t="n">
        <v>0</v>
      </c>
      <c r="G337" s="32" t="n">
        <f aca="false">E337+F337</f>
        <v>0</v>
      </c>
      <c r="H337" s="33" t="str">
        <f aca="false">IF(G337&gt;D337,"Vượt KL HĐ","")</f>
        <v/>
      </c>
    </row>
    <row r="338" customFormat="false" ht="15" hidden="false" customHeight="false" outlineLevel="0" collapsed="false">
      <c r="A338" s="29" t="s">
        <v>680</v>
      </c>
      <c r="B338" s="27" t="s">
        <v>681</v>
      </c>
      <c r="C338" s="29" t="s">
        <v>240</v>
      </c>
      <c r="D338" s="30" t="n">
        <v>1</v>
      </c>
      <c r="E338" s="31" t="n">
        <v>0</v>
      </c>
      <c r="F338" s="31" t="n">
        <v>0</v>
      </c>
      <c r="G338" s="32" t="n">
        <f aca="false">E338+F338</f>
        <v>0</v>
      </c>
      <c r="H338" s="33" t="str">
        <f aca="false">IF(G338&gt;D338,"Vượt KL HĐ","")</f>
        <v/>
      </c>
    </row>
    <row r="339" customFormat="false" ht="26.85" hidden="false" customHeight="false" outlineLevel="0" collapsed="false">
      <c r="A339" s="29" t="s">
        <v>682</v>
      </c>
      <c r="B339" s="27" t="s">
        <v>683</v>
      </c>
      <c r="C339" s="29" t="s">
        <v>240</v>
      </c>
      <c r="D339" s="30" t="n">
        <v>10</v>
      </c>
      <c r="E339" s="31" t="n">
        <v>0</v>
      </c>
      <c r="F339" s="31" t="n">
        <v>0</v>
      </c>
      <c r="G339" s="32" t="n">
        <f aca="false">E339+F339</f>
        <v>0</v>
      </c>
      <c r="H339" s="33" t="str">
        <f aca="false">IF(G339&gt;D339,"Vượt KL HĐ","")</f>
        <v/>
      </c>
    </row>
    <row r="340" customFormat="false" ht="15" hidden="false" customHeight="false" outlineLevel="0" collapsed="false">
      <c r="A340" s="29" t="s">
        <v>684</v>
      </c>
      <c r="B340" s="27" t="s">
        <v>685</v>
      </c>
      <c r="C340" s="29" t="s">
        <v>240</v>
      </c>
      <c r="D340" s="30" t="n">
        <v>5</v>
      </c>
      <c r="E340" s="31" t="n">
        <v>0</v>
      </c>
      <c r="F340" s="31" t="n">
        <v>0</v>
      </c>
      <c r="G340" s="32" t="n">
        <f aca="false">E340+F340</f>
        <v>0</v>
      </c>
      <c r="H340" s="33" t="str">
        <f aca="false">IF(G340&gt;D340,"Vượt KL HĐ","")</f>
        <v/>
      </c>
    </row>
    <row r="341" customFormat="false" ht="15" hidden="false" customHeight="false" outlineLevel="0" collapsed="false">
      <c r="A341" s="29" t="s">
        <v>686</v>
      </c>
      <c r="B341" s="27" t="s">
        <v>687</v>
      </c>
      <c r="C341" s="29" t="s">
        <v>245</v>
      </c>
      <c r="D341" s="30" t="n">
        <v>3.02</v>
      </c>
      <c r="E341" s="31" t="n">
        <v>0</v>
      </c>
      <c r="F341" s="31" t="n">
        <v>0</v>
      </c>
      <c r="G341" s="32" t="n">
        <f aca="false">E341+F341</f>
        <v>0</v>
      </c>
      <c r="H341" s="33" t="str">
        <f aca="false">IF(G341&gt;D341,"Vượt KL HĐ","")</f>
        <v/>
      </c>
    </row>
    <row r="342" customFormat="false" ht="15" hidden="false" customHeight="false" outlineLevel="0" collapsed="false">
      <c r="A342" s="29" t="s">
        <v>688</v>
      </c>
      <c r="B342" s="27" t="s">
        <v>689</v>
      </c>
      <c r="C342" s="29" t="s">
        <v>245</v>
      </c>
      <c r="D342" s="30" t="n">
        <v>6.09</v>
      </c>
      <c r="E342" s="31" t="n">
        <v>0</v>
      </c>
      <c r="F342" s="31" t="n">
        <v>0</v>
      </c>
      <c r="G342" s="32" t="n">
        <f aca="false">E342+F342</f>
        <v>0</v>
      </c>
      <c r="H342" s="33" t="str">
        <f aca="false">IF(G342&gt;D342,"Vượt KL HĐ","")</f>
        <v/>
      </c>
    </row>
    <row r="343" customFormat="false" ht="15" hidden="false" customHeight="false" outlineLevel="0" collapsed="false">
      <c r="A343" s="29" t="s">
        <v>690</v>
      </c>
      <c r="B343" s="27" t="s">
        <v>691</v>
      </c>
      <c r="C343" s="29" t="s">
        <v>245</v>
      </c>
      <c r="D343" s="30" t="n">
        <v>9.11</v>
      </c>
      <c r="E343" s="31" t="n">
        <v>0</v>
      </c>
      <c r="F343" s="31" t="n">
        <v>0</v>
      </c>
      <c r="G343" s="32" t="n">
        <f aca="false">E343+F343</f>
        <v>0</v>
      </c>
      <c r="H343" s="33" t="str">
        <f aca="false">IF(G343&gt;D343,"Vượt KL HĐ","")</f>
        <v/>
      </c>
    </row>
    <row r="344" customFormat="false" ht="15" hidden="false" customHeight="false" outlineLevel="0" collapsed="false">
      <c r="A344" s="29" t="s">
        <v>692</v>
      </c>
      <c r="B344" s="27" t="s">
        <v>693</v>
      </c>
      <c r="C344" s="29" t="s">
        <v>240</v>
      </c>
      <c r="D344" s="30" t="n">
        <v>304</v>
      </c>
      <c r="E344" s="31" t="n">
        <v>0</v>
      </c>
      <c r="F344" s="31" t="n">
        <v>0</v>
      </c>
      <c r="G344" s="32" t="n">
        <f aca="false">E344+F344</f>
        <v>0</v>
      </c>
      <c r="H344" s="33" t="str">
        <f aca="false">IF(G344&gt;D344,"Vượt KL HĐ","")</f>
        <v/>
      </c>
    </row>
    <row r="345" customFormat="false" ht="15" hidden="false" customHeight="false" outlineLevel="0" collapsed="false">
      <c r="A345" s="29" t="s">
        <v>694</v>
      </c>
      <c r="B345" s="27" t="s">
        <v>695</v>
      </c>
      <c r="C345" s="29" t="s">
        <v>116</v>
      </c>
      <c r="D345" s="30" t="n">
        <v>150</v>
      </c>
      <c r="E345" s="31" t="n">
        <v>0</v>
      </c>
      <c r="F345" s="31" t="n">
        <v>0</v>
      </c>
      <c r="G345" s="32" t="n">
        <f aca="false">E345+F345</f>
        <v>0</v>
      </c>
      <c r="H345" s="33" t="str">
        <f aca="false">IF(G345&gt;D345,"Vượt KL HĐ","")</f>
        <v/>
      </c>
    </row>
    <row r="346" customFormat="false" ht="26.85" hidden="false" customHeight="false" outlineLevel="0" collapsed="false">
      <c r="A346" s="29" t="s">
        <v>696</v>
      </c>
      <c r="B346" s="27" t="s">
        <v>697</v>
      </c>
      <c r="C346" s="29" t="s">
        <v>587</v>
      </c>
      <c r="D346" s="30" t="n">
        <v>11.5</v>
      </c>
      <c r="E346" s="31" t="n">
        <v>0</v>
      </c>
      <c r="F346" s="31" t="n">
        <v>0</v>
      </c>
      <c r="G346" s="32" t="n">
        <f aca="false">E346+F346</f>
        <v>0</v>
      </c>
      <c r="H346" s="33" t="str">
        <f aca="false">IF(G346&gt;D346,"Vượt KL HĐ","")</f>
        <v/>
      </c>
    </row>
    <row r="347" customFormat="false" ht="15" hidden="false" customHeight="false" outlineLevel="0" collapsed="false">
      <c r="A347" s="29" t="s">
        <v>698</v>
      </c>
      <c r="B347" s="27" t="s">
        <v>699</v>
      </c>
      <c r="C347" s="29" t="s">
        <v>111</v>
      </c>
      <c r="D347" s="30" t="n">
        <v>0.086</v>
      </c>
      <c r="E347" s="31" t="n">
        <v>0</v>
      </c>
      <c r="F347" s="31" t="n">
        <v>0</v>
      </c>
      <c r="G347" s="32" t="n">
        <f aca="false">E347+F347</f>
        <v>0</v>
      </c>
      <c r="H347" s="33" t="str">
        <f aca="false">IF(G347&gt;D347,"Vượt KL HĐ","")</f>
        <v/>
      </c>
    </row>
    <row r="348" customFormat="false" ht="15" hidden="false" customHeight="false" outlineLevel="0" collapsed="false">
      <c r="A348" s="29" t="s">
        <v>700</v>
      </c>
      <c r="B348" s="27" t="s">
        <v>701</v>
      </c>
      <c r="C348" s="29" t="s">
        <v>116</v>
      </c>
      <c r="D348" s="30" t="n">
        <v>7.6</v>
      </c>
      <c r="E348" s="31" t="n">
        <v>0</v>
      </c>
      <c r="F348" s="31" t="n">
        <v>0</v>
      </c>
      <c r="G348" s="32" t="n">
        <f aca="false">E348+F348</f>
        <v>0</v>
      </c>
      <c r="H348" s="33" t="str">
        <f aca="false">IF(G348&gt;D348,"Vượt KL HĐ","")</f>
        <v/>
      </c>
    </row>
    <row r="349" customFormat="false" ht="15" hidden="false" customHeight="false" outlineLevel="0" collapsed="false">
      <c r="A349" s="29" t="s">
        <v>702</v>
      </c>
      <c r="B349" s="27" t="s">
        <v>703</v>
      </c>
      <c r="C349" s="29" t="s">
        <v>111</v>
      </c>
      <c r="D349" s="30" t="n">
        <v>0.0294</v>
      </c>
      <c r="E349" s="31" t="n">
        <v>0</v>
      </c>
      <c r="F349" s="31" t="n">
        <v>0</v>
      </c>
      <c r="G349" s="32" t="n">
        <f aca="false">E349+F349</f>
        <v>0</v>
      </c>
      <c r="H349" s="33" t="str">
        <f aca="false">IF(G349&gt;D349,"Vượt KL HĐ","")</f>
        <v/>
      </c>
    </row>
    <row r="350" customFormat="false" ht="15" hidden="false" customHeight="false" outlineLevel="0" collapsed="false">
      <c r="A350" s="29" t="s">
        <v>704</v>
      </c>
      <c r="B350" s="27" t="s">
        <v>705</v>
      </c>
      <c r="C350" s="29" t="s">
        <v>131</v>
      </c>
      <c r="D350" s="30" t="n">
        <v>8.4</v>
      </c>
      <c r="E350" s="31" t="n">
        <v>0</v>
      </c>
      <c r="F350" s="31" t="n">
        <v>0</v>
      </c>
      <c r="G350" s="32" t="n">
        <f aca="false">E350+F350</f>
        <v>0</v>
      </c>
      <c r="H350" s="33" t="str">
        <f aca="false">IF(G350&gt;D350,"Vượt KL HĐ","")</f>
        <v/>
      </c>
    </row>
    <row r="351" customFormat="false" ht="15" hidden="false" customHeight="false" outlineLevel="0" collapsed="false">
      <c r="A351" s="29" t="s">
        <v>706</v>
      </c>
      <c r="B351" s="27" t="s">
        <v>707</v>
      </c>
      <c r="C351" s="29" t="s">
        <v>587</v>
      </c>
      <c r="D351" s="30" t="n">
        <v>2.5337</v>
      </c>
      <c r="E351" s="31" t="n">
        <v>0</v>
      </c>
      <c r="F351" s="31" t="n">
        <v>0</v>
      </c>
      <c r="G351" s="32" t="n">
        <f aca="false">E351+F351</f>
        <v>0</v>
      </c>
      <c r="H351" s="33" t="str">
        <f aca="false">IF(G351&gt;D351,"Vượt KL HĐ","")</f>
        <v/>
      </c>
    </row>
    <row r="352" customFormat="false" ht="15" hidden="false" customHeight="false" outlineLevel="0" collapsed="false">
      <c r="A352" s="29" t="s">
        <v>708</v>
      </c>
      <c r="B352" s="27" t="s">
        <v>709</v>
      </c>
      <c r="C352" s="29" t="s">
        <v>116</v>
      </c>
      <c r="D352" s="30" t="n">
        <v>0.3296</v>
      </c>
      <c r="E352" s="31" t="n">
        <v>0</v>
      </c>
      <c r="F352" s="31" t="n">
        <v>0</v>
      </c>
      <c r="G352" s="32" t="n">
        <f aca="false">E352+F352</f>
        <v>0</v>
      </c>
      <c r="H352" s="33" t="str">
        <f aca="false">IF(G352&gt;D352,"Vượt KL HĐ","")</f>
        <v/>
      </c>
    </row>
    <row r="353" customFormat="false" ht="26.85" hidden="false" customHeight="false" outlineLevel="0" collapsed="false">
      <c r="A353" s="29" t="s">
        <v>710</v>
      </c>
      <c r="B353" s="27" t="s">
        <v>711</v>
      </c>
      <c r="C353" s="29" t="s">
        <v>116</v>
      </c>
      <c r="D353" s="30" t="n">
        <v>0.216</v>
      </c>
      <c r="E353" s="31" t="n">
        <v>0</v>
      </c>
      <c r="F353" s="31" t="n">
        <v>0</v>
      </c>
      <c r="G353" s="32" t="n">
        <f aca="false">E353+F353</f>
        <v>0</v>
      </c>
      <c r="H353" s="33" t="str">
        <f aca="false">IF(G353&gt;D353,"Vượt KL HĐ","")</f>
        <v/>
      </c>
    </row>
    <row r="354" customFormat="false" ht="15" hidden="false" customHeight="false" outlineLevel="0" collapsed="false">
      <c r="A354" s="29" t="s">
        <v>712</v>
      </c>
      <c r="B354" s="27" t="s">
        <v>709</v>
      </c>
      <c r="C354" s="29" t="s">
        <v>116</v>
      </c>
      <c r="D354" s="30" t="n">
        <v>0.008</v>
      </c>
      <c r="E354" s="31" t="n">
        <v>0</v>
      </c>
      <c r="F354" s="31" t="n">
        <v>0</v>
      </c>
      <c r="G354" s="32" t="n">
        <f aca="false">E354+F354</f>
        <v>0</v>
      </c>
      <c r="H354" s="33" t="str">
        <f aca="false">IF(G354&gt;D354,"Vượt KL HĐ","")</f>
        <v/>
      </c>
    </row>
    <row r="355" customFormat="false" ht="26.85" hidden="false" customHeight="false" outlineLevel="0" collapsed="false">
      <c r="A355" s="29" t="s">
        <v>713</v>
      </c>
      <c r="B355" s="27" t="s">
        <v>714</v>
      </c>
      <c r="C355" s="29" t="s">
        <v>149</v>
      </c>
      <c r="D355" s="30" t="n">
        <v>0.0126</v>
      </c>
      <c r="E355" s="31" t="n">
        <v>0</v>
      </c>
      <c r="F355" s="31" t="n">
        <v>0</v>
      </c>
      <c r="G355" s="32" t="n">
        <f aca="false">E355+F355</f>
        <v>0</v>
      </c>
      <c r="H355" s="33" t="str">
        <f aca="false">IF(G355&gt;D355,"Vượt KL HĐ","")</f>
        <v/>
      </c>
    </row>
    <row r="356" customFormat="false" ht="15" hidden="false" customHeight="false" outlineLevel="0" collapsed="false">
      <c r="A356" s="29" t="s">
        <v>715</v>
      </c>
      <c r="B356" s="27" t="s">
        <v>531</v>
      </c>
      <c r="C356" s="29" t="s">
        <v>149</v>
      </c>
      <c r="D356" s="30" t="n">
        <v>0.085</v>
      </c>
      <c r="E356" s="31" t="n">
        <v>0</v>
      </c>
      <c r="F356" s="31" t="n">
        <v>0</v>
      </c>
      <c r="G356" s="32" t="n">
        <f aca="false">E356+F356</f>
        <v>0</v>
      </c>
      <c r="H356" s="33" t="str">
        <f aca="false">IF(G356&gt;D356,"Vượt KL HĐ","")</f>
        <v/>
      </c>
    </row>
    <row r="357" customFormat="false" ht="15" hidden="false" customHeight="false" outlineLevel="0" collapsed="false">
      <c r="A357" s="29" t="s">
        <v>716</v>
      </c>
      <c r="B357" s="27" t="s">
        <v>717</v>
      </c>
      <c r="C357" s="29" t="s">
        <v>116</v>
      </c>
      <c r="D357" s="30" t="n">
        <v>0.6591</v>
      </c>
      <c r="E357" s="31" t="n">
        <v>0</v>
      </c>
      <c r="F357" s="31" t="n">
        <v>0</v>
      </c>
      <c r="G357" s="32" t="n">
        <f aca="false">E357+F357</f>
        <v>0</v>
      </c>
      <c r="H357" s="33" t="str">
        <f aca="false">IF(G357&gt;D357,"Vượt KL HĐ","")</f>
        <v/>
      </c>
    </row>
    <row r="358" customFormat="false" ht="15" hidden="false" customHeight="false" outlineLevel="0" collapsed="false">
      <c r="A358" s="29" t="s">
        <v>718</v>
      </c>
      <c r="B358" s="27" t="s">
        <v>719</v>
      </c>
      <c r="C358" s="29" t="s">
        <v>131</v>
      </c>
      <c r="D358" s="30" t="n">
        <v>4.644</v>
      </c>
      <c r="E358" s="31" t="n">
        <v>0</v>
      </c>
      <c r="F358" s="31" t="n">
        <v>0</v>
      </c>
      <c r="G358" s="32" t="n">
        <f aca="false">E358+F358</f>
        <v>0</v>
      </c>
      <c r="H358" s="33" t="str">
        <f aca="false">IF(G358&gt;D358,"Vượt KL HĐ","")</f>
        <v/>
      </c>
    </row>
    <row r="359" customFormat="false" ht="15" hidden="false" customHeight="false" outlineLevel="0" collapsed="false">
      <c r="A359" s="29" t="s">
        <v>720</v>
      </c>
      <c r="B359" s="27" t="s">
        <v>721</v>
      </c>
      <c r="C359" s="29" t="s">
        <v>131</v>
      </c>
      <c r="D359" s="30" t="n">
        <v>2.72</v>
      </c>
      <c r="E359" s="31" t="n">
        <v>0</v>
      </c>
      <c r="F359" s="31" t="n">
        <v>0</v>
      </c>
      <c r="G359" s="32" t="n">
        <f aca="false">E359+F359</f>
        <v>0</v>
      </c>
      <c r="H359" s="33" t="str">
        <f aca="false">IF(G359&gt;D359,"Vượt KL HĐ","")</f>
        <v/>
      </c>
    </row>
    <row r="360" customFormat="false" ht="26.85" hidden="false" customHeight="false" outlineLevel="0" collapsed="false">
      <c r="A360" s="29" t="s">
        <v>722</v>
      </c>
      <c r="B360" s="27" t="s">
        <v>723</v>
      </c>
      <c r="C360" s="29" t="s">
        <v>106</v>
      </c>
      <c r="D360" s="30" t="n">
        <v>0.0113</v>
      </c>
      <c r="E360" s="31" t="n">
        <v>0</v>
      </c>
      <c r="F360" s="31" t="n">
        <v>0</v>
      </c>
      <c r="G360" s="32" t="n">
        <f aca="false">E360+F360</f>
        <v>0</v>
      </c>
      <c r="H360" s="33" t="str">
        <f aca="false">IF(G360&gt;D360,"Vượt KL HĐ","")</f>
        <v/>
      </c>
    </row>
    <row r="361" customFormat="false" ht="15" hidden="false" customHeight="false" outlineLevel="0" collapsed="false">
      <c r="A361" s="29" t="s">
        <v>724</v>
      </c>
      <c r="B361" s="27" t="s">
        <v>699</v>
      </c>
      <c r="C361" s="29" t="s">
        <v>111</v>
      </c>
      <c r="D361" s="30" t="n">
        <v>0.0194</v>
      </c>
      <c r="E361" s="31" t="n">
        <v>0</v>
      </c>
      <c r="F361" s="31" t="n">
        <v>0</v>
      </c>
      <c r="G361" s="32" t="n">
        <f aca="false">E361+F361</f>
        <v>0</v>
      </c>
      <c r="H361" s="33" t="str">
        <f aca="false">IF(G361&gt;D361,"Vượt KL HĐ","")</f>
        <v/>
      </c>
    </row>
    <row r="362" customFormat="false" ht="15" hidden="false" customHeight="false" outlineLevel="0" collapsed="false">
      <c r="A362" s="29" t="s">
        <v>725</v>
      </c>
      <c r="B362" s="27" t="s">
        <v>726</v>
      </c>
      <c r="C362" s="29" t="s">
        <v>160</v>
      </c>
      <c r="D362" s="30" t="n">
        <v>2</v>
      </c>
      <c r="E362" s="31" t="n">
        <v>0</v>
      </c>
      <c r="F362" s="31" t="n">
        <v>0</v>
      </c>
      <c r="G362" s="32" t="n">
        <f aca="false">E362+F362</f>
        <v>0</v>
      </c>
      <c r="H362" s="33" t="str">
        <f aca="false">IF(G362&gt;D362,"Vượt KL HĐ","")</f>
        <v/>
      </c>
    </row>
    <row r="363" customFormat="false" ht="26.85" hidden="false" customHeight="false" outlineLevel="0" collapsed="false">
      <c r="A363" s="12" t="s">
        <v>727</v>
      </c>
      <c r="B363" s="13" t="s">
        <v>728</v>
      </c>
      <c r="C363" s="27"/>
      <c r="D363" s="27"/>
      <c r="E363" s="27"/>
      <c r="F363" s="27"/>
      <c r="G363" s="27"/>
      <c r="H363" s="27"/>
    </row>
    <row r="364" customFormat="false" ht="15" hidden="false" customHeight="false" outlineLevel="0" collapsed="false">
      <c r="A364" s="29" t="s">
        <v>729</v>
      </c>
      <c r="B364" s="27" t="s">
        <v>730</v>
      </c>
      <c r="C364" s="29" t="s">
        <v>731</v>
      </c>
      <c r="D364" s="30" t="n">
        <v>1</v>
      </c>
      <c r="E364" s="31" t="n">
        <v>0</v>
      </c>
      <c r="F364" s="31" t="n">
        <v>0</v>
      </c>
      <c r="G364" s="32" t="n">
        <f aca="false">E364+F364</f>
        <v>0</v>
      </c>
      <c r="H364" s="33" t="str">
        <f aca="false">IF(G364&gt;D364,"Vượt KL HĐ","")</f>
        <v/>
      </c>
    </row>
    <row r="365" customFormat="false" ht="15" hidden="false" customHeight="false" outlineLevel="0" collapsed="false">
      <c r="A365" s="29" t="s">
        <v>732</v>
      </c>
      <c r="B365" s="27" t="s">
        <v>733</v>
      </c>
      <c r="C365" s="29" t="s">
        <v>731</v>
      </c>
      <c r="D365" s="30" t="n">
        <v>1</v>
      </c>
      <c r="E365" s="31" t="n">
        <v>0</v>
      </c>
      <c r="F365" s="31" t="n">
        <v>0</v>
      </c>
      <c r="G365" s="32" t="n">
        <f aca="false">E365+F365</f>
        <v>0</v>
      </c>
      <c r="H365" s="33" t="str">
        <f aca="false">IF(G365&gt;D365,"Vượt KL HĐ","")</f>
        <v/>
      </c>
    </row>
    <row r="366" customFormat="false" ht="26.85" hidden="false" customHeight="false" outlineLevel="0" collapsed="false">
      <c r="A366" s="29" t="s">
        <v>734</v>
      </c>
      <c r="B366" s="27" t="s">
        <v>735</v>
      </c>
      <c r="C366" s="29" t="s">
        <v>731</v>
      </c>
      <c r="D366" s="30" t="n">
        <v>1</v>
      </c>
      <c r="E366" s="31" t="n">
        <v>0</v>
      </c>
      <c r="F366" s="31" t="n">
        <v>0</v>
      </c>
      <c r="G366" s="32" t="n">
        <f aca="false">E366+F366</f>
        <v>0</v>
      </c>
      <c r="H366" s="33" t="str">
        <f aca="false">IF(G366&gt;D366,"Vượt KL HĐ","")</f>
        <v/>
      </c>
    </row>
    <row r="367" customFormat="false" ht="15" hidden="false" customHeight="false" outlineLevel="0" collapsed="false">
      <c r="A367" s="29" t="s">
        <v>736</v>
      </c>
      <c r="B367" s="27" t="s">
        <v>737</v>
      </c>
      <c r="C367" s="29" t="s">
        <v>731</v>
      </c>
      <c r="D367" s="30" t="n">
        <v>1</v>
      </c>
      <c r="E367" s="31" t="n">
        <v>0</v>
      </c>
      <c r="F367" s="31" t="n">
        <v>0</v>
      </c>
      <c r="G367" s="32" t="n">
        <f aca="false">E367+F367</f>
        <v>0</v>
      </c>
      <c r="H367" s="33" t="str">
        <f aca="false">IF(G367&gt;D367,"Vượt KL HĐ","")</f>
        <v/>
      </c>
    </row>
    <row r="368" customFormat="false" ht="15" hidden="false" customHeight="false" outlineLevel="0" collapsed="false">
      <c r="A368" s="29" t="s">
        <v>738</v>
      </c>
      <c r="B368" s="27" t="s">
        <v>739</v>
      </c>
      <c r="C368" s="29" t="s">
        <v>731</v>
      </c>
      <c r="D368" s="30" t="n">
        <v>1</v>
      </c>
      <c r="E368" s="31" t="n">
        <v>0</v>
      </c>
      <c r="F368" s="31" t="n">
        <v>0</v>
      </c>
      <c r="G368" s="32" t="n">
        <f aca="false">E368+F368</f>
        <v>0</v>
      </c>
      <c r="H368" s="33" t="str">
        <f aca="false">IF(G368&gt;D368,"Vượt KL HĐ","")</f>
        <v/>
      </c>
    </row>
    <row r="369" customFormat="false" ht="15" hidden="false" customHeight="false" outlineLevel="0" collapsed="false">
      <c r="A369" s="29" t="s">
        <v>740</v>
      </c>
      <c r="B369" s="27" t="s">
        <v>741</v>
      </c>
      <c r="C369" s="29" t="s">
        <v>731</v>
      </c>
      <c r="D369" s="30" t="n">
        <v>1</v>
      </c>
      <c r="E369" s="31" t="n">
        <v>0</v>
      </c>
      <c r="F369" s="31" t="n">
        <v>0</v>
      </c>
      <c r="G369" s="32" t="n">
        <f aca="false">E369+F369</f>
        <v>0</v>
      </c>
      <c r="H369" s="33" t="str">
        <f aca="false">IF(G369&gt;D369,"Vượt KL HĐ","")</f>
        <v/>
      </c>
    </row>
    <row r="370" customFormat="false" ht="15" hidden="false" customHeight="false" outlineLevel="0" collapsed="false">
      <c r="A370" s="29" t="s">
        <v>742</v>
      </c>
      <c r="B370" s="27" t="s">
        <v>743</v>
      </c>
      <c r="C370" s="29" t="s">
        <v>731</v>
      </c>
      <c r="D370" s="30" t="n">
        <v>1</v>
      </c>
      <c r="E370" s="31" t="n">
        <v>0</v>
      </c>
      <c r="F370" s="31" t="n">
        <v>0</v>
      </c>
      <c r="G370" s="32" t="n">
        <f aca="false">E370+F370</f>
        <v>0</v>
      </c>
      <c r="H370" s="33" t="str">
        <f aca="false">IF(G370&gt;D370,"Vượt KL HĐ","")</f>
        <v/>
      </c>
    </row>
    <row r="371" customFormat="false" ht="15" hidden="false" customHeight="false" outlineLevel="0" collapsed="false">
      <c r="A371" s="29" t="s">
        <v>744</v>
      </c>
      <c r="B371" s="27" t="s">
        <v>745</v>
      </c>
      <c r="C371" s="29" t="s">
        <v>731</v>
      </c>
      <c r="D371" s="30" t="n">
        <v>1</v>
      </c>
      <c r="E371" s="31" t="n">
        <v>0</v>
      </c>
      <c r="F371" s="31" t="n">
        <v>0</v>
      </c>
      <c r="G371" s="32" t="n">
        <f aca="false">E371+F371</f>
        <v>0</v>
      </c>
      <c r="H371" s="33" t="str">
        <f aca="false">IF(G371&gt;D371,"Vượt KL HĐ","")</f>
        <v/>
      </c>
    </row>
    <row r="372" customFormat="false" ht="15" hidden="false" customHeight="false" outlineLevel="0" collapsed="false">
      <c r="A372" s="29" t="s">
        <v>746</v>
      </c>
      <c r="B372" s="27" t="s">
        <v>747</v>
      </c>
      <c r="C372" s="29" t="s">
        <v>748</v>
      </c>
      <c r="D372" s="30" t="n">
        <v>8</v>
      </c>
      <c r="E372" s="31" t="n">
        <v>0</v>
      </c>
      <c r="F372" s="31" t="n">
        <v>0</v>
      </c>
      <c r="G372" s="32" t="n">
        <f aca="false">E372+F372</f>
        <v>0</v>
      </c>
      <c r="H372" s="33" t="str">
        <f aca="false">IF(G372&gt;D372,"Vượt KL HĐ","")</f>
        <v/>
      </c>
    </row>
    <row r="373" customFormat="false" ht="15" hidden="false" customHeight="false" outlineLevel="0" collapsed="false">
      <c r="A373" s="29" t="s">
        <v>749</v>
      </c>
      <c r="B373" s="27" t="s">
        <v>750</v>
      </c>
      <c r="C373" s="29" t="s">
        <v>731</v>
      </c>
      <c r="D373" s="30" t="n">
        <v>1</v>
      </c>
      <c r="E373" s="31" t="n">
        <v>0</v>
      </c>
      <c r="F373" s="31" t="n">
        <v>0</v>
      </c>
      <c r="G373" s="32" t="n">
        <f aca="false">E373+F373</f>
        <v>0</v>
      </c>
      <c r="H373" s="33" t="str">
        <f aca="false">IF(G373&gt;D373,"Vượt KL HĐ","")</f>
        <v/>
      </c>
    </row>
    <row r="374" customFormat="false" ht="15" hidden="false" customHeight="false" outlineLevel="0" collapsed="false">
      <c r="A374" s="29" t="s">
        <v>751</v>
      </c>
      <c r="B374" s="27" t="s">
        <v>752</v>
      </c>
      <c r="C374" s="29" t="s">
        <v>731</v>
      </c>
      <c r="D374" s="30" t="n">
        <v>1</v>
      </c>
      <c r="E374" s="31" t="n">
        <v>0</v>
      </c>
      <c r="F374" s="31" t="n">
        <v>0</v>
      </c>
      <c r="G374" s="32" t="n">
        <f aca="false">E374+F374</f>
        <v>0</v>
      </c>
      <c r="H374" s="33" t="str">
        <f aca="false">IF(G374&gt;D374,"Vượt KL HĐ","")</f>
        <v/>
      </c>
    </row>
    <row r="375" customFormat="false" ht="15" hidden="false" customHeight="false" outlineLevel="0" collapsed="false">
      <c r="A375" s="29" t="s">
        <v>753</v>
      </c>
      <c r="B375" s="27" t="s">
        <v>754</v>
      </c>
      <c r="C375" s="29" t="s">
        <v>224</v>
      </c>
      <c r="D375" s="30" t="n">
        <v>146</v>
      </c>
      <c r="E375" s="31" t="n">
        <v>0</v>
      </c>
      <c r="F375" s="31" t="n">
        <v>0</v>
      </c>
      <c r="G375" s="32" t="n">
        <f aca="false">E375+F375</f>
        <v>0</v>
      </c>
      <c r="H375" s="33" t="str">
        <f aca="false">IF(G375&gt;D375,"Vượt KL HĐ","")</f>
        <v/>
      </c>
    </row>
    <row r="376" customFormat="false" ht="15" hidden="false" customHeight="false" outlineLevel="0" collapsed="false">
      <c r="A376" s="29" t="s">
        <v>755</v>
      </c>
      <c r="B376" s="27" t="s">
        <v>756</v>
      </c>
      <c r="C376" s="29" t="s">
        <v>224</v>
      </c>
      <c r="D376" s="30" t="n">
        <v>12</v>
      </c>
      <c r="E376" s="31" t="n">
        <v>0</v>
      </c>
      <c r="F376" s="31" t="n">
        <v>0</v>
      </c>
      <c r="G376" s="32" t="n">
        <f aca="false">E376+F376</f>
        <v>0</v>
      </c>
      <c r="H376" s="33" t="str">
        <f aca="false">IF(G376&gt;D376,"Vượt KL HĐ","")</f>
        <v/>
      </c>
    </row>
    <row r="377" customFormat="false" ht="15" hidden="false" customHeight="false" outlineLevel="0" collapsed="false">
      <c r="A377" s="29" t="s">
        <v>757</v>
      </c>
      <c r="B377" s="27" t="s">
        <v>758</v>
      </c>
      <c r="C377" s="29" t="s">
        <v>759</v>
      </c>
      <c r="D377" s="30" t="n">
        <v>6</v>
      </c>
      <c r="E377" s="31" t="n">
        <v>0</v>
      </c>
      <c r="F377" s="31" t="n">
        <v>0</v>
      </c>
      <c r="G377" s="32" t="n">
        <f aca="false">E377+F377</f>
        <v>0</v>
      </c>
      <c r="H377" s="33" t="str">
        <f aca="false">IF(G377&gt;D377,"Vượt KL HĐ","")</f>
        <v/>
      </c>
    </row>
    <row r="378" customFormat="false" ht="15" hidden="false" customHeight="false" outlineLevel="0" collapsed="false">
      <c r="A378" s="29" t="s">
        <v>760</v>
      </c>
      <c r="B378" s="27" t="s">
        <v>761</v>
      </c>
      <c r="C378" s="29" t="s">
        <v>731</v>
      </c>
      <c r="D378" s="30" t="n">
        <v>1</v>
      </c>
      <c r="E378" s="31" t="n">
        <v>0</v>
      </c>
      <c r="F378" s="31" t="n">
        <v>0</v>
      </c>
      <c r="G378" s="32" t="n">
        <f aca="false">E378+F378</f>
        <v>0</v>
      </c>
      <c r="H378" s="33" t="str">
        <f aca="false">IF(G378&gt;D378,"Vượt KL HĐ","")</f>
        <v/>
      </c>
    </row>
    <row r="379" customFormat="false" ht="15" hidden="false" customHeight="false" outlineLevel="0" collapsed="false">
      <c r="A379" s="29" t="s">
        <v>762</v>
      </c>
      <c r="B379" s="27" t="s">
        <v>763</v>
      </c>
      <c r="C379" s="29" t="s">
        <v>240</v>
      </c>
      <c r="D379" s="30" t="n">
        <v>8</v>
      </c>
      <c r="E379" s="31" t="n">
        <v>0</v>
      </c>
      <c r="F379" s="31" t="n">
        <v>0</v>
      </c>
      <c r="G379" s="32" t="n">
        <f aca="false">E379+F379</f>
        <v>0</v>
      </c>
      <c r="H379" s="33" t="str">
        <f aca="false">IF(G379&gt;D379,"Vượt KL HĐ","")</f>
        <v/>
      </c>
    </row>
    <row r="380" customFormat="false" ht="15" hidden="false" customHeight="false" outlineLevel="0" collapsed="false">
      <c r="A380" s="29" t="s">
        <v>764</v>
      </c>
      <c r="B380" s="27" t="s">
        <v>765</v>
      </c>
      <c r="C380" s="29" t="s">
        <v>240</v>
      </c>
      <c r="D380" s="30" t="n">
        <v>2</v>
      </c>
      <c r="E380" s="31" t="n">
        <v>0</v>
      </c>
      <c r="F380" s="31" t="n">
        <v>0</v>
      </c>
      <c r="G380" s="32" t="n">
        <f aca="false">E380+F380</f>
        <v>0</v>
      </c>
      <c r="H380" s="33" t="str">
        <f aca="false">IF(G380&gt;D380,"Vượt KL HĐ","")</f>
        <v/>
      </c>
    </row>
    <row r="381" customFormat="false" ht="15" hidden="false" customHeight="false" outlineLevel="0" collapsed="false">
      <c r="A381" s="29" t="s">
        <v>766</v>
      </c>
      <c r="B381" s="27" t="s">
        <v>767</v>
      </c>
      <c r="C381" s="29" t="s">
        <v>224</v>
      </c>
      <c r="D381" s="30" t="n">
        <v>27</v>
      </c>
      <c r="E381" s="31" t="n">
        <v>0</v>
      </c>
      <c r="F381" s="31" t="n">
        <v>0</v>
      </c>
      <c r="G381" s="32" t="n">
        <f aca="false">E381+F381</f>
        <v>0</v>
      </c>
      <c r="H381" s="33" t="str">
        <f aca="false">IF(G381&gt;D381,"Vượt KL HĐ","")</f>
        <v/>
      </c>
    </row>
    <row r="382" customFormat="false" ht="15" hidden="false" customHeight="false" outlineLevel="0" collapsed="false">
      <c r="A382" s="29" t="s">
        <v>768</v>
      </c>
      <c r="B382" s="27" t="s">
        <v>769</v>
      </c>
      <c r="C382" s="29" t="s">
        <v>224</v>
      </c>
      <c r="D382" s="30" t="n">
        <v>11</v>
      </c>
      <c r="E382" s="31" t="n">
        <v>0</v>
      </c>
      <c r="F382" s="31" t="n">
        <v>0</v>
      </c>
      <c r="G382" s="32" t="n">
        <f aca="false">E382+F382</f>
        <v>0</v>
      </c>
      <c r="H382" s="33" t="str">
        <f aca="false">IF(G382&gt;D382,"Vượt KL HĐ","")</f>
        <v/>
      </c>
    </row>
    <row r="383" customFormat="false" ht="15" hidden="false" customHeight="false" outlineLevel="0" collapsed="false">
      <c r="A383" s="29" t="s">
        <v>770</v>
      </c>
      <c r="B383" s="27" t="s">
        <v>771</v>
      </c>
      <c r="C383" s="29" t="s">
        <v>224</v>
      </c>
      <c r="D383" s="30" t="n">
        <v>124</v>
      </c>
      <c r="E383" s="31" t="n">
        <v>0</v>
      </c>
      <c r="F383" s="31" t="n">
        <v>0</v>
      </c>
      <c r="G383" s="32" t="n">
        <f aca="false">E383+F383</f>
        <v>0</v>
      </c>
      <c r="H383" s="33" t="str">
        <f aca="false">IF(G383&gt;D383,"Vượt KL HĐ","")</f>
        <v/>
      </c>
    </row>
    <row r="384" customFormat="false" ht="15" hidden="false" customHeight="false" outlineLevel="0" collapsed="false">
      <c r="A384" s="29" t="s">
        <v>772</v>
      </c>
      <c r="B384" s="27" t="s">
        <v>773</v>
      </c>
      <c r="C384" s="29" t="s">
        <v>224</v>
      </c>
      <c r="D384" s="30" t="n">
        <v>15</v>
      </c>
      <c r="E384" s="31" t="n">
        <v>0</v>
      </c>
      <c r="F384" s="31" t="n">
        <v>0</v>
      </c>
      <c r="G384" s="32" t="n">
        <f aca="false">E384+F384</f>
        <v>0</v>
      </c>
      <c r="H384" s="33" t="str">
        <f aca="false">IF(G384&gt;D384,"Vượt KL HĐ","")</f>
        <v/>
      </c>
    </row>
    <row r="385" customFormat="false" ht="15" hidden="false" customHeight="false" outlineLevel="0" collapsed="false">
      <c r="A385" s="29" t="s">
        <v>774</v>
      </c>
      <c r="B385" s="27" t="s">
        <v>775</v>
      </c>
      <c r="C385" s="29" t="s">
        <v>731</v>
      </c>
      <c r="D385" s="30" t="n">
        <v>1</v>
      </c>
      <c r="E385" s="31" t="n">
        <v>0</v>
      </c>
      <c r="F385" s="31" t="n">
        <v>0</v>
      </c>
      <c r="G385" s="32" t="n">
        <f aca="false">E385+F385</f>
        <v>0</v>
      </c>
      <c r="H385" s="33" t="str">
        <f aca="false">IF(G385&gt;D385,"Vượt KL HĐ","")</f>
        <v/>
      </c>
    </row>
    <row r="386" customFormat="false" ht="15" hidden="false" customHeight="false" outlineLevel="0" collapsed="false">
      <c r="A386" s="29" t="s">
        <v>776</v>
      </c>
      <c r="B386" s="27" t="s">
        <v>777</v>
      </c>
      <c r="C386" s="29" t="s">
        <v>778</v>
      </c>
      <c r="D386" s="30" t="n">
        <v>1</v>
      </c>
      <c r="E386" s="31" t="n">
        <v>0</v>
      </c>
      <c r="F386" s="31" t="n">
        <v>0</v>
      </c>
      <c r="G386" s="32" t="n">
        <f aca="false">E386+F386</f>
        <v>0</v>
      </c>
      <c r="H386" s="33" t="str">
        <f aca="false">IF(G386&gt;D386,"Vượt KL HĐ","")</f>
        <v/>
      </c>
    </row>
    <row r="387" customFormat="false" ht="15" hidden="false" customHeight="false" outlineLevel="0" collapsed="false">
      <c r="A387" s="29" t="s">
        <v>779</v>
      </c>
      <c r="B387" s="27" t="s">
        <v>780</v>
      </c>
      <c r="C387" s="29" t="s">
        <v>778</v>
      </c>
      <c r="D387" s="30" t="n">
        <v>1</v>
      </c>
      <c r="E387" s="31" t="n">
        <v>0</v>
      </c>
      <c r="F387" s="31" t="n">
        <v>0</v>
      </c>
      <c r="G387" s="32" t="n">
        <f aca="false">E387+F387</f>
        <v>0</v>
      </c>
      <c r="H387" s="33" t="str">
        <f aca="false">IF(G387&gt;D387,"Vượt KL HĐ","")</f>
        <v/>
      </c>
    </row>
    <row r="388" customFormat="false" ht="15" hidden="false" customHeight="false" outlineLevel="0" collapsed="false">
      <c r="A388" s="29" t="s">
        <v>781</v>
      </c>
      <c r="B388" s="27" t="s">
        <v>782</v>
      </c>
      <c r="C388" s="29" t="s">
        <v>224</v>
      </c>
      <c r="D388" s="30" t="n">
        <v>36</v>
      </c>
      <c r="E388" s="31" t="n">
        <v>0</v>
      </c>
      <c r="F388" s="31" t="n">
        <v>0</v>
      </c>
      <c r="G388" s="32" t="n">
        <f aca="false">E388+F388</f>
        <v>0</v>
      </c>
      <c r="H388" s="33" t="str">
        <f aca="false">IF(G388&gt;D388,"Vượt KL HĐ","")</f>
        <v/>
      </c>
    </row>
    <row r="389" customFormat="false" ht="15" hidden="false" customHeight="false" outlineLevel="0" collapsed="false">
      <c r="A389" s="29" t="s">
        <v>783</v>
      </c>
      <c r="B389" s="27" t="s">
        <v>784</v>
      </c>
      <c r="C389" s="29" t="s">
        <v>759</v>
      </c>
      <c r="D389" s="30" t="n">
        <v>8</v>
      </c>
      <c r="E389" s="31" t="n">
        <v>0</v>
      </c>
      <c r="F389" s="31" t="n">
        <v>0</v>
      </c>
      <c r="G389" s="32" t="n">
        <f aca="false">E389+F389</f>
        <v>0</v>
      </c>
      <c r="H389" s="33" t="str">
        <f aca="false">IF(G389&gt;D389,"Vượt KL HĐ","")</f>
        <v/>
      </c>
    </row>
    <row r="390" customFormat="false" ht="15" hidden="false" customHeight="false" outlineLevel="0" collapsed="false">
      <c r="A390" s="29" t="s">
        <v>785</v>
      </c>
      <c r="B390" s="27" t="s">
        <v>786</v>
      </c>
      <c r="C390" s="29" t="s">
        <v>759</v>
      </c>
      <c r="D390" s="30" t="n">
        <v>9</v>
      </c>
      <c r="E390" s="31" t="n">
        <v>0</v>
      </c>
      <c r="F390" s="31" t="n">
        <v>0</v>
      </c>
      <c r="G390" s="32" t="n">
        <f aca="false">E390+F390</f>
        <v>0</v>
      </c>
      <c r="H390" s="33" t="str">
        <f aca="false">IF(G390&gt;D390,"Vượt KL HĐ","")</f>
        <v/>
      </c>
    </row>
    <row r="391" customFormat="false" ht="15" hidden="false" customHeight="false" outlineLevel="0" collapsed="false">
      <c r="A391" s="29" t="s">
        <v>787</v>
      </c>
      <c r="B391" s="27" t="s">
        <v>788</v>
      </c>
      <c r="C391" s="29" t="s">
        <v>240</v>
      </c>
      <c r="D391" s="30" t="n">
        <v>12</v>
      </c>
      <c r="E391" s="31" t="n">
        <v>0</v>
      </c>
      <c r="F391" s="31" t="n">
        <v>0</v>
      </c>
      <c r="G391" s="32" t="n">
        <f aca="false">E391+F391</f>
        <v>0</v>
      </c>
      <c r="H391" s="33" t="str">
        <f aca="false">IF(G391&gt;D391,"Vượt KL HĐ","")</f>
        <v/>
      </c>
    </row>
    <row r="392" customFormat="false" ht="15" hidden="false" customHeight="false" outlineLevel="0" collapsed="false">
      <c r="A392" s="29" t="s">
        <v>789</v>
      </c>
      <c r="B392" s="27" t="s">
        <v>790</v>
      </c>
      <c r="C392" s="29" t="s">
        <v>193</v>
      </c>
      <c r="D392" s="30" t="n">
        <v>2</v>
      </c>
      <c r="E392" s="31" t="n">
        <v>0</v>
      </c>
      <c r="F392" s="31" t="n">
        <v>0</v>
      </c>
      <c r="G392" s="32" t="n">
        <f aca="false">E392+F392</f>
        <v>0</v>
      </c>
      <c r="H392" s="33" t="str">
        <f aca="false">IF(G392&gt;D392,"Vượt KL HĐ","")</f>
        <v/>
      </c>
    </row>
    <row r="393" customFormat="false" ht="15" hidden="false" customHeight="false" outlineLevel="0" collapsed="false">
      <c r="A393" s="29" t="s">
        <v>791</v>
      </c>
      <c r="B393" s="27" t="s">
        <v>792</v>
      </c>
      <c r="C393" s="29" t="s">
        <v>574</v>
      </c>
      <c r="D393" s="30" t="n">
        <v>1</v>
      </c>
      <c r="E393" s="31" t="n">
        <v>0</v>
      </c>
      <c r="F393" s="31" t="n">
        <v>0</v>
      </c>
      <c r="G393" s="32" t="n">
        <f aca="false">E393+F393</f>
        <v>0</v>
      </c>
      <c r="H393" s="33" t="str">
        <f aca="false">IF(G393&gt;D393,"Vượt KL HĐ","")</f>
        <v/>
      </c>
    </row>
    <row r="394" customFormat="false" ht="15" hidden="false" customHeight="false" outlineLevel="0" collapsed="false">
      <c r="A394" s="12" t="s">
        <v>793</v>
      </c>
      <c r="B394" s="13" t="s">
        <v>794</v>
      </c>
      <c r="C394" s="27"/>
      <c r="D394" s="27"/>
      <c r="E394" s="27"/>
      <c r="F394" s="27"/>
      <c r="G394" s="27"/>
      <c r="H394" s="27"/>
    </row>
    <row r="395" customFormat="false" ht="15" hidden="false" customHeight="false" outlineLevel="0" collapsed="false">
      <c r="A395" s="29" t="s">
        <v>795</v>
      </c>
      <c r="B395" s="27" t="s">
        <v>796</v>
      </c>
      <c r="C395" s="29" t="s">
        <v>797</v>
      </c>
      <c r="D395" s="30" t="n">
        <v>1</v>
      </c>
      <c r="E395" s="31" t="n">
        <v>0</v>
      </c>
      <c r="F395" s="31" t="n">
        <v>0</v>
      </c>
      <c r="G395" s="32" t="n">
        <f aca="false">E395+F395</f>
        <v>0</v>
      </c>
      <c r="H395" s="33" t="str">
        <f aca="false">IF(G395&gt;D395,"Vượt KL HĐ","")</f>
        <v/>
      </c>
    </row>
    <row r="396" customFormat="false" ht="15" hidden="false" customHeight="false" outlineLevel="0" collapsed="false">
      <c r="A396" s="29" t="s">
        <v>798</v>
      </c>
      <c r="B396" s="27" t="s">
        <v>799</v>
      </c>
      <c r="C396" s="29" t="s">
        <v>193</v>
      </c>
      <c r="D396" s="30" t="n">
        <v>1</v>
      </c>
      <c r="E396" s="31" t="n">
        <v>0</v>
      </c>
      <c r="F396" s="31" t="n">
        <v>0</v>
      </c>
      <c r="G396" s="32" t="n">
        <f aca="false">E396+F396</f>
        <v>0</v>
      </c>
      <c r="H396" s="33" t="str">
        <f aca="false">IF(G396&gt;D396,"Vượt KL HĐ","")</f>
        <v/>
      </c>
    </row>
    <row r="397" customFormat="false" ht="15" hidden="false" customHeight="false" outlineLevel="0" collapsed="false">
      <c r="A397" s="29" t="s">
        <v>800</v>
      </c>
      <c r="B397" s="27" t="s">
        <v>801</v>
      </c>
      <c r="C397" s="29" t="s">
        <v>224</v>
      </c>
      <c r="D397" s="30" t="n">
        <v>30</v>
      </c>
      <c r="E397" s="31" t="n">
        <v>0</v>
      </c>
      <c r="F397" s="31" t="n">
        <v>0</v>
      </c>
      <c r="G397" s="32" t="n">
        <f aca="false">E397+F397</f>
        <v>0</v>
      </c>
      <c r="H397" s="33" t="str">
        <f aca="false">IF(G397&gt;D397,"Vượt KL HĐ","")</f>
        <v/>
      </c>
    </row>
    <row r="398" customFormat="false" ht="15" hidden="false" customHeight="false" outlineLevel="0" collapsed="false">
      <c r="A398" s="29" t="s">
        <v>802</v>
      </c>
      <c r="B398" s="27" t="s">
        <v>803</v>
      </c>
      <c r="C398" s="29" t="s">
        <v>240</v>
      </c>
      <c r="D398" s="30" t="n">
        <v>2</v>
      </c>
      <c r="E398" s="31" t="n">
        <v>0</v>
      </c>
      <c r="F398" s="31" t="n">
        <v>0</v>
      </c>
      <c r="G398" s="32" t="n">
        <f aca="false">E398+F398</f>
        <v>0</v>
      </c>
      <c r="H398" s="33" t="str">
        <f aca="false">IF(G398&gt;D398,"Vượt KL HĐ","")</f>
        <v/>
      </c>
    </row>
    <row r="399" customFormat="false" ht="15" hidden="false" customHeight="false" outlineLevel="0" collapsed="false">
      <c r="A399" s="29" t="s">
        <v>804</v>
      </c>
      <c r="B399" s="27" t="s">
        <v>805</v>
      </c>
      <c r="C399" s="29" t="s">
        <v>224</v>
      </c>
      <c r="D399" s="30" t="n">
        <v>35</v>
      </c>
      <c r="E399" s="31" t="n">
        <v>0</v>
      </c>
      <c r="F399" s="31" t="n">
        <v>0</v>
      </c>
      <c r="G399" s="32" t="n">
        <f aca="false">E399+F399</f>
        <v>0</v>
      </c>
      <c r="H399" s="33" t="str">
        <f aca="false">IF(G399&gt;D399,"Vượt KL HĐ","")</f>
        <v/>
      </c>
    </row>
    <row r="400" customFormat="false" ht="15" hidden="false" customHeight="false" outlineLevel="0" collapsed="false">
      <c r="A400" s="29" t="s">
        <v>806</v>
      </c>
      <c r="B400" s="27" t="s">
        <v>807</v>
      </c>
      <c r="C400" s="29" t="s">
        <v>224</v>
      </c>
      <c r="D400" s="30" t="n">
        <v>12</v>
      </c>
      <c r="E400" s="31" t="n">
        <v>0</v>
      </c>
      <c r="F400" s="31" t="n">
        <v>0</v>
      </c>
      <c r="G400" s="32" t="n">
        <f aca="false">E400+F400</f>
        <v>0</v>
      </c>
      <c r="H400" s="33" t="str">
        <f aca="false">IF(G400&gt;D400,"Vượt KL HĐ","")</f>
        <v/>
      </c>
    </row>
    <row r="401" customFormat="false" ht="15" hidden="false" customHeight="false" outlineLevel="0" collapsed="false">
      <c r="A401" s="29" t="s">
        <v>808</v>
      </c>
      <c r="B401" s="27" t="s">
        <v>809</v>
      </c>
      <c r="C401" s="29" t="s">
        <v>240</v>
      </c>
      <c r="D401" s="30" t="n">
        <v>14</v>
      </c>
      <c r="E401" s="31" t="n">
        <v>0</v>
      </c>
      <c r="F401" s="31" t="n">
        <v>0</v>
      </c>
      <c r="G401" s="32" t="n">
        <f aca="false">E401+F401</f>
        <v>0</v>
      </c>
      <c r="H401" s="33" t="str">
        <f aca="false">IF(G401&gt;D401,"Vượt KL HĐ","")</f>
        <v/>
      </c>
    </row>
    <row r="402" customFormat="false" ht="15" hidden="false" customHeight="false" outlineLevel="0" collapsed="false">
      <c r="A402" s="29" t="s">
        <v>810</v>
      </c>
      <c r="B402" s="27" t="s">
        <v>811</v>
      </c>
      <c r="C402" s="29" t="s">
        <v>193</v>
      </c>
      <c r="D402" s="30" t="n">
        <v>2</v>
      </c>
      <c r="E402" s="31" t="n">
        <v>0</v>
      </c>
      <c r="F402" s="31" t="n">
        <v>0</v>
      </c>
      <c r="G402" s="32" t="n">
        <f aca="false">E402+F402</f>
        <v>0</v>
      </c>
      <c r="H402" s="33" t="str">
        <f aca="false">IF(G402&gt;D402,"Vượt KL HĐ","")</f>
        <v/>
      </c>
    </row>
    <row r="403" customFormat="false" ht="15" hidden="false" customHeight="false" outlineLevel="0" collapsed="false">
      <c r="A403" s="29" t="s">
        <v>812</v>
      </c>
      <c r="B403" s="27" t="s">
        <v>813</v>
      </c>
      <c r="C403" s="29" t="s">
        <v>814</v>
      </c>
      <c r="D403" s="30" t="n">
        <v>1</v>
      </c>
      <c r="E403" s="31" t="n">
        <v>0</v>
      </c>
      <c r="F403" s="31" t="n">
        <v>0</v>
      </c>
      <c r="G403" s="32" t="n">
        <f aca="false">E403+F403</f>
        <v>0</v>
      </c>
      <c r="H403" s="33" t="str">
        <f aca="false">IF(G403&gt;D403,"Vượt KL HĐ","")</f>
        <v/>
      </c>
    </row>
    <row r="404" customFormat="false" ht="15" hidden="false" customHeight="false" outlineLevel="0" collapsed="false">
      <c r="A404" s="29" t="s">
        <v>815</v>
      </c>
      <c r="B404" s="27" t="s">
        <v>792</v>
      </c>
      <c r="C404" s="29" t="s">
        <v>574</v>
      </c>
      <c r="D404" s="30" t="n">
        <v>1</v>
      </c>
      <c r="E404" s="31" t="n">
        <v>0</v>
      </c>
      <c r="F404" s="31" t="n">
        <v>0</v>
      </c>
      <c r="G404" s="32" t="n">
        <f aca="false">E404+F404</f>
        <v>0</v>
      </c>
      <c r="H404" s="33" t="str">
        <f aca="false">IF(G404&gt;D404,"Vượt KL HĐ","")</f>
        <v/>
      </c>
    </row>
    <row r="405" customFormat="false" ht="15" hidden="false" customHeight="false" outlineLevel="0" collapsed="false">
      <c r="A405" s="12" t="s">
        <v>816</v>
      </c>
      <c r="B405" s="13" t="s">
        <v>817</v>
      </c>
      <c r="C405" s="27"/>
      <c r="D405" s="27"/>
      <c r="E405" s="27"/>
      <c r="F405" s="27"/>
      <c r="G405" s="27"/>
      <c r="H405" s="27"/>
    </row>
    <row r="406" customFormat="false" ht="15" hidden="false" customHeight="false" outlineLevel="0" collapsed="false">
      <c r="A406" s="29" t="s">
        <v>818</v>
      </c>
      <c r="B406" s="27" t="s">
        <v>819</v>
      </c>
      <c r="C406" s="29" t="s">
        <v>224</v>
      </c>
      <c r="D406" s="30" t="n">
        <v>50</v>
      </c>
      <c r="E406" s="31" t="n">
        <v>0</v>
      </c>
      <c r="F406" s="31" t="n">
        <v>0</v>
      </c>
      <c r="G406" s="32" t="n">
        <f aca="false">E406+F406</f>
        <v>0</v>
      </c>
      <c r="H406" s="33" t="str">
        <f aca="false">IF(G406&gt;D406,"Vượt KL HĐ","")</f>
        <v/>
      </c>
    </row>
    <row r="407" customFormat="false" ht="15" hidden="false" customHeight="false" outlineLevel="0" collapsed="false">
      <c r="A407" s="29" t="s">
        <v>820</v>
      </c>
      <c r="B407" s="27" t="s">
        <v>821</v>
      </c>
      <c r="C407" s="29" t="s">
        <v>224</v>
      </c>
      <c r="D407" s="30" t="n">
        <v>858</v>
      </c>
      <c r="E407" s="31" t="n">
        <v>0</v>
      </c>
      <c r="F407" s="31" t="n">
        <v>0</v>
      </c>
      <c r="G407" s="32" t="n">
        <f aca="false">E407+F407</f>
        <v>0</v>
      </c>
      <c r="H407" s="33" t="str">
        <f aca="false">IF(G407&gt;D407,"Vượt KL HĐ","")</f>
        <v/>
      </c>
    </row>
    <row r="408" customFormat="false" ht="15" hidden="false" customHeight="false" outlineLevel="0" collapsed="false">
      <c r="A408" s="29" t="s">
        <v>822</v>
      </c>
      <c r="B408" s="27" t="s">
        <v>823</v>
      </c>
      <c r="C408" s="29" t="s">
        <v>224</v>
      </c>
      <c r="D408" s="30" t="n">
        <v>2045</v>
      </c>
      <c r="E408" s="31" t="n">
        <v>0</v>
      </c>
      <c r="F408" s="31" t="n">
        <v>0</v>
      </c>
      <c r="G408" s="32" t="n">
        <f aca="false">E408+F408</f>
        <v>0</v>
      </c>
      <c r="H408" s="33" t="str">
        <f aca="false">IF(G408&gt;D408,"Vượt KL HĐ","")</f>
        <v/>
      </c>
    </row>
    <row r="409" customFormat="false" ht="15" hidden="false" customHeight="false" outlineLevel="0" collapsed="false">
      <c r="A409" s="29" t="s">
        <v>824</v>
      </c>
      <c r="B409" s="27" t="s">
        <v>825</v>
      </c>
      <c r="C409" s="29" t="s">
        <v>224</v>
      </c>
      <c r="D409" s="30" t="n">
        <v>158</v>
      </c>
      <c r="E409" s="31" t="n">
        <v>0</v>
      </c>
      <c r="F409" s="31" t="n">
        <v>0</v>
      </c>
      <c r="G409" s="32" t="n">
        <f aca="false">E409+F409</f>
        <v>0</v>
      </c>
      <c r="H409" s="33" t="str">
        <f aca="false">IF(G409&gt;D409,"Vượt KL HĐ","")</f>
        <v/>
      </c>
    </row>
    <row r="410" customFormat="false" ht="15" hidden="false" customHeight="false" outlineLevel="0" collapsed="false">
      <c r="A410" s="29" t="s">
        <v>826</v>
      </c>
      <c r="B410" s="27" t="s">
        <v>827</v>
      </c>
      <c r="C410" s="29" t="s">
        <v>224</v>
      </c>
      <c r="D410" s="30" t="n">
        <v>807</v>
      </c>
      <c r="E410" s="31" t="n">
        <v>0</v>
      </c>
      <c r="F410" s="31" t="n">
        <v>0</v>
      </c>
      <c r="G410" s="32" t="n">
        <f aca="false">E410+F410</f>
        <v>0</v>
      </c>
      <c r="H410" s="33" t="str">
        <f aca="false">IF(G410&gt;D410,"Vượt KL HĐ","")</f>
        <v/>
      </c>
    </row>
    <row r="411" customFormat="false" ht="15" hidden="false" customHeight="false" outlineLevel="0" collapsed="false">
      <c r="A411" s="29" t="s">
        <v>828</v>
      </c>
      <c r="B411" s="27" t="s">
        <v>829</v>
      </c>
      <c r="C411" s="29" t="s">
        <v>224</v>
      </c>
      <c r="D411" s="30" t="n">
        <v>97</v>
      </c>
      <c r="E411" s="31" t="n">
        <v>0</v>
      </c>
      <c r="F411" s="31" t="n">
        <v>0</v>
      </c>
      <c r="G411" s="32" t="n">
        <f aca="false">E411+F411</f>
        <v>0</v>
      </c>
      <c r="H411" s="33" t="str">
        <f aca="false">IF(G411&gt;D411,"Vượt KL HĐ","")</f>
        <v/>
      </c>
    </row>
    <row r="412" customFormat="false" ht="15" hidden="false" customHeight="false" outlineLevel="0" collapsed="false">
      <c r="A412" s="29" t="s">
        <v>830</v>
      </c>
      <c r="B412" s="27" t="s">
        <v>831</v>
      </c>
      <c r="C412" s="29" t="s">
        <v>832</v>
      </c>
      <c r="D412" s="30" t="n">
        <v>8</v>
      </c>
      <c r="E412" s="31" t="n">
        <v>0</v>
      </c>
      <c r="F412" s="31" t="n">
        <v>0</v>
      </c>
      <c r="G412" s="32" t="n">
        <f aca="false">E412+F412</f>
        <v>0</v>
      </c>
      <c r="H412" s="33" t="str">
        <f aca="false">IF(G412&gt;D412,"Vượt KL HĐ","")</f>
        <v/>
      </c>
    </row>
    <row r="413" customFormat="false" ht="15" hidden="false" customHeight="false" outlineLevel="0" collapsed="false">
      <c r="A413" s="29" t="s">
        <v>833</v>
      </c>
      <c r="B413" s="27" t="s">
        <v>834</v>
      </c>
      <c r="C413" s="29" t="s">
        <v>835</v>
      </c>
      <c r="D413" s="30" t="n">
        <v>8</v>
      </c>
      <c r="E413" s="31" t="n">
        <v>0</v>
      </c>
      <c r="F413" s="31" t="n">
        <v>0</v>
      </c>
      <c r="G413" s="32" t="n">
        <f aca="false">E413+F413</f>
        <v>0</v>
      </c>
      <c r="H413" s="33" t="str">
        <f aca="false">IF(G413&gt;D413,"Vượt KL HĐ","")</f>
        <v/>
      </c>
    </row>
    <row r="414" customFormat="false" ht="15" hidden="false" customHeight="false" outlineLevel="0" collapsed="false">
      <c r="A414" s="29" t="s">
        <v>836</v>
      </c>
      <c r="B414" s="27" t="s">
        <v>837</v>
      </c>
      <c r="C414" s="29" t="s">
        <v>193</v>
      </c>
      <c r="D414" s="30" t="n">
        <v>8</v>
      </c>
      <c r="E414" s="31" t="n">
        <v>0</v>
      </c>
      <c r="F414" s="31" t="n">
        <v>0</v>
      </c>
      <c r="G414" s="32" t="n">
        <f aca="false">E414+F414</f>
        <v>0</v>
      </c>
      <c r="H414" s="33" t="str">
        <f aca="false">IF(G414&gt;D414,"Vượt KL HĐ","")</f>
        <v/>
      </c>
    </row>
    <row r="415" customFormat="false" ht="15" hidden="false" customHeight="false" outlineLevel="0" collapsed="false">
      <c r="A415" s="29" t="s">
        <v>838</v>
      </c>
      <c r="B415" s="27" t="s">
        <v>788</v>
      </c>
      <c r="C415" s="29" t="s">
        <v>759</v>
      </c>
      <c r="D415" s="30" t="n">
        <v>5</v>
      </c>
      <c r="E415" s="31" t="n">
        <v>0</v>
      </c>
      <c r="F415" s="31" t="n">
        <v>0</v>
      </c>
      <c r="G415" s="32" t="n">
        <f aca="false">E415+F415</f>
        <v>0</v>
      </c>
      <c r="H415" s="33" t="str">
        <f aca="false">IF(G415&gt;D415,"Vượt KL HĐ","")</f>
        <v/>
      </c>
    </row>
    <row r="416" customFormat="false" ht="15" hidden="false" customHeight="false" outlineLevel="0" collapsed="false">
      <c r="A416" s="29" t="s">
        <v>839</v>
      </c>
      <c r="B416" s="27" t="s">
        <v>840</v>
      </c>
      <c r="C416" s="29" t="s">
        <v>240</v>
      </c>
      <c r="D416" s="30" t="n">
        <v>32</v>
      </c>
      <c r="E416" s="31" t="n">
        <v>0</v>
      </c>
      <c r="F416" s="31" t="n">
        <v>0</v>
      </c>
      <c r="G416" s="32" t="n">
        <f aca="false">E416+F416</f>
        <v>0</v>
      </c>
      <c r="H416" s="33" t="str">
        <f aca="false">IF(G416&gt;D416,"Vượt KL HĐ","")</f>
        <v/>
      </c>
    </row>
    <row r="417" customFormat="false" ht="15" hidden="false" customHeight="false" outlineLevel="0" collapsed="false">
      <c r="A417" s="29" t="s">
        <v>841</v>
      </c>
      <c r="B417" s="27" t="s">
        <v>842</v>
      </c>
      <c r="C417" s="29" t="s">
        <v>778</v>
      </c>
      <c r="D417" s="30" t="n">
        <v>20</v>
      </c>
      <c r="E417" s="31" t="n">
        <v>0</v>
      </c>
      <c r="F417" s="31" t="n">
        <v>0</v>
      </c>
      <c r="G417" s="32" t="n">
        <f aca="false">E417+F417</f>
        <v>0</v>
      </c>
      <c r="H417" s="33" t="str">
        <f aca="false">IF(G417&gt;D417,"Vượt KL HĐ","")</f>
        <v/>
      </c>
    </row>
    <row r="418" customFormat="false" ht="15" hidden="false" customHeight="false" outlineLevel="0" collapsed="false">
      <c r="A418" s="29" t="s">
        <v>843</v>
      </c>
      <c r="B418" s="27" t="s">
        <v>844</v>
      </c>
      <c r="C418" s="29" t="s">
        <v>778</v>
      </c>
      <c r="D418" s="30" t="n">
        <v>4</v>
      </c>
      <c r="E418" s="31" t="n">
        <v>0</v>
      </c>
      <c r="F418" s="31" t="n">
        <v>0</v>
      </c>
      <c r="G418" s="32" t="n">
        <f aca="false">E418+F418</f>
        <v>0</v>
      </c>
      <c r="H418" s="33" t="str">
        <f aca="false">IF(G418&gt;D418,"Vượt KL HĐ","")</f>
        <v/>
      </c>
    </row>
    <row r="419" customFormat="false" ht="15" hidden="false" customHeight="false" outlineLevel="0" collapsed="false">
      <c r="A419" s="29" t="s">
        <v>845</v>
      </c>
      <c r="B419" s="27" t="s">
        <v>846</v>
      </c>
      <c r="C419" s="29" t="s">
        <v>224</v>
      </c>
      <c r="D419" s="30" t="n">
        <v>19</v>
      </c>
      <c r="E419" s="31" t="n">
        <v>0</v>
      </c>
      <c r="F419" s="31" t="n">
        <v>0</v>
      </c>
      <c r="G419" s="32" t="n">
        <f aca="false">E419+F419</f>
        <v>0</v>
      </c>
      <c r="H419" s="33" t="str">
        <f aca="false">IF(G419&gt;D419,"Vượt KL HĐ","")</f>
        <v/>
      </c>
    </row>
    <row r="420" customFormat="false" ht="15" hidden="false" customHeight="false" outlineLevel="0" collapsed="false">
      <c r="A420" s="29" t="s">
        <v>847</v>
      </c>
      <c r="B420" s="27" t="s">
        <v>848</v>
      </c>
      <c r="C420" s="29" t="s">
        <v>759</v>
      </c>
      <c r="D420" s="30" t="n">
        <v>16</v>
      </c>
      <c r="E420" s="31" t="n">
        <v>0</v>
      </c>
      <c r="F420" s="31" t="n">
        <v>0</v>
      </c>
      <c r="G420" s="32" t="n">
        <f aca="false">E420+F420</f>
        <v>0</v>
      </c>
      <c r="H420" s="33" t="str">
        <f aca="false">IF(G420&gt;D420,"Vượt KL HĐ","")</f>
        <v/>
      </c>
    </row>
    <row r="421" customFormat="false" ht="15" hidden="false" customHeight="false" outlineLevel="0" collapsed="false">
      <c r="A421" s="29" t="s">
        <v>849</v>
      </c>
      <c r="B421" s="27" t="s">
        <v>792</v>
      </c>
      <c r="C421" s="29" t="s">
        <v>574</v>
      </c>
      <c r="D421" s="30" t="n">
        <v>2</v>
      </c>
      <c r="E421" s="31" t="n">
        <v>0</v>
      </c>
      <c r="F421" s="31" t="n">
        <v>0</v>
      </c>
      <c r="G421" s="32" t="n">
        <f aca="false">E421+F421</f>
        <v>0</v>
      </c>
      <c r="H421" s="33" t="str">
        <f aca="false">IF(G421&gt;D421,"Vượt KL HĐ","")</f>
        <v/>
      </c>
    </row>
    <row r="422" customFormat="false" ht="15" hidden="false" customHeight="false" outlineLevel="0" collapsed="false">
      <c r="A422" s="12" t="s">
        <v>850</v>
      </c>
      <c r="B422" s="13" t="s">
        <v>851</v>
      </c>
      <c r="C422" s="27"/>
      <c r="D422" s="27"/>
      <c r="E422" s="27"/>
      <c r="F422" s="27"/>
      <c r="G422" s="27"/>
      <c r="H422" s="27"/>
    </row>
    <row r="423" customFormat="false" ht="15" hidden="false" customHeight="false" outlineLevel="0" collapsed="false">
      <c r="A423" s="29" t="s">
        <v>852</v>
      </c>
      <c r="B423" s="27" t="s">
        <v>853</v>
      </c>
      <c r="C423" s="29" t="s">
        <v>832</v>
      </c>
      <c r="D423" s="30" t="n">
        <v>1</v>
      </c>
      <c r="E423" s="31" t="n">
        <v>0</v>
      </c>
      <c r="F423" s="31" t="n">
        <v>0</v>
      </c>
      <c r="G423" s="32" t="n">
        <f aca="false">E423+F423</f>
        <v>0</v>
      </c>
      <c r="H423" s="33" t="str">
        <f aca="false">IF(G423&gt;D423,"Vượt KL HĐ","")</f>
        <v/>
      </c>
    </row>
    <row r="424" customFormat="false" ht="15" hidden="false" customHeight="false" outlineLevel="0" collapsed="false">
      <c r="A424" s="29" t="s">
        <v>854</v>
      </c>
      <c r="B424" s="27" t="s">
        <v>855</v>
      </c>
      <c r="C424" s="29" t="s">
        <v>856</v>
      </c>
      <c r="D424" s="30" t="n">
        <v>27</v>
      </c>
      <c r="E424" s="31" t="n">
        <v>0</v>
      </c>
      <c r="F424" s="31" t="n">
        <v>0</v>
      </c>
      <c r="G424" s="32" t="n">
        <f aca="false">E424+F424</f>
        <v>0</v>
      </c>
      <c r="H424" s="33" t="str">
        <f aca="false">IF(G424&gt;D424,"Vượt KL HĐ","")</f>
        <v/>
      </c>
    </row>
    <row r="425" customFormat="false" ht="15" hidden="false" customHeight="false" outlineLevel="0" collapsed="false">
      <c r="A425" s="29" t="s">
        <v>857</v>
      </c>
      <c r="B425" s="27" t="s">
        <v>858</v>
      </c>
      <c r="C425" s="29" t="s">
        <v>856</v>
      </c>
      <c r="D425" s="30" t="n">
        <v>2</v>
      </c>
      <c r="E425" s="31" t="n">
        <v>0</v>
      </c>
      <c r="F425" s="31" t="n">
        <v>0</v>
      </c>
      <c r="G425" s="32" t="n">
        <f aca="false">E425+F425</f>
        <v>0</v>
      </c>
      <c r="H425" s="33" t="str">
        <f aca="false">IF(G425&gt;D425,"Vượt KL HĐ","")</f>
        <v/>
      </c>
    </row>
    <row r="426" customFormat="false" ht="15" hidden="false" customHeight="false" outlineLevel="0" collapsed="false">
      <c r="A426" s="29" t="s">
        <v>859</v>
      </c>
      <c r="B426" s="27" t="s">
        <v>860</v>
      </c>
      <c r="C426" s="29" t="s">
        <v>835</v>
      </c>
      <c r="D426" s="30" t="n">
        <v>1</v>
      </c>
      <c r="E426" s="31" t="n">
        <v>0</v>
      </c>
      <c r="F426" s="31" t="n">
        <v>0</v>
      </c>
      <c r="G426" s="32" t="n">
        <f aca="false">E426+F426</f>
        <v>0</v>
      </c>
      <c r="H426" s="33" t="str">
        <f aca="false">IF(G426&gt;D426,"Vượt KL HĐ","")</f>
        <v/>
      </c>
    </row>
    <row r="427" customFormat="false" ht="15" hidden="false" customHeight="false" outlineLevel="0" collapsed="false">
      <c r="A427" s="29" t="s">
        <v>861</v>
      </c>
      <c r="B427" s="27" t="s">
        <v>862</v>
      </c>
      <c r="C427" s="29" t="s">
        <v>835</v>
      </c>
      <c r="D427" s="30" t="n">
        <v>29</v>
      </c>
      <c r="E427" s="31" t="n">
        <v>0</v>
      </c>
      <c r="F427" s="31" t="n">
        <v>0</v>
      </c>
      <c r="G427" s="32" t="n">
        <f aca="false">E427+F427</f>
        <v>0</v>
      </c>
      <c r="H427" s="33" t="str">
        <f aca="false">IF(G427&gt;D427,"Vượt KL HĐ","")</f>
        <v/>
      </c>
    </row>
    <row r="428" customFormat="false" ht="15" hidden="false" customHeight="false" outlineLevel="0" collapsed="false">
      <c r="A428" s="29" t="s">
        <v>863</v>
      </c>
      <c r="B428" s="27" t="s">
        <v>864</v>
      </c>
      <c r="C428" s="29" t="s">
        <v>224</v>
      </c>
      <c r="D428" s="30" t="n">
        <v>15</v>
      </c>
      <c r="E428" s="31" t="n">
        <v>0</v>
      </c>
      <c r="F428" s="31" t="n">
        <v>0</v>
      </c>
      <c r="G428" s="32" t="n">
        <f aca="false">E428+F428</f>
        <v>0</v>
      </c>
      <c r="H428" s="33" t="str">
        <f aca="false">IF(G428&gt;D428,"Vượt KL HĐ","")</f>
        <v/>
      </c>
    </row>
    <row r="429" customFormat="false" ht="15" hidden="false" customHeight="false" outlineLevel="0" collapsed="false">
      <c r="A429" s="29" t="s">
        <v>865</v>
      </c>
      <c r="B429" s="27" t="s">
        <v>866</v>
      </c>
      <c r="C429" s="29" t="s">
        <v>224</v>
      </c>
      <c r="D429" s="30" t="n">
        <v>983</v>
      </c>
      <c r="E429" s="31" t="n">
        <v>0</v>
      </c>
      <c r="F429" s="31" t="n">
        <v>0</v>
      </c>
      <c r="G429" s="32" t="n">
        <f aca="false">E429+F429</f>
        <v>0</v>
      </c>
      <c r="H429" s="33" t="str">
        <f aca="false">IF(G429&gt;D429,"Vượt KL HĐ","")</f>
        <v/>
      </c>
    </row>
    <row r="430" customFormat="false" ht="15" hidden="false" customHeight="false" outlineLevel="0" collapsed="false">
      <c r="A430" s="29" t="s">
        <v>867</v>
      </c>
      <c r="B430" s="27" t="s">
        <v>868</v>
      </c>
      <c r="C430" s="29" t="s">
        <v>224</v>
      </c>
      <c r="D430" s="30" t="n">
        <v>993</v>
      </c>
      <c r="E430" s="31" t="n">
        <v>0</v>
      </c>
      <c r="F430" s="31" t="n">
        <v>0</v>
      </c>
      <c r="G430" s="32" t="n">
        <f aca="false">E430+F430</f>
        <v>0</v>
      </c>
      <c r="H430" s="33" t="str">
        <f aca="false">IF(G430&gt;D430,"Vượt KL HĐ","")</f>
        <v/>
      </c>
    </row>
    <row r="431" customFormat="false" ht="15" hidden="false" customHeight="false" outlineLevel="0" collapsed="false">
      <c r="A431" s="29" t="s">
        <v>869</v>
      </c>
      <c r="B431" s="27" t="s">
        <v>870</v>
      </c>
      <c r="C431" s="29" t="s">
        <v>193</v>
      </c>
      <c r="D431" s="30" t="n">
        <v>1</v>
      </c>
      <c r="E431" s="31" t="n">
        <v>0</v>
      </c>
      <c r="F431" s="31" t="n">
        <v>0</v>
      </c>
      <c r="G431" s="32" t="n">
        <f aca="false">E431+F431</f>
        <v>0</v>
      </c>
      <c r="H431" s="33" t="str">
        <f aca="false">IF(G431&gt;D431,"Vượt KL HĐ","")</f>
        <v/>
      </c>
    </row>
    <row r="432" customFormat="false" ht="15" hidden="false" customHeight="false" outlineLevel="0" collapsed="false">
      <c r="A432" s="29" t="s">
        <v>871</v>
      </c>
      <c r="B432" s="27" t="s">
        <v>872</v>
      </c>
      <c r="C432" s="29" t="s">
        <v>731</v>
      </c>
      <c r="D432" s="30" t="n">
        <v>29</v>
      </c>
      <c r="E432" s="31" t="n">
        <v>0</v>
      </c>
      <c r="F432" s="31" t="n">
        <v>0</v>
      </c>
      <c r="G432" s="32" t="n">
        <f aca="false">E432+F432</f>
        <v>0</v>
      </c>
      <c r="H432" s="33" t="str">
        <f aca="false">IF(G432&gt;D432,"Vượt KL HĐ","")</f>
        <v/>
      </c>
    </row>
    <row r="433" customFormat="false" ht="15" hidden="false" customHeight="false" outlineLevel="0" collapsed="false">
      <c r="A433" s="29" t="s">
        <v>873</v>
      </c>
      <c r="B433" s="27" t="s">
        <v>874</v>
      </c>
      <c r="C433" s="29" t="s">
        <v>224</v>
      </c>
      <c r="D433" s="30" t="n">
        <v>8</v>
      </c>
      <c r="E433" s="31" t="n">
        <v>0</v>
      </c>
      <c r="F433" s="31" t="n">
        <v>0</v>
      </c>
      <c r="G433" s="32" t="n">
        <f aca="false">E433+F433</f>
        <v>0</v>
      </c>
      <c r="H433" s="33" t="str">
        <f aca="false">IF(G433&gt;D433,"Vượt KL HĐ","")</f>
        <v/>
      </c>
    </row>
    <row r="434" customFormat="false" ht="15" hidden="false" customHeight="false" outlineLevel="0" collapsed="false">
      <c r="A434" s="29" t="s">
        <v>875</v>
      </c>
      <c r="B434" s="27" t="s">
        <v>876</v>
      </c>
      <c r="C434" s="29" t="s">
        <v>224</v>
      </c>
      <c r="D434" s="30" t="n">
        <v>144</v>
      </c>
      <c r="E434" s="31" t="n">
        <v>0</v>
      </c>
      <c r="F434" s="31" t="n">
        <v>0</v>
      </c>
      <c r="G434" s="32" t="n">
        <f aca="false">E434+F434</f>
        <v>0</v>
      </c>
      <c r="H434" s="33" t="str">
        <f aca="false">IF(G434&gt;D434,"Vượt KL HĐ","")</f>
        <v/>
      </c>
    </row>
    <row r="435" customFormat="false" ht="15" hidden="false" customHeight="false" outlineLevel="0" collapsed="false">
      <c r="A435" s="29" t="s">
        <v>877</v>
      </c>
      <c r="B435" s="27" t="s">
        <v>878</v>
      </c>
      <c r="C435" s="29" t="s">
        <v>224</v>
      </c>
      <c r="D435" s="30" t="n">
        <v>933</v>
      </c>
      <c r="E435" s="31" t="n">
        <v>0</v>
      </c>
      <c r="F435" s="31" t="n">
        <v>0</v>
      </c>
      <c r="G435" s="32" t="n">
        <f aca="false">E435+F435</f>
        <v>0</v>
      </c>
      <c r="H435" s="33" t="str">
        <f aca="false">IF(G435&gt;D435,"Vượt KL HĐ","")</f>
        <v/>
      </c>
    </row>
    <row r="436" customFormat="false" ht="15" hidden="false" customHeight="false" outlineLevel="0" collapsed="false">
      <c r="A436" s="29" t="s">
        <v>879</v>
      </c>
      <c r="B436" s="27" t="s">
        <v>880</v>
      </c>
      <c r="C436" s="29" t="s">
        <v>224</v>
      </c>
      <c r="D436" s="30" t="n">
        <v>9</v>
      </c>
      <c r="E436" s="31" t="n">
        <v>0</v>
      </c>
      <c r="F436" s="31" t="n">
        <v>0</v>
      </c>
      <c r="G436" s="32" t="n">
        <f aca="false">E436+F436</f>
        <v>0</v>
      </c>
      <c r="H436" s="33" t="str">
        <f aca="false">IF(G436&gt;D436,"Vượt KL HĐ","")</f>
        <v/>
      </c>
    </row>
    <row r="437" customFormat="false" ht="15" hidden="false" customHeight="false" outlineLevel="0" collapsed="false">
      <c r="A437" s="29" t="s">
        <v>881</v>
      </c>
      <c r="B437" s="27" t="s">
        <v>882</v>
      </c>
      <c r="C437" s="29" t="s">
        <v>778</v>
      </c>
      <c r="D437" s="30" t="n">
        <v>232</v>
      </c>
      <c r="E437" s="31" t="n">
        <v>0</v>
      </c>
      <c r="F437" s="31" t="n">
        <v>0</v>
      </c>
      <c r="G437" s="32" t="n">
        <f aca="false">E437+F437</f>
        <v>0</v>
      </c>
      <c r="H437" s="33" t="str">
        <f aca="false">IF(G437&gt;D437,"Vượt KL HĐ","")</f>
        <v/>
      </c>
    </row>
    <row r="438" customFormat="false" ht="15" hidden="false" customHeight="false" outlineLevel="0" collapsed="false">
      <c r="A438" s="29" t="s">
        <v>883</v>
      </c>
      <c r="B438" s="27" t="s">
        <v>848</v>
      </c>
      <c r="C438" s="29" t="s">
        <v>778</v>
      </c>
      <c r="D438" s="30" t="n">
        <v>8</v>
      </c>
      <c r="E438" s="31" t="n">
        <v>0</v>
      </c>
      <c r="F438" s="31" t="n">
        <v>0</v>
      </c>
      <c r="G438" s="32" t="n">
        <f aca="false">E438+F438</f>
        <v>0</v>
      </c>
      <c r="H438" s="33" t="str">
        <f aca="false">IF(G438&gt;D438,"Vượt KL HĐ","")</f>
        <v/>
      </c>
    </row>
    <row r="439" customFormat="false" ht="15" hidden="false" customHeight="false" outlineLevel="0" collapsed="false">
      <c r="A439" s="29" t="s">
        <v>884</v>
      </c>
      <c r="B439" s="27" t="s">
        <v>788</v>
      </c>
      <c r="C439" s="29" t="s">
        <v>759</v>
      </c>
      <c r="D439" s="30" t="n">
        <v>7</v>
      </c>
      <c r="E439" s="31" t="n">
        <v>0</v>
      </c>
      <c r="F439" s="31" t="n">
        <v>0</v>
      </c>
      <c r="G439" s="32" t="n">
        <f aca="false">E439+F439</f>
        <v>0</v>
      </c>
      <c r="H439" s="33" t="str">
        <f aca="false">IF(G439&gt;D439,"Vượt KL HĐ","")</f>
        <v/>
      </c>
    </row>
    <row r="440" customFormat="false" ht="26.85" hidden="false" customHeight="false" outlineLevel="0" collapsed="false">
      <c r="A440" s="29" t="s">
        <v>885</v>
      </c>
      <c r="B440" s="27" t="s">
        <v>886</v>
      </c>
      <c r="C440" s="29" t="s">
        <v>193</v>
      </c>
      <c r="D440" s="30" t="n">
        <v>27</v>
      </c>
      <c r="E440" s="31" t="n">
        <v>0</v>
      </c>
      <c r="F440" s="31" t="n">
        <v>0</v>
      </c>
      <c r="G440" s="32" t="n">
        <f aca="false">E440+F440</f>
        <v>0</v>
      </c>
      <c r="H440" s="33" t="str">
        <f aca="false">IF(G440&gt;D440,"Vượt KL HĐ","")</f>
        <v/>
      </c>
    </row>
    <row r="441" customFormat="false" ht="26.85" hidden="false" customHeight="false" outlineLevel="0" collapsed="false">
      <c r="A441" s="29" t="s">
        <v>887</v>
      </c>
      <c r="B441" s="27" t="s">
        <v>888</v>
      </c>
      <c r="C441" s="29" t="s">
        <v>193</v>
      </c>
      <c r="D441" s="30" t="n">
        <v>2</v>
      </c>
      <c r="E441" s="31" t="n">
        <v>0</v>
      </c>
      <c r="F441" s="31" t="n">
        <v>0</v>
      </c>
      <c r="G441" s="32" t="n">
        <f aca="false">E441+F441</f>
        <v>0</v>
      </c>
      <c r="H441" s="33" t="str">
        <f aca="false">IF(G441&gt;D441,"Vượt KL HĐ","")</f>
        <v/>
      </c>
    </row>
    <row r="442" customFormat="false" ht="15" hidden="false" customHeight="false" outlineLevel="0" collapsed="false">
      <c r="A442" s="29" t="s">
        <v>889</v>
      </c>
      <c r="B442" s="27" t="s">
        <v>890</v>
      </c>
      <c r="C442" s="29" t="s">
        <v>891</v>
      </c>
      <c r="D442" s="30" t="n">
        <v>31</v>
      </c>
      <c r="E442" s="31" t="n">
        <v>0</v>
      </c>
      <c r="F442" s="31" t="n">
        <v>0</v>
      </c>
      <c r="G442" s="32" t="n">
        <f aca="false">E442+F442</f>
        <v>0</v>
      </c>
      <c r="H442" s="33" t="str">
        <f aca="false">IF(G442&gt;D442,"Vượt KL HĐ","")</f>
        <v/>
      </c>
    </row>
    <row r="443" customFormat="false" ht="15" hidden="false" customHeight="false" outlineLevel="0" collapsed="false">
      <c r="A443" s="29" t="s">
        <v>892</v>
      </c>
      <c r="B443" s="27" t="s">
        <v>893</v>
      </c>
      <c r="C443" s="29" t="s">
        <v>224</v>
      </c>
      <c r="D443" s="30" t="n">
        <v>372</v>
      </c>
      <c r="E443" s="31" t="n">
        <v>0</v>
      </c>
      <c r="F443" s="31" t="n">
        <v>0</v>
      </c>
      <c r="G443" s="32" t="n">
        <f aca="false">E443+F443</f>
        <v>0</v>
      </c>
      <c r="H443" s="33" t="str">
        <f aca="false">IF(G443&gt;D443,"Vượt KL HĐ","")</f>
        <v/>
      </c>
    </row>
    <row r="444" customFormat="false" ht="15" hidden="false" customHeight="false" outlineLevel="0" collapsed="false">
      <c r="A444" s="29" t="s">
        <v>894</v>
      </c>
      <c r="B444" s="27" t="s">
        <v>792</v>
      </c>
      <c r="C444" s="29" t="s">
        <v>574</v>
      </c>
      <c r="D444" s="30" t="n">
        <v>2</v>
      </c>
      <c r="E444" s="31" t="n">
        <v>0</v>
      </c>
      <c r="F444" s="31" t="n">
        <v>0</v>
      </c>
      <c r="G444" s="32" t="n">
        <f aca="false">E444+F444</f>
        <v>0</v>
      </c>
      <c r="H444" s="33" t="str">
        <f aca="false">IF(G444&gt;D444,"Vượt KL HĐ","")</f>
        <v/>
      </c>
    </row>
    <row r="445" customFormat="false" ht="26.85" hidden="false" customHeight="false" outlineLevel="0" collapsed="false">
      <c r="A445" s="12" t="s">
        <v>895</v>
      </c>
      <c r="B445" s="13" t="s">
        <v>896</v>
      </c>
      <c r="C445" s="27"/>
      <c r="D445" s="27"/>
      <c r="E445" s="27"/>
      <c r="F445" s="27"/>
      <c r="G445" s="27"/>
      <c r="H445" s="27"/>
    </row>
    <row r="446" customFormat="false" ht="15" hidden="false" customHeight="false" outlineLevel="0" collapsed="false">
      <c r="A446" s="29" t="s">
        <v>897</v>
      </c>
      <c r="B446" s="27" t="s">
        <v>898</v>
      </c>
      <c r="C446" s="29" t="s">
        <v>731</v>
      </c>
      <c r="D446" s="30" t="n">
        <v>1</v>
      </c>
      <c r="E446" s="31" t="n">
        <v>0</v>
      </c>
      <c r="F446" s="31" t="n">
        <v>0</v>
      </c>
      <c r="G446" s="32" t="n">
        <f aca="false">E446+F446</f>
        <v>0</v>
      </c>
      <c r="H446" s="33" t="str">
        <f aca="false">IF(G446&gt;D446,"Vượt KL HĐ","")</f>
        <v/>
      </c>
    </row>
    <row r="447" customFormat="false" ht="15" hidden="false" customHeight="false" outlineLevel="0" collapsed="false">
      <c r="A447" s="29" t="s">
        <v>899</v>
      </c>
      <c r="B447" s="27" t="s">
        <v>900</v>
      </c>
      <c r="C447" s="29" t="s">
        <v>901</v>
      </c>
      <c r="D447" s="30" t="n">
        <v>1</v>
      </c>
      <c r="E447" s="31" t="n">
        <v>0</v>
      </c>
      <c r="F447" s="31" t="n">
        <v>0</v>
      </c>
      <c r="G447" s="32" t="n">
        <f aca="false">E447+F447</f>
        <v>0</v>
      </c>
      <c r="H447" s="33" t="str">
        <f aca="false">IF(G447&gt;D447,"Vượt KL HĐ","")</f>
        <v/>
      </c>
    </row>
    <row r="448" customFormat="false" ht="15" hidden="false" customHeight="false" outlineLevel="0" collapsed="false">
      <c r="A448" s="29" t="s">
        <v>902</v>
      </c>
      <c r="B448" s="27" t="s">
        <v>903</v>
      </c>
      <c r="C448" s="29" t="s">
        <v>901</v>
      </c>
      <c r="D448" s="30" t="n">
        <v>2</v>
      </c>
      <c r="E448" s="31" t="n">
        <v>0</v>
      </c>
      <c r="F448" s="31" t="n">
        <v>0</v>
      </c>
      <c r="G448" s="32" t="n">
        <f aca="false">E448+F448</f>
        <v>0</v>
      </c>
      <c r="H448" s="33" t="str">
        <f aca="false">IF(G448&gt;D448,"Vượt KL HĐ","")</f>
        <v/>
      </c>
    </row>
    <row r="449" customFormat="false" ht="15" hidden="false" customHeight="false" outlineLevel="0" collapsed="false">
      <c r="A449" s="29" t="s">
        <v>904</v>
      </c>
      <c r="B449" s="27" t="s">
        <v>905</v>
      </c>
      <c r="C449" s="29" t="s">
        <v>731</v>
      </c>
      <c r="D449" s="30" t="n">
        <v>1</v>
      </c>
      <c r="E449" s="31" t="n">
        <v>0</v>
      </c>
      <c r="F449" s="31" t="n">
        <v>0</v>
      </c>
      <c r="G449" s="32" t="n">
        <f aca="false">E449+F449</f>
        <v>0</v>
      </c>
      <c r="H449" s="33" t="str">
        <f aca="false">IF(G449&gt;D449,"Vượt KL HĐ","")</f>
        <v/>
      </c>
    </row>
    <row r="450" customFormat="false" ht="15" hidden="false" customHeight="false" outlineLevel="0" collapsed="false">
      <c r="A450" s="29" t="s">
        <v>906</v>
      </c>
      <c r="B450" s="27" t="s">
        <v>907</v>
      </c>
      <c r="C450" s="29" t="s">
        <v>908</v>
      </c>
      <c r="D450" s="30" t="n">
        <v>8</v>
      </c>
      <c r="E450" s="31" t="n">
        <v>0</v>
      </c>
      <c r="F450" s="31" t="n">
        <v>0</v>
      </c>
      <c r="G450" s="32" t="n">
        <f aca="false">E450+F450</f>
        <v>0</v>
      </c>
      <c r="H450" s="33" t="str">
        <f aca="false">IF(G450&gt;D450,"Vượt KL HĐ","")</f>
        <v/>
      </c>
    </row>
    <row r="451" customFormat="false" ht="15" hidden="false" customHeight="false" outlineLevel="0" collapsed="false">
      <c r="A451" s="29" t="s">
        <v>909</v>
      </c>
      <c r="B451" s="27" t="s">
        <v>910</v>
      </c>
      <c r="C451" s="29" t="s">
        <v>911</v>
      </c>
      <c r="D451" s="30" t="n">
        <v>1</v>
      </c>
      <c r="E451" s="31" t="n">
        <v>0</v>
      </c>
      <c r="F451" s="31" t="n">
        <v>0</v>
      </c>
      <c r="G451" s="32" t="n">
        <f aca="false">E451+F451</f>
        <v>0</v>
      </c>
      <c r="H451" s="33" t="str">
        <f aca="false">IF(G451&gt;D451,"Vượt KL HĐ","")</f>
        <v/>
      </c>
    </row>
    <row r="452" customFormat="false" ht="15" hidden="false" customHeight="false" outlineLevel="0" collapsed="false">
      <c r="A452" s="29" t="s">
        <v>912</v>
      </c>
      <c r="B452" s="27" t="s">
        <v>913</v>
      </c>
      <c r="C452" s="29" t="s">
        <v>240</v>
      </c>
      <c r="D452" s="30" t="n">
        <v>1</v>
      </c>
      <c r="E452" s="31" t="n">
        <v>0</v>
      </c>
      <c r="F452" s="31" t="n">
        <v>0</v>
      </c>
      <c r="G452" s="32" t="n">
        <f aca="false">E452+F452</f>
        <v>0</v>
      </c>
      <c r="H452" s="33" t="str">
        <f aca="false">IF(G452&gt;D452,"Vượt KL HĐ","")</f>
        <v/>
      </c>
    </row>
    <row r="453" customFormat="false" ht="15" hidden="false" customHeight="false" outlineLevel="0" collapsed="false">
      <c r="A453" s="29" t="s">
        <v>914</v>
      </c>
      <c r="B453" s="27" t="s">
        <v>915</v>
      </c>
      <c r="C453" s="29" t="s">
        <v>193</v>
      </c>
      <c r="D453" s="30" t="n">
        <v>1</v>
      </c>
      <c r="E453" s="31" t="n">
        <v>0</v>
      </c>
      <c r="F453" s="31" t="n">
        <v>0</v>
      </c>
      <c r="G453" s="32" t="n">
        <f aca="false">E453+F453</f>
        <v>0</v>
      </c>
      <c r="H453" s="33" t="str">
        <f aca="false">IF(G453&gt;D453,"Vượt KL HĐ","")</f>
        <v/>
      </c>
    </row>
    <row r="454" customFormat="false" ht="15" hidden="false" customHeight="false" outlineLevel="0" collapsed="false">
      <c r="A454" s="29" t="s">
        <v>916</v>
      </c>
      <c r="B454" s="27" t="s">
        <v>917</v>
      </c>
      <c r="C454" s="29" t="s">
        <v>240</v>
      </c>
      <c r="D454" s="30" t="n">
        <v>1</v>
      </c>
      <c r="E454" s="31" t="n">
        <v>0</v>
      </c>
      <c r="F454" s="31" t="n">
        <v>0</v>
      </c>
      <c r="G454" s="32" t="n">
        <f aca="false">E454+F454</f>
        <v>0</v>
      </c>
      <c r="H454" s="33" t="str">
        <f aca="false">IF(G454&gt;D454,"Vượt KL HĐ","")</f>
        <v/>
      </c>
    </row>
    <row r="455" customFormat="false" ht="15" hidden="false" customHeight="false" outlineLevel="0" collapsed="false">
      <c r="A455" s="29" t="s">
        <v>918</v>
      </c>
      <c r="B455" s="27" t="s">
        <v>919</v>
      </c>
      <c r="C455" s="29" t="s">
        <v>920</v>
      </c>
      <c r="D455" s="30" t="n">
        <v>1</v>
      </c>
      <c r="E455" s="31" t="n">
        <v>0</v>
      </c>
      <c r="F455" s="31" t="n">
        <v>0</v>
      </c>
      <c r="G455" s="32" t="n">
        <f aca="false">E455+F455</f>
        <v>0</v>
      </c>
      <c r="H455" s="33" t="str">
        <f aca="false">IF(G455&gt;D455,"Vượt KL HĐ","")</f>
        <v/>
      </c>
    </row>
    <row r="456" customFormat="false" ht="15" hidden="false" customHeight="false" outlineLevel="0" collapsed="false">
      <c r="A456" s="29" t="s">
        <v>921</v>
      </c>
      <c r="B456" s="27" t="s">
        <v>922</v>
      </c>
      <c r="C456" s="29" t="s">
        <v>193</v>
      </c>
      <c r="D456" s="30" t="n">
        <v>3</v>
      </c>
      <c r="E456" s="31" t="n">
        <v>0</v>
      </c>
      <c r="F456" s="31" t="n">
        <v>0</v>
      </c>
      <c r="G456" s="32" t="n">
        <f aca="false">E456+F456</f>
        <v>0</v>
      </c>
      <c r="H456" s="33" t="str">
        <f aca="false">IF(G456&gt;D456,"Vượt KL HĐ","")</f>
        <v/>
      </c>
    </row>
    <row r="457" customFormat="false" ht="15" hidden="false" customHeight="false" outlineLevel="0" collapsed="false">
      <c r="A457" s="29" t="s">
        <v>923</v>
      </c>
      <c r="B457" s="27" t="s">
        <v>924</v>
      </c>
      <c r="C457" s="29" t="s">
        <v>193</v>
      </c>
      <c r="D457" s="30" t="n">
        <v>1</v>
      </c>
      <c r="E457" s="31" t="n">
        <v>0</v>
      </c>
      <c r="F457" s="31" t="n">
        <v>0</v>
      </c>
      <c r="G457" s="32" t="n">
        <f aca="false">E457+F457</f>
        <v>0</v>
      </c>
      <c r="H457" s="33" t="str">
        <f aca="false">IF(G457&gt;D457,"Vượt KL HĐ","")</f>
        <v/>
      </c>
    </row>
    <row r="458" customFormat="false" ht="15" hidden="false" customHeight="false" outlineLevel="0" collapsed="false">
      <c r="A458" s="29" t="s">
        <v>925</v>
      </c>
      <c r="B458" s="27" t="s">
        <v>926</v>
      </c>
      <c r="C458" s="29" t="s">
        <v>731</v>
      </c>
      <c r="D458" s="30" t="n">
        <v>1</v>
      </c>
      <c r="E458" s="31" t="n">
        <v>0</v>
      </c>
      <c r="F458" s="31" t="n">
        <v>0</v>
      </c>
      <c r="G458" s="32" t="n">
        <f aca="false">E458+F458</f>
        <v>0</v>
      </c>
      <c r="H458" s="33" t="str">
        <f aca="false">IF(G458&gt;D458,"Vượt KL HĐ","")</f>
        <v/>
      </c>
    </row>
    <row r="459" customFormat="false" ht="15" hidden="false" customHeight="false" outlineLevel="0" collapsed="false">
      <c r="A459" s="29" t="s">
        <v>927</v>
      </c>
      <c r="B459" s="27" t="s">
        <v>928</v>
      </c>
      <c r="C459" s="29" t="s">
        <v>240</v>
      </c>
      <c r="D459" s="30" t="n">
        <v>3</v>
      </c>
      <c r="E459" s="31" t="n">
        <v>0</v>
      </c>
      <c r="F459" s="31" t="n">
        <v>0</v>
      </c>
      <c r="G459" s="32" t="n">
        <f aca="false">E459+F459</f>
        <v>0</v>
      </c>
      <c r="H459" s="33" t="str">
        <f aca="false">IF(G459&gt;D459,"Vượt KL HĐ","")</f>
        <v/>
      </c>
    </row>
    <row r="460" customFormat="false" ht="15" hidden="false" customHeight="false" outlineLevel="0" collapsed="false">
      <c r="A460" s="29" t="s">
        <v>929</v>
      </c>
      <c r="B460" s="27" t="s">
        <v>930</v>
      </c>
      <c r="C460" s="29" t="s">
        <v>240</v>
      </c>
      <c r="D460" s="30" t="n">
        <v>2</v>
      </c>
      <c r="E460" s="31" t="n">
        <v>0</v>
      </c>
      <c r="F460" s="31" t="n">
        <v>0</v>
      </c>
      <c r="G460" s="32" t="n">
        <f aca="false">E460+F460</f>
        <v>0</v>
      </c>
      <c r="H460" s="33" t="str">
        <f aca="false">IF(G460&gt;D460,"Vượt KL HĐ","")</f>
        <v/>
      </c>
    </row>
    <row r="461" customFormat="false" ht="15" hidden="false" customHeight="false" outlineLevel="0" collapsed="false">
      <c r="A461" s="29" t="s">
        <v>931</v>
      </c>
      <c r="B461" s="27" t="s">
        <v>932</v>
      </c>
      <c r="C461" s="29" t="s">
        <v>240</v>
      </c>
      <c r="D461" s="30" t="n">
        <v>1</v>
      </c>
      <c r="E461" s="31" t="n">
        <v>0</v>
      </c>
      <c r="F461" s="31" t="n">
        <v>0</v>
      </c>
      <c r="G461" s="32" t="n">
        <f aca="false">E461+F461</f>
        <v>0</v>
      </c>
      <c r="H461" s="33" t="str">
        <f aca="false">IF(G461&gt;D461,"Vượt KL HĐ","")</f>
        <v/>
      </c>
    </row>
    <row r="462" customFormat="false" ht="15" hidden="false" customHeight="false" outlineLevel="0" collapsed="false">
      <c r="A462" s="29" t="s">
        <v>933</v>
      </c>
      <c r="B462" s="27" t="s">
        <v>934</v>
      </c>
      <c r="C462" s="29" t="s">
        <v>193</v>
      </c>
      <c r="D462" s="30" t="n">
        <v>1</v>
      </c>
      <c r="E462" s="31" t="n">
        <v>0</v>
      </c>
      <c r="F462" s="31" t="n">
        <v>0</v>
      </c>
      <c r="G462" s="32" t="n">
        <f aca="false">E462+F462</f>
        <v>0</v>
      </c>
      <c r="H462" s="33" t="str">
        <f aca="false">IF(G462&gt;D462,"Vượt KL HĐ","")</f>
        <v/>
      </c>
    </row>
    <row r="463" customFormat="false" ht="15" hidden="false" customHeight="false" outlineLevel="0" collapsed="false">
      <c r="A463" s="29" t="s">
        <v>935</v>
      </c>
      <c r="B463" s="27" t="s">
        <v>898</v>
      </c>
      <c r="C463" s="29" t="s">
        <v>193</v>
      </c>
      <c r="D463" s="30" t="n">
        <v>38</v>
      </c>
      <c r="E463" s="31" t="n">
        <v>0</v>
      </c>
      <c r="F463" s="31" t="n">
        <v>0</v>
      </c>
      <c r="G463" s="32" t="n">
        <f aca="false">E463+F463</f>
        <v>0</v>
      </c>
      <c r="H463" s="33" t="str">
        <f aca="false">IF(G463&gt;D463,"Vượt KL HĐ","")</f>
        <v/>
      </c>
    </row>
    <row r="464" customFormat="false" ht="15" hidden="false" customHeight="false" outlineLevel="0" collapsed="false">
      <c r="A464" s="29" t="s">
        <v>936</v>
      </c>
      <c r="B464" s="27" t="s">
        <v>937</v>
      </c>
      <c r="C464" s="29" t="s">
        <v>938</v>
      </c>
      <c r="D464" s="30" t="n">
        <v>1</v>
      </c>
      <c r="E464" s="31" t="n">
        <v>0</v>
      </c>
      <c r="F464" s="31" t="n">
        <v>0</v>
      </c>
      <c r="G464" s="32" t="n">
        <f aca="false">E464+F464</f>
        <v>0</v>
      </c>
      <c r="H464" s="33" t="str">
        <f aca="false">IF(G464&gt;D464,"Vượt KL HĐ","")</f>
        <v/>
      </c>
    </row>
    <row r="465" customFormat="false" ht="15" hidden="false" customHeight="false" outlineLevel="0" collapsed="false">
      <c r="A465" s="29" t="s">
        <v>939</v>
      </c>
      <c r="B465" s="27" t="s">
        <v>940</v>
      </c>
      <c r="C465" s="29" t="s">
        <v>778</v>
      </c>
      <c r="D465" s="30" t="n">
        <v>1</v>
      </c>
      <c r="E465" s="31" t="n">
        <v>0</v>
      </c>
      <c r="F465" s="31" t="n">
        <v>0</v>
      </c>
      <c r="G465" s="32" t="n">
        <f aca="false">E465+F465</f>
        <v>0</v>
      </c>
      <c r="H465" s="33" t="str">
        <f aca="false">IF(G465&gt;D465,"Vượt KL HĐ","")</f>
        <v/>
      </c>
    </row>
    <row r="466" customFormat="false" ht="15" hidden="false" customHeight="false" outlineLevel="0" collapsed="false">
      <c r="A466" s="12" t="s">
        <v>941</v>
      </c>
      <c r="B466" s="13" t="s">
        <v>942</v>
      </c>
      <c r="C466" s="27"/>
      <c r="D466" s="27"/>
      <c r="E466" s="27"/>
      <c r="F466" s="27"/>
      <c r="G466" s="27"/>
      <c r="H466" s="27"/>
    </row>
    <row r="467" customFormat="false" ht="15" hidden="false" customHeight="false" outlineLevel="0" collapsed="false">
      <c r="A467" s="29" t="s">
        <v>943</v>
      </c>
      <c r="B467" s="27" t="s">
        <v>944</v>
      </c>
      <c r="C467" s="29" t="s">
        <v>111</v>
      </c>
      <c r="D467" s="30" t="n">
        <v>3.6936</v>
      </c>
      <c r="E467" s="31" t="n">
        <v>0</v>
      </c>
      <c r="F467" s="31" t="n">
        <v>0</v>
      </c>
      <c r="G467" s="32" t="n">
        <f aca="false">E467+F467</f>
        <v>0</v>
      </c>
      <c r="H467" s="33" t="str">
        <f aca="false">IF(G467&gt;D467,"Vượt KL HĐ","")</f>
        <v/>
      </c>
    </row>
    <row r="468" customFormat="false" ht="15" hidden="false" customHeight="false" outlineLevel="0" collapsed="false">
      <c r="A468" s="29" t="s">
        <v>945</v>
      </c>
      <c r="B468" s="27" t="s">
        <v>946</v>
      </c>
      <c r="C468" s="29" t="s">
        <v>106</v>
      </c>
      <c r="D468" s="30" t="n">
        <v>0.0402</v>
      </c>
      <c r="E468" s="31" t="n">
        <v>0</v>
      </c>
      <c r="F468" s="31" t="n">
        <v>0</v>
      </c>
      <c r="G468" s="32" t="n">
        <f aca="false">E468+F468</f>
        <v>0</v>
      </c>
      <c r="H468" s="33" t="str">
        <f aca="false">IF(G468&gt;D468,"Vượt KL HĐ","")</f>
        <v/>
      </c>
    </row>
    <row r="469" customFormat="false" ht="15" hidden="false" customHeight="false" outlineLevel="0" collapsed="false">
      <c r="A469" s="29" t="s">
        <v>947</v>
      </c>
      <c r="B469" s="27" t="s">
        <v>180</v>
      </c>
      <c r="C469" s="29" t="s">
        <v>116</v>
      </c>
      <c r="D469" s="30" t="n">
        <v>7.238</v>
      </c>
      <c r="E469" s="31" t="n">
        <v>0</v>
      </c>
      <c r="F469" s="31" t="n">
        <v>0</v>
      </c>
      <c r="G469" s="32" t="n">
        <f aca="false">E469+F469</f>
        <v>0</v>
      </c>
      <c r="H469" s="33" t="str">
        <f aca="false">IF(G469&gt;D469,"Vượt KL HĐ","")</f>
        <v/>
      </c>
    </row>
    <row r="470" customFormat="false" ht="15" hidden="false" customHeight="false" outlineLevel="0" collapsed="false">
      <c r="A470" s="29" t="s">
        <v>948</v>
      </c>
      <c r="B470" s="27" t="s">
        <v>946</v>
      </c>
      <c r="C470" s="29" t="s">
        <v>106</v>
      </c>
      <c r="D470" s="30" t="n">
        <v>0.0985</v>
      </c>
      <c r="E470" s="31" t="n">
        <v>0</v>
      </c>
      <c r="F470" s="31" t="n">
        <v>0</v>
      </c>
      <c r="G470" s="32" t="n">
        <f aca="false">E470+F470</f>
        <v>0</v>
      </c>
      <c r="H470" s="33" t="str">
        <f aca="false">IF(G470&gt;D470,"Vượt KL HĐ","")</f>
        <v/>
      </c>
    </row>
    <row r="471" customFormat="false" ht="15" hidden="false" customHeight="false" outlineLevel="0" collapsed="false">
      <c r="A471" s="29" t="s">
        <v>949</v>
      </c>
      <c r="B471" s="27" t="s">
        <v>950</v>
      </c>
      <c r="C471" s="29" t="s">
        <v>116</v>
      </c>
      <c r="D471" s="30" t="n">
        <v>17.1</v>
      </c>
      <c r="E471" s="31" t="n">
        <v>0</v>
      </c>
      <c r="F471" s="31" t="n">
        <v>0</v>
      </c>
      <c r="G471" s="32" t="n">
        <f aca="false">E471+F471</f>
        <v>0</v>
      </c>
      <c r="H471" s="33" t="str">
        <f aca="false">IF(G471&gt;D471,"Vượt KL HĐ","")</f>
        <v/>
      </c>
    </row>
    <row r="472" customFormat="false" ht="26.85" hidden="false" customHeight="false" outlineLevel="0" collapsed="false">
      <c r="A472" s="29" t="s">
        <v>951</v>
      </c>
      <c r="B472" s="27" t="s">
        <v>952</v>
      </c>
      <c r="C472" s="29" t="s">
        <v>106</v>
      </c>
      <c r="D472" s="30" t="n">
        <v>4.4835</v>
      </c>
      <c r="E472" s="31" t="n">
        <v>0</v>
      </c>
      <c r="F472" s="31" t="n">
        <v>0</v>
      </c>
      <c r="G472" s="32" t="n">
        <f aca="false">E472+F472</f>
        <v>0</v>
      </c>
      <c r="H472" s="33" t="str">
        <f aca="false">IF(G472&gt;D472,"Vượt KL HĐ","")</f>
        <v/>
      </c>
    </row>
    <row r="473" customFormat="false" ht="15" hidden="false" customHeight="false" outlineLevel="0" collapsed="false">
      <c r="A473" s="29" t="s">
        <v>953</v>
      </c>
      <c r="B473" s="27" t="s">
        <v>950</v>
      </c>
      <c r="C473" s="29" t="s">
        <v>116</v>
      </c>
      <c r="D473" s="30" t="n">
        <v>44.835</v>
      </c>
      <c r="E473" s="31" t="n">
        <v>0</v>
      </c>
      <c r="F473" s="31" t="n">
        <v>0</v>
      </c>
      <c r="G473" s="32" t="n">
        <f aca="false">E473+F473</f>
        <v>0</v>
      </c>
      <c r="H473" s="33" t="str">
        <f aca="false">IF(G473&gt;D473,"Vượt KL HĐ","")</f>
        <v/>
      </c>
    </row>
    <row r="474" customFormat="false" ht="15" hidden="false" customHeight="false" outlineLevel="0" collapsed="false">
      <c r="A474" s="29" t="s">
        <v>954</v>
      </c>
      <c r="B474" s="27" t="s">
        <v>955</v>
      </c>
      <c r="C474" s="29" t="s">
        <v>106</v>
      </c>
      <c r="D474" s="30" t="n">
        <v>1.1529</v>
      </c>
      <c r="E474" s="31" t="n">
        <v>0</v>
      </c>
      <c r="F474" s="31" t="n">
        <v>0</v>
      </c>
      <c r="G474" s="32" t="n">
        <f aca="false">E474+F474</f>
        <v>0</v>
      </c>
      <c r="H474" s="33" t="str">
        <f aca="false">IF(G474&gt;D474,"Vượt KL HĐ","")</f>
        <v/>
      </c>
    </row>
    <row r="475" customFormat="false" ht="15" hidden="false" customHeight="false" outlineLevel="0" collapsed="false">
      <c r="A475" s="29" t="s">
        <v>956</v>
      </c>
      <c r="B475" s="27" t="s">
        <v>957</v>
      </c>
      <c r="C475" s="29" t="s">
        <v>116</v>
      </c>
      <c r="D475" s="30" t="n">
        <v>13.302</v>
      </c>
      <c r="E475" s="31" t="n">
        <v>0</v>
      </c>
      <c r="F475" s="31" t="n">
        <v>0</v>
      </c>
      <c r="G475" s="32" t="n">
        <f aca="false">E475+F475</f>
        <v>0</v>
      </c>
      <c r="H475" s="33" t="str">
        <f aca="false">IF(G475&gt;D475,"Vượt KL HĐ","")</f>
        <v/>
      </c>
    </row>
    <row r="476" customFormat="false" ht="15" hidden="false" customHeight="false" outlineLevel="0" collapsed="false">
      <c r="A476" s="29" t="s">
        <v>958</v>
      </c>
      <c r="B476" s="27" t="s">
        <v>959</v>
      </c>
      <c r="C476" s="29" t="s">
        <v>149</v>
      </c>
      <c r="D476" s="30" t="n">
        <v>1.7107</v>
      </c>
      <c r="E476" s="31" t="n">
        <v>0</v>
      </c>
      <c r="F476" s="31" t="n">
        <v>0</v>
      </c>
      <c r="G476" s="32" t="n">
        <f aca="false">E476+F476</f>
        <v>0</v>
      </c>
      <c r="H476" s="33" t="str">
        <f aca="false">IF(G476&gt;D476,"Vượt KL HĐ","")</f>
        <v/>
      </c>
    </row>
    <row r="477" customFormat="false" ht="15" hidden="false" customHeight="false" outlineLevel="0" collapsed="false">
      <c r="A477" s="29" t="s">
        <v>960</v>
      </c>
      <c r="B477" s="27" t="s">
        <v>961</v>
      </c>
      <c r="C477" s="29" t="s">
        <v>149</v>
      </c>
      <c r="D477" s="30" t="n">
        <v>10.9979</v>
      </c>
      <c r="E477" s="31" t="n">
        <v>0</v>
      </c>
      <c r="F477" s="31" t="n">
        <v>0</v>
      </c>
      <c r="G477" s="32" t="n">
        <f aca="false">E477+F477</f>
        <v>0</v>
      </c>
      <c r="H477" s="33" t="str">
        <f aca="false">IF(G477&gt;D477,"Vượt KL HĐ","")</f>
        <v/>
      </c>
    </row>
    <row r="478" customFormat="false" ht="15" hidden="false" customHeight="false" outlineLevel="0" collapsed="false">
      <c r="A478" s="29" t="s">
        <v>962</v>
      </c>
      <c r="B478" s="27" t="s">
        <v>963</v>
      </c>
      <c r="C478" s="29" t="s">
        <v>149</v>
      </c>
      <c r="D478" s="30" t="n">
        <v>1.0158</v>
      </c>
      <c r="E478" s="31" t="n">
        <v>0</v>
      </c>
      <c r="F478" s="31" t="n">
        <v>0</v>
      </c>
      <c r="G478" s="32" t="n">
        <f aca="false">E478+F478</f>
        <v>0</v>
      </c>
      <c r="H478" s="33" t="str">
        <f aca="false">IF(G478&gt;D478,"Vượt KL HĐ","")</f>
        <v/>
      </c>
    </row>
    <row r="479" customFormat="false" ht="15" hidden="false" customHeight="false" outlineLevel="0" collapsed="false">
      <c r="A479" s="29" t="s">
        <v>964</v>
      </c>
      <c r="B479" s="27" t="s">
        <v>965</v>
      </c>
      <c r="C479" s="29" t="s">
        <v>106</v>
      </c>
      <c r="D479" s="30" t="n">
        <v>0.4978</v>
      </c>
      <c r="E479" s="31" t="n">
        <v>0</v>
      </c>
      <c r="F479" s="31" t="n">
        <v>0</v>
      </c>
      <c r="G479" s="32" t="n">
        <f aca="false">E479+F479</f>
        <v>0</v>
      </c>
      <c r="H479" s="33" t="str">
        <f aca="false">IF(G479&gt;D479,"Vượt KL HĐ","")</f>
        <v/>
      </c>
    </row>
    <row r="480" customFormat="false" ht="15" hidden="false" customHeight="false" outlineLevel="0" collapsed="false">
      <c r="A480" s="29" t="s">
        <v>966</v>
      </c>
      <c r="B480" s="27" t="s">
        <v>967</v>
      </c>
      <c r="C480" s="29" t="s">
        <v>116</v>
      </c>
      <c r="D480" s="30" t="n">
        <v>0.0747</v>
      </c>
      <c r="E480" s="31" t="n">
        <v>0</v>
      </c>
      <c r="F480" s="31" t="n">
        <v>0</v>
      </c>
      <c r="G480" s="32" t="n">
        <f aca="false">E480+F480</f>
        <v>0</v>
      </c>
      <c r="H480" s="33" t="str">
        <f aca="false">IF(G480&gt;D480,"Vượt KL HĐ","")</f>
        <v/>
      </c>
    </row>
    <row r="481" customFormat="false" ht="15" hidden="false" customHeight="false" outlineLevel="0" collapsed="false">
      <c r="A481" s="12" t="s">
        <v>968</v>
      </c>
      <c r="B481" s="13" t="s">
        <v>969</v>
      </c>
      <c r="C481" s="27"/>
      <c r="D481" s="27"/>
      <c r="E481" s="27"/>
      <c r="F481" s="27"/>
      <c r="G481" s="27"/>
      <c r="H481" s="27"/>
    </row>
    <row r="482" customFormat="false" ht="15" hidden="false" customHeight="false" outlineLevel="0" collapsed="false">
      <c r="A482" s="12" t="s">
        <v>970</v>
      </c>
      <c r="B482" s="28" t="s">
        <v>971</v>
      </c>
      <c r="C482" s="27"/>
      <c r="D482" s="27"/>
      <c r="E482" s="27"/>
      <c r="F482" s="27"/>
      <c r="G482" s="27"/>
      <c r="H482" s="27"/>
    </row>
    <row r="483" customFormat="false" ht="15" hidden="false" customHeight="false" outlineLevel="0" collapsed="false">
      <c r="A483" s="29" t="s">
        <v>972</v>
      </c>
      <c r="B483" s="27" t="s">
        <v>944</v>
      </c>
      <c r="C483" s="29" t="s">
        <v>111</v>
      </c>
      <c r="D483" s="30" t="n">
        <v>0.6318</v>
      </c>
      <c r="E483" s="31" t="n">
        <v>0</v>
      </c>
      <c r="F483" s="31" t="n">
        <v>0</v>
      </c>
      <c r="G483" s="32" t="n">
        <f aca="false">E483+F483</f>
        <v>0</v>
      </c>
      <c r="H483" s="33" t="str">
        <f aca="false">IF(G483&gt;D483,"Vượt KL HĐ","")</f>
        <v/>
      </c>
    </row>
    <row r="484" customFormat="false" ht="15" hidden="false" customHeight="false" outlineLevel="0" collapsed="false">
      <c r="A484" s="29" t="s">
        <v>973</v>
      </c>
      <c r="B484" s="27" t="s">
        <v>946</v>
      </c>
      <c r="C484" s="29" t="s">
        <v>106</v>
      </c>
      <c r="D484" s="30" t="n">
        <v>0.0592</v>
      </c>
      <c r="E484" s="31" t="n">
        <v>0</v>
      </c>
      <c r="F484" s="31" t="n">
        <v>0</v>
      </c>
      <c r="G484" s="32" t="n">
        <f aca="false">E484+F484</f>
        <v>0</v>
      </c>
      <c r="H484" s="33" t="str">
        <f aca="false">IF(G484&gt;D484,"Vượt KL HĐ","")</f>
        <v/>
      </c>
    </row>
    <row r="485" customFormat="false" ht="15" hidden="false" customHeight="false" outlineLevel="0" collapsed="false">
      <c r="A485" s="29" t="s">
        <v>974</v>
      </c>
      <c r="B485" s="27" t="s">
        <v>975</v>
      </c>
      <c r="C485" s="29" t="s">
        <v>116</v>
      </c>
      <c r="D485" s="30" t="n">
        <v>0.676</v>
      </c>
      <c r="E485" s="31" t="n">
        <v>0</v>
      </c>
      <c r="F485" s="31" t="n">
        <v>0</v>
      </c>
      <c r="G485" s="32" t="n">
        <f aca="false">E485+F485</f>
        <v>0</v>
      </c>
      <c r="H485" s="33" t="str">
        <f aca="false">IF(G485&gt;D485,"Vượt KL HĐ","")</f>
        <v/>
      </c>
    </row>
    <row r="486" customFormat="false" ht="15" hidden="false" customHeight="false" outlineLevel="0" collapsed="false">
      <c r="A486" s="29" t="s">
        <v>976</v>
      </c>
      <c r="B486" s="27" t="s">
        <v>977</v>
      </c>
      <c r="C486" s="29" t="s">
        <v>116</v>
      </c>
      <c r="D486" s="30" t="n">
        <v>1.5625</v>
      </c>
      <c r="E486" s="31" t="n">
        <v>0</v>
      </c>
      <c r="F486" s="31" t="n">
        <v>0</v>
      </c>
      <c r="G486" s="32" t="n">
        <f aca="false">E486+F486</f>
        <v>0</v>
      </c>
      <c r="H486" s="33" t="str">
        <f aca="false">IF(G486&gt;D486,"Vượt KL HĐ","")</f>
        <v/>
      </c>
    </row>
    <row r="487" customFormat="false" ht="15" hidden="false" customHeight="false" outlineLevel="0" collapsed="false">
      <c r="A487" s="29" t="s">
        <v>978</v>
      </c>
      <c r="B487" s="27" t="s">
        <v>946</v>
      </c>
      <c r="C487" s="29" t="s">
        <v>106</v>
      </c>
      <c r="D487" s="30" t="n">
        <v>0.0388</v>
      </c>
      <c r="E487" s="31" t="n">
        <v>0</v>
      </c>
      <c r="F487" s="31" t="n">
        <v>0</v>
      </c>
      <c r="G487" s="32" t="n">
        <f aca="false">E487+F487</f>
        <v>0</v>
      </c>
      <c r="H487" s="33" t="str">
        <f aca="false">IF(G487&gt;D487,"Vượt KL HĐ","")</f>
        <v/>
      </c>
    </row>
    <row r="488" customFormat="false" ht="15" hidden="false" customHeight="false" outlineLevel="0" collapsed="false">
      <c r="A488" s="29" t="s">
        <v>979</v>
      </c>
      <c r="B488" s="27" t="s">
        <v>980</v>
      </c>
      <c r="C488" s="29" t="s">
        <v>116</v>
      </c>
      <c r="D488" s="30" t="n">
        <v>0.6208</v>
      </c>
      <c r="E488" s="31" t="n">
        <v>0</v>
      </c>
      <c r="F488" s="31" t="n">
        <v>0</v>
      </c>
      <c r="G488" s="32" t="n">
        <f aca="false">E488+F488</f>
        <v>0</v>
      </c>
      <c r="H488" s="33" t="str">
        <f aca="false">IF(G488&gt;D488,"Vượt KL HĐ","")</f>
        <v/>
      </c>
    </row>
    <row r="489" customFormat="false" ht="15" hidden="false" customHeight="false" outlineLevel="0" collapsed="false">
      <c r="A489" s="29" t="s">
        <v>981</v>
      </c>
      <c r="B489" s="27" t="s">
        <v>946</v>
      </c>
      <c r="C489" s="29" t="s">
        <v>106</v>
      </c>
      <c r="D489" s="30" t="n">
        <v>0.1552</v>
      </c>
      <c r="E489" s="31" t="n">
        <v>0</v>
      </c>
      <c r="F489" s="31" t="n">
        <v>0</v>
      </c>
      <c r="G489" s="32" t="n">
        <f aca="false">E489+F489</f>
        <v>0</v>
      </c>
      <c r="H489" s="33" t="str">
        <f aca="false">IF(G489&gt;D489,"Vượt KL HĐ","")</f>
        <v/>
      </c>
    </row>
    <row r="490" customFormat="false" ht="15" hidden="false" customHeight="false" outlineLevel="0" collapsed="false">
      <c r="A490" s="29" t="s">
        <v>982</v>
      </c>
      <c r="B490" s="27" t="s">
        <v>983</v>
      </c>
      <c r="C490" s="29" t="s">
        <v>116</v>
      </c>
      <c r="D490" s="30" t="n">
        <v>1.7072</v>
      </c>
      <c r="E490" s="31" t="n">
        <v>0</v>
      </c>
      <c r="F490" s="31" t="n">
        <v>0</v>
      </c>
      <c r="G490" s="32" t="n">
        <f aca="false">E490+F490</f>
        <v>0</v>
      </c>
      <c r="H490" s="33" t="str">
        <f aca="false">IF(G490&gt;D490,"Vượt KL HĐ","")</f>
        <v/>
      </c>
    </row>
    <row r="491" customFormat="false" ht="15" hidden="false" customHeight="false" outlineLevel="0" collapsed="false">
      <c r="A491" s="29" t="s">
        <v>984</v>
      </c>
      <c r="B491" s="27" t="s">
        <v>946</v>
      </c>
      <c r="C491" s="29" t="s">
        <v>106</v>
      </c>
      <c r="D491" s="30" t="n">
        <v>0.0388</v>
      </c>
      <c r="E491" s="31" t="n">
        <v>0</v>
      </c>
      <c r="F491" s="31" t="n">
        <v>0</v>
      </c>
      <c r="G491" s="32" t="n">
        <f aca="false">E491+F491</f>
        <v>0</v>
      </c>
      <c r="H491" s="33" t="str">
        <f aca="false">IF(G491&gt;D491,"Vượt KL HĐ","")</f>
        <v/>
      </c>
    </row>
    <row r="492" customFormat="false" ht="15" hidden="false" customHeight="false" outlineLevel="0" collapsed="false">
      <c r="A492" s="29" t="s">
        <v>985</v>
      </c>
      <c r="B492" s="27" t="s">
        <v>983</v>
      </c>
      <c r="C492" s="29" t="s">
        <v>116</v>
      </c>
      <c r="D492" s="30" t="n">
        <v>0.4268</v>
      </c>
      <c r="E492" s="31" t="n">
        <v>0</v>
      </c>
      <c r="F492" s="31" t="n">
        <v>0</v>
      </c>
      <c r="G492" s="32" t="n">
        <f aca="false">E492+F492</f>
        <v>0</v>
      </c>
      <c r="H492" s="33" t="str">
        <f aca="false">IF(G492&gt;D492,"Vượt KL HĐ","")</f>
        <v/>
      </c>
    </row>
    <row r="493" customFormat="false" ht="15" hidden="false" customHeight="false" outlineLevel="0" collapsed="false">
      <c r="A493" s="29" t="s">
        <v>986</v>
      </c>
      <c r="B493" s="27" t="s">
        <v>987</v>
      </c>
      <c r="C493" s="29" t="s">
        <v>106</v>
      </c>
      <c r="D493" s="30" t="n">
        <v>0.0493</v>
      </c>
      <c r="E493" s="31" t="n">
        <v>0</v>
      </c>
      <c r="F493" s="31" t="n">
        <v>0</v>
      </c>
      <c r="G493" s="32" t="n">
        <f aca="false">E493+F493</f>
        <v>0</v>
      </c>
      <c r="H493" s="33" t="str">
        <f aca="false">IF(G493&gt;D493,"Vượt KL HĐ","")</f>
        <v/>
      </c>
    </row>
    <row r="494" customFormat="false" ht="15" hidden="false" customHeight="false" outlineLevel="0" collapsed="false">
      <c r="A494" s="29" t="s">
        <v>988</v>
      </c>
      <c r="B494" s="27" t="s">
        <v>989</v>
      </c>
      <c r="C494" s="29" t="s">
        <v>116</v>
      </c>
      <c r="D494" s="30" t="n">
        <v>0.271</v>
      </c>
      <c r="E494" s="31" t="n">
        <v>0</v>
      </c>
      <c r="F494" s="31" t="n">
        <v>0</v>
      </c>
      <c r="G494" s="32" t="n">
        <f aca="false">E494+F494</f>
        <v>0</v>
      </c>
      <c r="H494" s="33" t="str">
        <f aca="false">IF(G494&gt;D494,"Vượt KL HĐ","")</f>
        <v/>
      </c>
    </row>
    <row r="495" customFormat="false" ht="15" hidden="false" customHeight="false" outlineLevel="0" collapsed="false">
      <c r="A495" s="29" t="s">
        <v>990</v>
      </c>
      <c r="B495" s="27" t="s">
        <v>959</v>
      </c>
      <c r="C495" s="29" t="s">
        <v>149</v>
      </c>
      <c r="D495" s="30" t="n">
        <v>0.412</v>
      </c>
      <c r="E495" s="31" t="n">
        <v>0</v>
      </c>
      <c r="F495" s="31" t="n">
        <v>0</v>
      </c>
      <c r="G495" s="32" t="n">
        <f aca="false">E495+F495</f>
        <v>0</v>
      </c>
      <c r="H495" s="33" t="str">
        <f aca="false">IF(G495&gt;D495,"Vượt KL HĐ","")</f>
        <v/>
      </c>
    </row>
    <row r="496" customFormat="false" ht="15" hidden="false" customHeight="false" outlineLevel="0" collapsed="false">
      <c r="A496" s="29" t="s">
        <v>991</v>
      </c>
      <c r="B496" s="27" t="s">
        <v>961</v>
      </c>
      <c r="C496" s="29" t="s">
        <v>149</v>
      </c>
      <c r="D496" s="30" t="n">
        <v>0.5446</v>
      </c>
      <c r="E496" s="31" t="n">
        <v>0</v>
      </c>
      <c r="F496" s="31" t="n">
        <v>0</v>
      </c>
      <c r="G496" s="32" t="n">
        <f aca="false">E496+F496</f>
        <v>0</v>
      </c>
      <c r="H496" s="33" t="str">
        <f aca="false">IF(G496&gt;D496,"Vượt KL HĐ","")</f>
        <v/>
      </c>
    </row>
    <row r="497" customFormat="false" ht="26.85" hidden="false" customHeight="false" outlineLevel="0" collapsed="false">
      <c r="A497" s="29" t="s">
        <v>992</v>
      </c>
      <c r="B497" s="27" t="s">
        <v>993</v>
      </c>
      <c r="C497" s="29" t="s">
        <v>116</v>
      </c>
      <c r="D497" s="30" t="n">
        <v>3.2987</v>
      </c>
      <c r="E497" s="31" t="n">
        <v>0</v>
      </c>
      <c r="F497" s="31" t="n">
        <v>0</v>
      </c>
      <c r="G497" s="32" t="n">
        <f aca="false">E497+F497</f>
        <v>0</v>
      </c>
      <c r="H497" s="33" t="str">
        <f aca="false">IF(G497&gt;D497,"Vượt KL HĐ","")</f>
        <v/>
      </c>
    </row>
    <row r="498" customFormat="false" ht="15" hidden="false" customHeight="false" outlineLevel="0" collapsed="false">
      <c r="A498" s="29" t="s">
        <v>994</v>
      </c>
      <c r="B498" s="27" t="s">
        <v>995</v>
      </c>
      <c r="C498" s="29" t="s">
        <v>116</v>
      </c>
      <c r="D498" s="30" t="n">
        <v>0.5034</v>
      </c>
      <c r="E498" s="31" t="n">
        <v>0</v>
      </c>
      <c r="F498" s="31" t="n">
        <v>0</v>
      </c>
      <c r="G498" s="32" t="n">
        <f aca="false">E498+F498</f>
        <v>0</v>
      </c>
      <c r="H498" s="33" t="str">
        <f aca="false">IF(G498&gt;D498,"Vượt KL HĐ","")</f>
        <v/>
      </c>
    </row>
    <row r="499" customFormat="false" ht="15" hidden="false" customHeight="false" outlineLevel="0" collapsed="false">
      <c r="A499" s="29" t="s">
        <v>996</v>
      </c>
      <c r="B499" s="27" t="s">
        <v>997</v>
      </c>
      <c r="C499" s="29" t="s">
        <v>106</v>
      </c>
      <c r="D499" s="30" t="n">
        <v>0.0915</v>
      </c>
      <c r="E499" s="31" t="n">
        <v>0</v>
      </c>
      <c r="F499" s="31" t="n">
        <v>0</v>
      </c>
      <c r="G499" s="32" t="n">
        <f aca="false">E499+F499</f>
        <v>0</v>
      </c>
      <c r="H499" s="33" t="str">
        <f aca="false">IF(G499&gt;D499,"Vượt KL HĐ","")</f>
        <v/>
      </c>
    </row>
    <row r="500" customFormat="false" ht="26.85" hidden="false" customHeight="false" outlineLevel="0" collapsed="false">
      <c r="A500" s="29" t="s">
        <v>998</v>
      </c>
      <c r="B500" s="27" t="s">
        <v>993</v>
      </c>
      <c r="C500" s="29" t="s">
        <v>116</v>
      </c>
      <c r="D500" s="30" t="n">
        <v>4.3124</v>
      </c>
      <c r="E500" s="31" t="n">
        <v>0</v>
      </c>
      <c r="F500" s="31" t="n">
        <v>0</v>
      </c>
      <c r="G500" s="32" t="n">
        <f aca="false">E500+F500</f>
        <v>0</v>
      </c>
      <c r="H500" s="33" t="str">
        <f aca="false">IF(G500&gt;D500,"Vượt KL HĐ","")</f>
        <v/>
      </c>
    </row>
    <row r="501" customFormat="false" ht="15" hidden="false" customHeight="false" outlineLevel="0" collapsed="false">
      <c r="A501" s="29" t="s">
        <v>999</v>
      </c>
      <c r="B501" s="27" t="s">
        <v>1000</v>
      </c>
      <c r="C501" s="29" t="s">
        <v>131</v>
      </c>
      <c r="D501" s="30" t="n">
        <v>39.2036</v>
      </c>
      <c r="E501" s="31" t="n">
        <v>0</v>
      </c>
      <c r="F501" s="31" t="n">
        <v>0</v>
      </c>
      <c r="G501" s="32" t="n">
        <f aca="false">E501+F501</f>
        <v>0</v>
      </c>
      <c r="H501" s="33" t="str">
        <f aca="false">IF(G501&gt;D501,"Vượt KL HĐ","")</f>
        <v/>
      </c>
    </row>
    <row r="502" customFormat="false" ht="15" hidden="false" customHeight="false" outlineLevel="0" collapsed="false">
      <c r="A502" s="29" t="s">
        <v>1001</v>
      </c>
      <c r="B502" s="27" t="s">
        <v>1002</v>
      </c>
      <c r="C502" s="29" t="s">
        <v>131</v>
      </c>
      <c r="D502" s="30" t="n">
        <v>39.2036</v>
      </c>
      <c r="E502" s="31" t="n">
        <v>0</v>
      </c>
      <c r="F502" s="31" t="n">
        <v>0</v>
      </c>
      <c r="G502" s="32" t="n">
        <f aca="false">E502+F502</f>
        <v>0</v>
      </c>
      <c r="H502" s="33" t="str">
        <f aca="false">IF(G502&gt;D502,"Vượt KL HĐ","")</f>
        <v/>
      </c>
    </row>
    <row r="503" customFormat="false" ht="26.85" hidden="false" customHeight="false" outlineLevel="0" collapsed="false">
      <c r="A503" s="29" t="s">
        <v>1003</v>
      </c>
      <c r="B503" s="27" t="s">
        <v>1004</v>
      </c>
      <c r="C503" s="29" t="s">
        <v>131</v>
      </c>
      <c r="D503" s="30" t="n">
        <v>39.2036</v>
      </c>
      <c r="E503" s="31" t="n">
        <v>0</v>
      </c>
      <c r="F503" s="31" t="n">
        <v>0</v>
      </c>
      <c r="G503" s="32" t="n">
        <f aca="false">E503+F503</f>
        <v>0</v>
      </c>
      <c r="H503" s="33" t="str">
        <f aca="false">IF(G503&gt;D503,"Vượt KL HĐ","")</f>
        <v/>
      </c>
    </row>
    <row r="504" customFormat="false" ht="26.85" hidden="false" customHeight="false" outlineLevel="0" collapsed="false">
      <c r="A504" s="29" t="s">
        <v>1005</v>
      </c>
      <c r="B504" s="27" t="s">
        <v>1006</v>
      </c>
      <c r="C504" s="29" t="s">
        <v>131</v>
      </c>
      <c r="D504" s="30" t="n">
        <v>59.9972</v>
      </c>
      <c r="E504" s="31" t="n">
        <v>0</v>
      </c>
      <c r="F504" s="31" t="n">
        <v>0</v>
      </c>
      <c r="G504" s="32" t="n">
        <f aca="false">E504+F504</f>
        <v>0</v>
      </c>
      <c r="H504" s="33" t="str">
        <f aca="false">IF(G504&gt;D504,"Vượt KL HĐ","")</f>
        <v/>
      </c>
    </row>
    <row r="505" customFormat="false" ht="15" hidden="false" customHeight="false" outlineLevel="0" collapsed="false">
      <c r="A505" s="29" t="s">
        <v>1007</v>
      </c>
      <c r="B505" s="27" t="s">
        <v>965</v>
      </c>
      <c r="C505" s="29" t="s">
        <v>106</v>
      </c>
      <c r="D505" s="30" t="n">
        <v>0.2079</v>
      </c>
      <c r="E505" s="31" t="n">
        <v>0</v>
      </c>
      <c r="F505" s="31" t="n">
        <v>0</v>
      </c>
      <c r="G505" s="32" t="n">
        <f aca="false">E505+F505</f>
        <v>0</v>
      </c>
      <c r="H505" s="33" t="str">
        <f aca="false">IF(G505&gt;D505,"Vượt KL HĐ","")</f>
        <v/>
      </c>
    </row>
    <row r="506" customFormat="false" ht="15" hidden="false" customHeight="false" outlineLevel="0" collapsed="false">
      <c r="A506" s="29" t="s">
        <v>1008</v>
      </c>
      <c r="B506" s="27" t="s">
        <v>967</v>
      </c>
      <c r="C506" s="29" t="s">
        <v>116</v>
      </c>
      <c r="D506" s="30" t="n">
        <v>2.0794</v>
      </c>
      <c r="E506" s="31" t="n">
        <v>0</v>
      </c>
      <c r="F506" s="31" t="n">
        <v>0</v>
      </c>
      <c r="G506" s="32" t="n">
        <f aca="false">E506+F506</f>
        <v>0</v>
      </c>
      <c r="H506" s="33" t="str">
        <f aca="false">IF(G506&gt;D506,"Vượt KL HĐ","")</f>
        <v/>
      </c>
    </row>
    <row r="507" customFormat="false" ht="15" hidden="false" customHeight="false" outlineLevel="0" collapsed="false">
      <c r="A507" s="29" t="s">
        <v>1009</v>
      </c>
      <c r="B507" s="27" t="s">
        <v>955</v>
      </c>
      <c r="C507" s="29" t="s">
        <v>106</v>
      </c>
      <c r="D507" s="30" t="n">
        <v>0.36</v>
      </c>
      <c r="E507" s="31" t="n">
        <v>0</v>
      </c>
      <c r="F507" s="31" t="n">
        <v>0</v>
      </c>
      <c r="G507" s="32" t="n">
        <f aca="false">E507+F507</f>
        <v>0</v>
      </c>
      <c r="H507" s="33" t="str">
        <f aca="false">IF(G507&gt;D507,"Vượt KL HĐ","")</f>
        <v/>
      </c>
    </row>
    <row r="508" customFormat="false" ht="15" hidden="false" customHeight="false" outlineLevel="0" collapsed="false">
      <c r="A508" s="29" t="s">
        <v>1010</v>
      </c>
      <c r="B508" s="27" t="s">
        <v>1011</v>
      </c>
      <c r="C508" s="29" t="s">
        <v>131</v>
      </c>
      <c r="D508" s="30" t="n">
        <v>36</v>
      </c>
      <c r="E508" s="31" t="n">
        <v>0</v>
      </c>
      <c r="F508" s="31" t="n">
        <v>0</v>
      </c>
      <c r="G508" s="32" t="n">
        <f aca="false">E508+F508</f>
        <v>0</v>
      </c>
      <c r="H508" s="33" t="str">
        <f aca="false">IF(G508&gt;D508,"Vượt KL HĐ","")</f>
        <v/>
      </c>
    </row>
    <row r="509" customFormat="false" ht="15" hidden="false" customHeight="false" outlineLevel="0" collapsed="false">
      <c r="A509" s="29" t="s">
        <v>1012</v>
      </c>
      <c r="B509" s="27" t="s">
        <v>1013</v>
      </c>
      <c r="C509" s="29" t="s">
        <v>131</v>
      </c>
      <c r="D509" s="30" t="n">
        <v>19.4256</v>
      </c>
      <c r="E509" s="31" t="n">
        <v>0</v>
      </c>
      <c r="F509" s="31" t="n">
        <v>0</v>
      </c>
      <c r="G509" s="32" t="n">
        <f aca="false">E509+F509</f>
        <v>0</v>
      </c>
      <c r="H509" s="33" t="str">
        <f aca="false">IF(G509&gt;D509,"Vượt KL HĐ","")</f>
        <v/>
      </c>
    </row>
    <row r="510" customFormat="false" ht="26.85" hidden="false" customHeight="false" outlineLevel="0" collapsed="false">
      <c r="A510" s="29" t="s">
        <v>1014</v>
      </c>
      <c r="B510" s="27" t="s">
        <v>1015</v>
      </c>
      <c r="C510" s="29" t="s">
        <v>131</v>
      </c>
      <c r="D510" s="30" t="n">
        <v>1.98</v>
      </c>
      <c r="E510" s="31" t="n">
        <v>0</v>
      </c>
      <c r="F510" s="31" t="n">
        <v>0</v>
      </c>
      <c r="G510" s="32" t="n">
        <f aca="false">E510+F510</f>
        <v>0</v>
      </c>
      <c r="H510" s="33" t="str">
        <f aca="false">IF(G510&gt;D510,"Vượt KL HĐ","")</f>
        <v/>
      </c>
    </row>
    <row r="511" customFormat="false" ht="26.85" hidden="false" customHeight="false" outlineLevel="0" collapsed="false">
      <c r="A511" s="29" t="s">
        <v>1016</v>
      </c>
      <c r="B511" s="27" t="s">
        <v>1017</v>
      </c>
      <c r="C511" s="29" t="s">
        <v>131</v>
      </c>
      <c r="D511" s="30" t="n">
        <v>7.54</v>
      </c>
      <c r="E511" s="31" t="n">
        <v>0</v>
      </c>
      <c r="F511" s="31" t="n">
        <v>0</v>
      </c>
      <c r="G511" s="32" t="n">
        <f aca="false">E511+F511</f>
        <v>0</v>
      </c>
      <c r="H511" s="33" t="str">
        <f aca="false">IF(G511&gt;D511,"Vượt KL HĐ","")</f>
        <v/>
      </c>
    </row>
    <row r="512" customFormat="false" ht="15" hidden="false" customHeight="false" outlineLevel="0" collapsed="false">
      <c r="A512" s="29" t="s">
        <v>1018</v>
      </c>
      <c r="B512" s="27" t="s">
        <v>1019</v>
      </c>
      <c r="C512" s="29" t="s">
        <v>240</v>
      </c>
      <c r="D512" s="30" t="n">
        <v>1</v>
      </c>
      <c r="E512" s="31" t="n">
        <v>0</v>
      </c>
      <c r="F512" s="31" t="n">
        <v>0</v>
      </c>
      <c r="G512" s="32" t="n">
        <f aca="false">E512+F512</f>
        <v>0</v>
      </c>
      <c r="H512" s="33" t="str">
        <f aca="false">IF(G512&gt;D512,"Vượt KL HĐ","")</f>
        <v/>
      </c>
    </row>
    <row r="513" customFormat="false" ht="15" hidden="false" customHeight="false" outlineLevel="0" collapsed="false">
      <c r="A513" s="12" t="s">
        <v>1020</v>
      </c>
      <c r="B513" s="28" t="s">
        <v>1021</v>
      </c>
      <c r="C513" s="27"/>
      <c r="D513" s="27"/>
      <c r="E513" s="27"/>
      <c r="F513" s="27"/>
      <c r="G513" s="27"/>
      <c r="H513" s="27"/>
    </row>
    <row r="514" customFormat="false" ht="15" hidden="false" customHeight="false" outlineLevel="0" collapsed="false">
      <c r="A514" s="29" t="s">
        <v>1022</v>
      </c>
      <c r="B514" s="27" t="s">
        <v>1023</v>
      </c>
      <c r="C514" s="29" t="s">
        <v>116</v>
      </c>
      <c r="D514" s="30" t="n">
        <v>0.507</v>
      </c>
      <c r="E514" s="31" t="n">
        <v>0</v>
      </c>
      <c r="F514" s="31" t="n">
        <v>0</v>
      </c>
      <c r="G514" s="32" t="n">
        <f aca="false">E514+F514</f>
        <v>0</v>
      </c>
      <c r="H514" s="33" t="str">
        <f aca="false">IF(G514&gt;D514,"Vượt KL HĐ","")</f>
        <v/>
      </c>
    </row>
    <row r="515" customFormat="false" ht="26.85" hidden="false" customHeight="false" outlineLevel="0" collapsed="false">
      <c r="A515" s="29" t="s">
        <v>1024</v>
      </c>
      <c r="B515" s="27" t="s">
        <v>993</v>
      </c>
      <c r="C515" s="29" t="s">
        <v>116</v>
      </c>
      <c r="D515" s="30" t="n">
        <v>1.1035</v>
      </c>
      <c r="E515" s="31" t="n">
        <v>0</v>
      </c>
      <c r="F515" s="31" t="n">
        <v>0</v>
      </c>
      <c r="G515" s="32" t="n">
        <f aca="false">E515+F515</f>
        <v>0</v>
      </c>
      <c r="H515" s="33" t="str">
        <f aca="false">IF(G515&gt;D515,"Vượt KL HĐ","")</f>
        <v/>
      </c>
    </row>
    <row r="516" customFormat="false" ht="15" hidden="false" customHeight="false" outlineLevel="0" collapsed="false">
      <c r="A516" s="29" t="s">
        <v>1025</v>
      </c>
      <c r="B516" s="27" t="s">
        <v>1026</v>
      </c>
      <c r="C516" s="29" t="s">
        <v>116</v>
      </c>
      <c r="D516" s="30" t="n">
        <v>0.2006</v>
      </c>
      <c r="E516" s="31" t="n">
        <v>0</v>
      </c>
      <c r="F516" s="31" t="n">
        <v>0</v>
      </c>
      <c r="G516" s="32" t="n">
        <f aca="false">E516+F516</f>
        <v>0</v>
      </c>
      <c r="H516" s="33" t="str">
        <f aca="false">IF(G516&gt;D516,"Vượt KL HĐ","")</f>
        <v/>
      </c>
    </row>
    <row r="517" customFormat="false" ht="26.85" hidden="false" customHeight="false" outlineLevel="0" collapsed="false">
      <c r="A517" s="29" t="s">
        <v>1027</v>
      </c>
      <c r="B517" s="27" t="s">
        <v>1028</v>
      </c>
      <c r="C517" s="29" t="s">
        <v>116</v>
      </c>
      <c r="D517" s="30" t="n">
        <v>0.0677</v>
      </c>
      <c r="E517" s="31" t="n">
        <v>0</v>
      </c>
      <c r="F517" s="31" t="n">
        <v>0</v>
      </c>
      <c r="G517" s="32" t="n">
        <f aca="false">E517+F517</f>
        <v>0</v>
      </c>
      <c r="H517" s="33" t="str">
        <f aca="false">IF(G517&gt;D517,"Vượt KL HĐ","")</f>
        <v/>
      </c>
    </row>
    <row r="518" customFormat="false" ht="26.85" hidden="false" customHeight="false" outlineLevel="0" collapsed="false">
      <c r="A518" s="29" t="s">
        <v>1029</v>
      </c>
      <c r="B518" s="27" t="s">
        <v>1030</v>
      </c>
      <c r="C518" s="29" t="s">
        <v>149</v>
      </c>
      <c r="D518" s="30" t="n">
        <v>0.0683</v>
      </c>
      <c r="E518" s="31" t="n">
        <v>0</v>
      </c>
      <c r="F518" s="31" t="n">
        <v>0</v>
      </c>
      <c r="G518" s="32" t="n">
        <f aca="false">E518+F518</f>
        <v>0</v>
      </c>
      <c r="H518" s="33" t="str">
        <f aca="false">IF(G518&gt;D518,"Vượt KL HĐ","")</f>
        <v/>
      </c>
    </row>
    <row r="519" customFormat="false" ht="15" hidden="false" customHeight="false" outlineLevel="0" collapsed="false">
      <c r="A519" s="29" t="s">
        <v>1031</v>
      </c>
      <c r="B519" s="27" t="s">
        <v>1032</v>
      </c>
      <c r="C519" s="29" t="s">
        <v>131</v>
      </c>
      <c r="D519" s="30" t="n">
        <v>8.8</v>
      </c>
      <c r="E519" s="31" t="n">
        <v>0</v>
      </c>
      <c r="F519" s="31" t="n">
        <v>0</v>
      </c>
      <c r="G519" s="32" t="n">
        <f aca="false">E519+F519</f>
        <v>0</v>
      </c>
      <c r="H519" s="33" t="str">
        <f aca="false">IF(G519&gt;D519,"Vượt KL HĐ","")</f>
        <v/>
      </c>
    </row>
    <row r="520" customFormat="false" ht="15" hidden="false" customHeight="false" outlineLevel="0" collapsed="false">
      <c r="A520" s="29" t="s">
        <v>1033</v>
      </c>
      <c r="B520" s="27" t="s">
        <v>1034</v>
      </c>
      <c r="C520" s="29" t="s">
        <v>131</v>
      </c>
      <c r="D520" s="30" t="n">
        <v>5.72</v>
      </c>
      <c r="E520" s="31" t="n">
        <v>0</v>
      </c>
      <c r="F520" s="31" t="n">
        <v>0</v>
      </c>
      <c r="G520" s="32" t="n">
        <f aca="false">E520+F520</f>
        <v>0</v>
      </c>
      <c r="H520" s="33" t="str">
        <f aca="false">IF(G520&gt;D520,"Vượt KL HĐ","")</f>
        <v/>
      </c>
    </row>
    <row r="521" customFormat="false" ht="15" hidden="false" customHeight="false" outlineLevel="0" collapsed="false">
      <c r="A521" s="12" t="s">
        <v>1035</v>
      </c>
      <c r="B521" s="28" t="s">
        <v>1036</v>
      </c>
      <c r="C521" s="27"/>
      <c r="D521" s="27"/>
      <c r="E521" s="27"/>
      <c r="F521" s="27"/>
      <c r="G521" s="27"/>
      <c r="H521" s="27"/>
    </row>
    <row r="522" customFormat="false" ht="15" hidden="false" customHeight="false" outlineLevel="0" collapsed="false">
      <c r="A522" s="29" t="s">
        <v>1037</v>
      </c>
      <c r="B522" s="27" t="s">
        <v>944</v>
      </c>
      <c r="C522" s="29" t="s">
        <v>111</v>
      </c>
      <c r="D522" s="30" t="n">
        <v>2.52</v>
      </c>
      <c r="E522" s="31" t="n">
        <v>0</v>
      </c>
      <c r="F522" s="31" t="n">
        <v>0</v>
      </c>
      <c r="G522" s="32" t="n">
        <f aca="false">E522+F522</f>
        <v>0</v>
      </c>
      <c r="H522" s="33" t="str">
        <f aca="false">IF(G522&gt;D522,"Vượt KL HĐ","")</f>
        <v/>
      </c>
    </row>
    <row r="523" customFormat="false" ht="15" hidden="false" customHeight="false" outlineLevel="0" collapsed="false">
      <c r="A523" s="29" t="s">
        <v>1038</v>
      </c>
      <c r="B523" s="27" t="s">
        <v>1039</v>
      </c>
      <c r="C523" s="29" t="s">
        <v>106</v>
      </c>
      <c r="D523" s="30" t="n">
        <v>0.078</v>
      </c>
      <c r="E523" s="31" t="n">
        <v>0</v>
      </c>
      <c r="F523" s="31" t="n">
        <v>0</v>
      </c>
      <c r="G523" s="32" t="n">
        <f aca="false">E523+F523</f>
        <v>0</v>
      </c>
      <c r="H523" s="33" t="str">
        <f aca="false">IF(G523&gt;D523,"Vượt KL HĐ","")</f>
        <v/>
      </c>
    </row>
    <row r="524" customFormat="false" ht="15" hidden="false" customHeight="false" outlineLevel="0" collapsed="false">
      <c r="A524" s="29" t="s">
        <v>1040</v>
      </c>
      <c r="B524" s="27" t="s">
        <v>1041</v>
      </c>
      <c r="C524" s="29" t="s">
        <v>116</v>
      </c>
      <c r="D524" s="30" t="n">
        <v>6.735</v>
      </c>
      <c r="E524" s="31" t="n">
        <v>0</v>
      </c>
      <c r="F524" s="31" t="n">
        <v>0</v>
      </c>
      <c r="G524" s="32" t="n">
        <f aca="false">E524+F524</f>
        <v>0</v>
      </c>
      <c r="H524" s="33" t="str">
        <f aca="false">IF(G524&gt;D524,"Vượt KL HĐ","")</f>
        <v/>
      </c>
    </row>
    <row r="525" customFormat="false" ht="15" hidden="false" customHeight="false" outlineLevel="0" collapsed="false">
      <c r="A525" s="29" t="s">
        <v>1042</v>
      </c>
      <c r="B525" s="27" t="s">
        <v>955</v>
      </c>
      <c r="C525" s="29" t="s">
        <v>106</v>
      </c>
      <c r="D525" s="30" t="n">
        <v>0.39</v>
      </c>
      <c r="E525" s="31" t="n">
        <v>0</v>
      </c>
      <c r="F525" s="31" t="n">
        <v>0</v>
      </c>
      <c r="G525" s="32" t="n">
        <f aca="false">E525+F525</f>
        <v>0</v>
      </c>
      <c r="H525" s="33" t="str">
        <f aca="false">IF(G525&gt;D525,"Vượt KL HĐ","")</f>
        <v/>
      </c>
    </row>
    <row r="526" customFormat="false" ht="15" hidden="false" customHeight="false" outlineLevel="0" collapsed="false">
      <c r="A526" s="29" t="s">
        <v>1043</v>
      </c>
      <c r="B526" s="27" t="s">
        <v>983</v>
      </c>
      <c r="C526" s="29" t="s">
        <v>116</v>
      </c>
      <c r="D526" s="30" t="n">
        <v>5.85</v>
      </c>
      <c r="E526" s="31" t="n">
        <v>0</v>
      </c>
      <c r="F526" s="31" t="n">
        <v>0</v>
      </c>
      <c r="G526" s="32" t="n">
        <f aca="false">E526+F526</f>
        <v>0</v>
      </c>
      <c r="H526" s="33" t="str">
        <f aca="false">IF(G526&gt;D526,"Vượt KL HĐ","")</f>
        <v/>
      </c>
    </row>
    <row r="527" customFormat="false" ht="15" hidden="false" customHeight="false" outlineLevel="0" collapsed="false">
      <c r="A527" s="29" t="s">
        <v>1044</v>
      </c>
      <c r="B527" s="27" t="s">
        <v>1045</v>
      </c>
      <c r="C527" s="29" t="s">
        <v>116</v>
      </c>
      <c r="D527" s="30" t="n">
        <v>12.9375</v>
      </c>
      <c r="E527" s="31" t="n">
        <v>0</v>
      </c>
      <c r="F527" s="31" t="n">
        <v>0</v>
      </c>
      <c r="G527" s="32" t="n">
        <f aca="false">E527+F527</f>
        <v>0</v>
      </c>
      <c r="H527" s="33" t="str">
        <f aca="false">IF(G527&gt;D527,"Vượt KL HĐ","")</f>
        <v/>
      </c>
    </row>
    <row r="528" customFormat="false" ht="26.85" hidden="false" customHeight="false" outlineLevel="0" collapsed="false">
      <c r="A528" s="29" t="s">
        <v>1046</v>
      </c>
      <c r="B528" s="27" t="s">
        <v>1047</v>
      </c>
      <c r="C528" s="29" t="s">
        <v>106</v>
      </c>
      <c r="D528" s="30" t="n">
        <v>2.4418</v>
      </c>
      <c r="E528" s="31" t="n">
        <v>0</v>
      </c>
      <c r="F528" s="31" t="n">
        <v>0</v>
      </c>
      <c r="G528" s="32" t="n">
        <f aca="false">E528+F528</f>
        <v>0</v>
      </c>
      <c r="H528" s="33" t="str">
        <f aca="false">IF(G528&gt;D528,"Vượt KL HĐ","")</f>
        <v/>
      </c>
    </row>
    <row r="529" customFormat="false" ht="15" hidden="false" customHeight="false" outlineLevel="0" collapsed="false">
      <c r="A529" s="29" t="s">
        <v>1048</v>
      </c>
      <c r="B529" s="27" t="s">
        <v>1049</v>
      </c>
      <c r="C529" s="29" t="s">
        <v>116</v>
      </c>
      <c r="D529" s="30" t="n">
        <v>30.5225</v>
      </c>
      <c r="E529" s="31" t="n">
        <v>0</v>
      </c>
      <c r="F529" s="31" t="n">
        <v>0</v>
      </c>
      <c r="G529" s="32" t="n">
        <f aca="false">E529+F529</f>
        <v>0</v>
      </c>
      <c r="H529" s="33" t="str">
        <f aca="false">IF(G529&gt;D529,"Vượt KL HĐ","")</f>
        <v/>
      </c>
    </row>
    <row r="530" customFormat="false" ht="15" hidden="false" customHeight="false" outlineLevel="0" collapsed="false">
      <c r="A530" s="29" t="s">
        <v>1050</v>
      </c>
      <c r="B530" s="27" t="s">
        <v>955</v>
      </c>
      <c r="C530" s="29" t="s">
        <v>106</v>
      </c>
      <c r="D530" s="30" t="n">
        <v>0.312</v>
      </c>
      <c r="E530" s="31" t="n">
        <v>0</v>
      </c>
      <c r="F530" s="31" t="n">
        <v>0</v>
      </c>
      <c r="G530" s="32" t="n">
        <f aca="false">E530+F530</f>
        <v>0</v>
      </c>
      <c r="H530" s="33" t="str">
        <f aca="false">IF(G530&gt;D530,"Vượt KL HĐ","")</f>
        <v/>
      </c>
    </row>
    <row r="531" customFormat="false" ht="15" hidden="false" customHeight="false" outlineLevel="0" collapsed="false">
      <c r="A531" s="29" t="s">
        <v>1051</v>
      </c>
      <c r="B531" s="27" t="s">
        <v>983</v>
      </c>
      <c r="C531" s="29" t="s">
        <v>116</v>
      </c>
      <c r="D531" s="30" t="n">
        <v>3.9</v>
      </c>
      <c r="E531" s="31" t="n">
        <v>0</v>
      </c>
      <c r="F531" s="31" t="n">
        <v>0</v>
      </c>
      <c r="G531" s="32" t="n">
        <f aca="false">E531+F531</f>
        <v>0</v>
      </c>
      <c r="H531" s="33" t="str">
        <f aca="false">IF(G531&gt;D531,"Vượt KL HĐ","")</f>
        <v/>
      </c>
    </row>
    <row r="532" customFormat="false" ht="15" hidden="false" customHeight="false" outlineLevel="0" collapsed="false">
      <c r="A532" s="29" t="s">
        <v>1052</v>
      </c>
      <c r="B532" s="27" t="s">
        <v>965</v>
      </c>
      <c r="C532" s="29" t="s">
        <v>106</v>
      </c>
      <c r="D532" s="30" t="n">
        <v>0.5175</v>
      </c>
      <c r="E532" s="31" t="n">
        <v>0</v>
      </c>
      <c r="F532" s="31" t="n">
        <v>0</v>
      </c>
      <c r="G532" s="32" t="n">
        <f aca="false">E532+F532</f>
        <v>0</v>
      </c>
      <c r="H532" s="33" t="str">
        <f aca="false">IF(G532&gt;D532,"Vượt KL HĐ","")</f>
        <v/>
      </c>
    </row>
    <row r="533" customFormat="false" ht="15" hidden="false" customHeight="false" outlineLevel="0" collapsed="false">
      <c r="A533" s="29" t="s">
        <v>1053</v>
      </c>
      <c r="B533" s="27" t="s">
        <v>1054</v>
      </c>
      <c r="C533" s="29" t="s">
        <v>116</v>
      </c>
      <c r="D533" s="30" t="n">
        <v>7.7625</v>
      </c>
      <c r="E533" s="31" t="n">
        <v>0</v>
      </c>
      <c r="F533" s="31" t="n">
        <v>0</v>
      </c>
      <c r="G533" s="32" t="n">
        <f aca="false">E533+F533</f>
        <v>0</v>
      </c>
      <c r="H533" s="33" t="str">
        <f aca="false">IF(G533&gt;D533,"Vượt KL HĐ","")</f>
        <v/>
      </c>
    </row>
    <row r="534" customFormat="false" ht="15" hidden="false" customHeight="false" outlineLevel="0" collapsed="false">
      <c r="A534" s="29" t="s">
        <v>1055</v>
      </c>
      <c r="B534" s="27" t="s">
        <v>959</v>
      </c>
      <c r="C534" s="29" t="s">
        <v>149</v>
      </c>
      <c r="D534" s="30" t="n">
        <v>1.4405</v>
      </c>
      <c r="E534" s="31" t="n">
        <v>0</v>
      </c>
      <c r="F534" s="31" t="n">
        <v>0</v>
      </c>
      <c r="G534" s="32" t="n">
        <f aca="false">E534+F534</f>
        <v>0</v>
      </c>
      <c r="H534" s="33" t="str">
        <f aca="false">IF(G534&gt;D534,"Vượt KL HĐ","")</f>
        <v/>
      </c>
    </row>
    <row r="535" customFormat="false" ht="15" hidden="false" customHeight="false" outlineLevel="0" collapsed="false">
      <c r="A535" s="29" t="s">
        <v>1056</v>
      </c>
      <c r="B535" s="27" t="s">
        <v>961</v>
      </c>
      <c r="C535" s="29" t="s">
        <v>149</v>
      </c>
      <c r="D535" s="30" t="n">
        <v>5.6953</v>
      </c>
      <c r="E535" s="31" t="n">
        <v>0</v>
      </c>
      <c r="F535" s="31" t="n">
        <v>0</v>
      </c>
      <c r="G535" s="32" t="n">
        <f aca="false">E535+F535</f>
        <v>0</v>
      </c>
      <c r="H535" s="33" t="str">
        <f aca="false">IF(G535&gt;D535,"Vượt KL HĐ","")</f>
        <v/>
      </c>
    </row>
    <row r="536" customFormat="false" ht="15" hidden="false" customHeight="false" outlineLevel="0" collapsed="false">
      <c r="A536" s="29" t="s">
        <v>1057</v>
      </c>
      <c r="B536" s="27" t="s">
        <v>963</v>
      </c>
      <c r="C536" s="29" t="s">
        <v>149</v>
      </c>
      <c r="D536" s="30" t="n">
        <v>0.6629</v>
      </c>
      <c r="E536" s="31" t="n">
        <v>0</v>
      </c>
      <c r="F536" s="31" t="n">
        <v>0</v>
      </c>
      <c r="G536" s="32" t="n">
        <f aca="false">E536+F536</f>
        <v>0</v>
      </c>
      <c r="H536" s="33" t="str">
        <f aca="false">IF(G536&gt;D536,"Vượt KL HĐ","")</f>
        <v/>
      </c>
    </row>
    <row r="537" customFormat="false" ht="15" hidden="false" customHeight="false" outlineLevel="0" collapsed="false">
      <c r="A537" s="12" t="s">
        <v>1058</v>
      </c>
      <c r="B537" s="28" t="s">
        <v>1059</v>
      </c>
      <c r="C537" s="27"/>
      <c r="D537" s="27"/>
      <c r="E537" s="27"/>
      <c r="F537" s="27"/>
      <c r="G537" s="27"/>
      <c r="H537" s="27"/>
    </row>
    <row r="538" customFormat="false" ht="15" hidden="false" customHeight="false" outlineLevel="0" collapsed="false">
      <c r="A538" s="29" t="s">
        <v>1060</v>
      </c>
      <c r="B538" s="27" t="s">
        <v>1061</v>
      </c>
      <c r="C538" s="29" t="s">
        <v>1062</v>
      </c>
      <c r="D538" s="30" t="n">
        <v>3</v>
      </c>
      <c r="E538" s="31" t="n">
        <v>0</v>
      </c>
      <c r="F538" s="31" t="n">
        <v>0</v>
      </c>
      <c r="G538" s="32" t="n">
        <f aca="false">E538+F538</f>
        <v>0</v>
      </c>
      <c r="H538" s="33" t="str">
        <f aca="false">IF(G538&gt;D538,"Vượt KL HĐ","")</f>
        <v/>
      </c>
    </row>
    <row r="539" customFormat="false" ht="15" hidden="false" customHeight="false" outlineLevel="0" collapsed="false">
      <c r="A539" s="29" t="s">
        <v>1063</v>
      </c>
      <c r="B539" s="27" t="s">
        <v>1064</v>
      </c>
      <c r="C539" s="29" t="s">
        <v>1065</v>
      </c>
      <c r="D539" s="30" t="n">
        <v>1</v>
      </c>
      <c r="E539" s="31" t="n">
        <v>0</v>
      </c>
      <c r="F539" s="31" t="n">
        <v>0</v>
      </c>
      <c r="G539" s="32" t="n">
        <f aca="false">E539+F539</f>
        <v>0</v>
      </c>
      <c r="H539" s="33" t="str">
        <f aca="false">IF(G539&gt;D539,"Vượt KL HĐ","")</f>
        <v/>
      </c>
    </row>
    <row r="540" customFormat="false" ht="15" hidden="false" customHeight="false" outlineLevel="0" collapsed="false">
      <c r="A540" s="29" t="s">
        <v>1066</v>
      </c>
      <c r="B540" s="27" t="s">
        <v>1067</v>
      </c>
      <c r="C540" s="29" t="s">
        <v>224</v>
      </c>
      <c r="D540" s="30" t="n">
        <v>18</v>
      </c>
      <c r="E540" s="31" t="n">
        <v>0</v>
      </c>
      <c r="F540" s="31" t="n">
        <v>0</v>
      </c>
      <c r="G540" s="32" t="n">
        <f aca="false">E540+F540</f>
        <v>0</v>
      </c>
      <c r="H540" s="33" t="str">
        <f aca="false">IF(G540&gt;D540,"Vượt KL HĐ","")</f>
        <v/>
      </c>
    </row>
    <row r="541" customFormat="false" ht="15" hidden="false" customHeight="false" outlineLevel="0" collapsed="false">
      <c r="A541" s="29" t="s">
        <v>1068</v>
      </c>
      <c r="B541" s="27" t="s">
        <v>1069</v>
      </c>
      <c r="C541" s="29" t="s">
        <v>224</v>
      </c>
      <c r="D541" s="30" t="n">
        <v>18</v>
      </c>
      <c r="E541" s="31" t="n">
        <v>0</v>
      </c>
      <c r="F541" s="31" t="n">
        <v>0</v>
      </c>
      <c r="G541" s="32" t="n">
        <f aca="false">E541+F541</f>
        <v>0</v>
      </c>
      <c r="H541" s="33" t="str">
        <f aca="false">IF(G541&gt;D541,"Vượt KL HĐ","")</f>
        <v/>
      </c>
    </row>
    <row r="542" customFormat="false" ht="15" hidden="false" customHeight="false" outlineLevel="0" collapsed="false">
      <c r="A542" s="29" t="s">
        <v>1070</v>
      </c>
      <c r="B542" s="27" t="s">
        <v>1071</v>
      </c>
      <c r="C542" s="29" t="s">
        <v>240</v>
      </c>
      <c r="D542" s="30" t="n">
        <v>3</v>
      </c>
      <c r="E542" s="31" t="n">
        <v>0</v>
      </c>
      <c r="F542" s="31" t="n">
        <v>0</v>
      </c>
      <c r="G542" s="32" t="n">
        <f aca="false">E542+F542</f>
        <v>0</v>
      </c>
      <c r="H542" s="33" t="str">
        <f aca="false">IF(G542&gt;D542,"Vượt KL HĐ","")</f>
        <v/>
      </c>
    </row>
    <row r="543" customFormat="false" ht="15" hidden="false" customHeight="false" outlineLevel="0" collapsed="false">
      <c r="A543" s="29" t="s">
        <v>1072</v>
      </c>
      <c r="B543" s="27" t="s">
        <v>1073</v>
      </c>
      <c r="C543" s="29" t="s">
        <v>193</v>
      </c>
      <c r="D543" s="30" t="n">
        <v>20</v>
      </c>
      <c r="E543" s="31" t="n">
        <v>0</v>
      </c>
      <c r="F543" s="31" t="n">
        <v>0</v>
      </c>
      <c r="G543" s="32" t="n">
        <f aca="false">E543+F543</f>
        <v>0</v>
      </c>
      <c r="H543" s="33" t="str">
        <f aca="false">IF(G543&gt;D543,"Vượt KL HĐ","")</f>
        <v/>
      </c>
    </row>
    <row r="544" customFormat="false" ht="15" hidden="false" customHeight="false" outlineLevel="0" collapsed="false">
      <c r="A544" s="29" t="s">
        <v>1074</v>
      </c>
      <c r="B544" s="27" t="s">
        <v>1075</v>
      </c>
      <c r="C544" s="29" t="s">
        <v>193</v>
      </c>
      <c r="D544" s="30" t="n">
        <v>8</v>
      </c>
      <c r="E544" s="31" t="n">
        <v>0</v>
      </c>
      <c r="F544" s="31" t="n">
        <v>0</v>
      </c>
      <c r="G544" s="32" t="n">
        <f aca="false">E544+F544</f>
        <v>0</v>
      </c>
      <c r="H544" s="33" t="str">
        <f aca="false">IF(G544&gt;D544,"Vượt KL HĐ","")</f>
        <v/>
      </c>
    </row>
    <row r="545" customFormat="false" ht="15" hidden="false" customHeight="false" outlineLevel="0" collapsed="false">
      <c r="A545" s="29" t="s">
        <v>1076</v>
      </c>
      <c r="B545" s="27" t="s">
        <v>1077</v>
      </c>
      <c r="C545" s="29" t="s">
        <v>245</v>
      </c>
      <c r="D545" s="30" t="n">
        <v>0.02</v>
      </c>
      <c r="E545" s="31" t="n">
        <v>0</v>
      </c>
      <c r="F545" s="31" t="n">
        <v>0</v>
      </c>
      <c r="G545" s="32" t="n">
        <f aca="false">E545+F545</f>
        <v>0</v>
      </c>
      <c r="H545" s="33" t="str">
        <f aca="false">IF(G545&gt;D545,"Vượt KL HĐ","")</f>
        <v/>
      </c>
    </row>
    <row r="546" customFormat="false" ht="15" hidden="false" customHeight="false" outlineLevel="0" collapsed="false">
      <c r="A546" s="29" t="s">
        <v>1078</v>
      </c>
      <c r="B546" s="27" t="s">
        <v>1079</v>
      </c>
      <c r="C546" s="29" t="s">
        <v>193</v>
      </c>
      <c r="D546" s="30" t="n">
        <v>1</v>
      </c>
      <c r="E546" s="31" t="n">
        <v>0</v>
      </c>
      <c r="F546" s="31" t="n">
        <v>0</v>
      </c>
      <c r="G546" s="32" t="n">
        <f aca="false">E546+F546</f>
        <v>0</v>
      </c>
      <c r="H546" s="33" t="str">
        <f aca="false">IF(G546&gt;D546,"Vượt KL HĐ","")</f>
        <v/>
      </c>
    </row>
    <row r="547" customFormat="false" ht="15" hidden="false" customHeight="false" outlineLevel="0" collapsed="false">
      <c r="A547" s="29" t="s">
        <v>1080</v>
      </c>
      <c r="B547" s="27" t="s">
        <v>1081</v>
      </c>
      <c r="C547" s="29" t="s">
        <v>245</v>
      </c>
      <c r="D547" s="30" t="n">
        <v>0.4</v>
      </c>
      <c r="E547" s="31" t="n">
        <v>0</v>
      </c>
      <c r="F547" s="31" t="n">
        <v>0</v>
      </c>
      <c r="G547" s="32" t="n">
        <f aca="false">E547+F547</f>
        <v>0</v>
      </c>
      <c r="H547" s="33" t="str">
        <f aca="false">IF(G547&gt;D547,"Vượt KL HĐ","")</f>
        <v/>
      </c>
    </row>
    <row r="548" customFormat="false" ht="26.85" hidden="false" customHeight="false" outlineLevel="0" collapsed="false">
      <c r="A548" s="29" t="s">
        <v>1082</v>
      </c>
      <c r="B548" s="27" t="s">
        <v>1083</v>
      </c>
      <c r="C548" s="29" t="s">
        <v>245</v>
      </c>
      <c r="D548" s="30" t="n">
        <v>0.06</v>
      </c>
      <c r="E548" s="31" t="n">
        <v>0</v>
      </c>
      <c r="F548" s="31" t="n">
        <v>0</v>
      </c>
      <c r="G548" s="32" t="n">
        <f aca="false">E548+F548</f>
        <v>0</v>
      </c>
      <c r="H548" s="33" t="str">
        <f aca="false">IF(G548&gt;D548,"Vượt KL HĐ","")</f>
        <v/>
      </c>
    </row>
    <row r="549" customFormat="false" ht="15" hidden="false" customHeight="false" outlineLevel="0" collapsed="false">
      <c r="A549" s="29" t="s">
        <v>1084</v>
      </c>
      <c r="B549" s="27" t="s">
        <v>1085</v>
      </c>
      <c r="C549" s="29" t="s">
        <v>240</v>
      </c>
      <c r="D549" s="30" t="n">
        <v>10</v>
      </c>
      <c r="E549" s="31" t="n">
        <v>0</v>
      </c>
      <c r="F549" s="31" t="n">
        <v>0</v>
      </c>
      <c r="G549" s="32" t="n">
        <f aca="false">E549+F549</f>
        <v>0</v>
      </c>
      <c r="H549" s="33" t="str">
        <f aca="false">IF(G549&gt;D549,"Vượt KL HĐ","")</f>
        <v/>
      </c>
    </row>
    <row r="550" customFormat="false" ht="15" hidden="false" customHeight="false" outlineLevel="0" collapsed="false">
      <c r="A550" s="29" t="s">
        <v>1086</v>
      </c>
      <c r="B550" s="27" t="s">
        <v>1087</v>
      </c>
      <c r="C550" s="29" t="s">
        <v>240</v>
      </c>
      <c r="D550" s="30" t="n">
        <v>14</v>
      </c>
      <c r="E550" s="31" t="n">
        <v>0</v>
      </c>
      <c r="F550" s="31" t="n">
        <v>0</v>
      </c>
      <c r="G550" s="32" t="n">
        <f aca="false">E550+F550</f>
        <v>0</v>
      </c>
      <c r="H550" s="33" t="str">
        <f aca="false">IF(G550&gt;D550,"Vượt KL HĐ","")</f>
        <v/>
      </c>
    </row>
    <row r="551" customFormat="false" ht="15" hidden="false" customHeight="false" outlineLevel="0" collapsed="false">
      <c r="A551" s="29" t="s">
        <v>1088</v>
      </c>
      <c r="B551" s="27" t="s">
        <v>1089</v>
      </c>
      <c r="C551" s="29" t="s">
        <v>240</v>
      </c>
      <c r="D551" s="30" t="n">
        <v>4</v>
      </c>
      <c r="E551" s="31" t="n">
        <v>0</v>
      </c>
      <c r="F551" s="31" t="n">
        <v>0</v>
      </c>
      <c r="G551" s="32" t="n">
        <f aca="false">E551+F551</f>
        <v>0</v>
      </c>
      <c r="H551" s="33" t="str">
        <f aca="false">IF(G551&gt;D551,"Vượt KL HĐ","")</f>
        <v/>
      </c>
    </row>
    <row r="552" customFormat="false" ht="15" hidden="false" customHeight="false" outlineLevel="0" collapsed="false">
      <c r="A552" s="29" t="s">
        <v>1090</v>
      </c>
      <c r="B552" s="27" t="s">
        <v>1091</v>
      </c>
      <c r="C552" s="29" t="s">
        <v>240</v>
      </c>
      <c r="D552" s="30" t="n">
        <v>18</v>
      </c>
      <c r="E552" s="31" t="n">
        <v>0</v>
      </c>
      <c r="F552" s="31" t="n">
        <v>0</v>
      </c>
      <c r="G552" s="32" t="n">
        <f aca="false">E552+F552</f>
        <v>0</v>
      </c>
      <c r="H552" s="33" t="str">
        <f aca="false">IF(G552&gt;D552,"Vượt KL HĐ","")</f>
        <v/>
      </c>
    </row>
    <row r="553" customFormat="false" ht="15" hidden="false" customHeight="false" outlineLevel="0" collapsed="false">
      <c r="A553" s="29" t="s">
        <v>1092</v>
      </c>
      <c r="B553" s="27" t="s">
        <v>1093</v>
      </c>
      <c r="C553" s="29" t="s">
        <v>245</v>
      </c>
      <c r="D553" s="30" t="n">
        <v>0.15</v>
      </c>
      <c r="E553" s="31" t="n">
        <v>0</v>
      </c>
      <c r="F553" s="31" t="n">
        <v>0</v>
      </c>
      <c r="G553" s="32" t="n">
        <f aca="false">E553+F553</f>
        <v>0</v>
      </c>
      <c r="H553" s="33" t="str">
        <f aca="false">IF(G553&gt;D553,"Vượt KL HĐ","")</f>
        <v/>
      </c>
    </row>
    <row r="554" customFormat="false" ht="15" hidden="false" customHeight="false" outlineLevel="0" collapsed="false">
      <c r="A554" s="29" t="s">
        <v>1094</v>
      </c>
      <c r="B554" s="27" t="s">
        <v>1095</v>
      </c>
      <c r="C554" s="29" t="s">
        <v>240</v>
      </c>
      <c r="D554" s="30" t="n">
        <v>2</v>
      </c>
      <c r="E554" s="31" t="n">
        <v>0</v>
      </c>
      <c r="F554" s="31" t="n">
        <v>0</v>
      </c>
      <c r="G554" s="32" t="n">
        <f aca="false">E554+F554</f>
        <v>0</v>
      </c>
      <c r="H554" s="33" t="str">
        <f aca="false">IF(G554&gt;D554,"Vượt KL HĐ","")</f>
        <v/>
      </c>
    </row>
    <row r="555" customFormat="false" ht="15" hidden="false" customHeight="false" outlineLevel="0" collapsed="false">
      <c r="A555" s="29" t="s">
        <v>1096</v>
      </c>
      <c r="B555" s="27" t="s">
        <v>1097</v>
      </c>
      <c r="C555" s="29" t="s">
        <v>224</v>
      </c>
      <c r="D555" s="30" t="n">
        <v>25</v>
      </c>
      <c r="E555" s="31" t="n">
        <v>0</v>
      </c>
      <c r="F555" s="31" t="n">
        <v>0</v>
      </c>
      <c r="G555" s="32" t="n">
        <f aca="false">E555+F555</f>
        <v>0</v>
      </c>
      <c r="H555" s="33" t="str">
        <f aca="false">IF(G555&gt;D555,"Vượt KL HĐ","")</f>
        <v/>
      </c>
    </row>
    <row r="556" customFormat="false" ht="26.85" hidden="false" customHeight="false" outlineLevel="0" collapsed="false">
      <c r="A556" s="29" t="s">
        <v>1098</v>
      </c>
      <c r="B556" s="27" t="s">
        <v>1099</v>
      </c>
      <c r="C556" s="29" t="s">
        <v>224</v>
      </c>
      <c r="D556" s="30" t="n">
        <v>25</v>
      </c>
      <c r="E556" s="31" t="n">
        <v>0</v>
      </c>
      <c r="F556" s="31" t="n">
        <v>0</v>
      </c>
      <c r="G556" s="32" t="n">
        <f aca="false">E556+F556</f>
        <v>0</v>
      </c>
      <c r="H556" s="33" t="str">
        <f aca="false">IF(G556&gt;D556,"Vượt KL HĐ","")</f>
        <v/>
      </c>
    </row>
    <row r="557" customFormat="false" ht="15" hidden="false" customHeight="false" outlineLevel="0" collapsed="false">
      <c r="A557" s="29" t="s">
        <v>1100</v>
      </c>
      <c r="B557" s="27" t="s">
        <v>1101</v>
      </c>
      <c r="C557" s="29" t="s">
        <v>240</v>
      </c>
      <c r="D557" s="30" t="n">
        <v>20</v>
      </c>
      <c r="E557" s="31" t="n">
        <v>0</v>
      </c>
      <c r="F557" s="31" t="n">
        <v>0</v>
      </c>
      <c r="G557" s="32" t="n">
        <f aca="false">E557+F557</f>
        <v>0</v>
      </c>
      <c r="H557" s="33" t="str">
        <f aca="false">IF(G557&gt;D557,"Vượt KL HĐ","")</f>
        <v/>
      </c>
    </row>
    <row r="558" customFormat="false" ht="15" hidden="false" customHeight="false" outlineLevel="0" collapsed="false">
      <c r="A558" s="29" t="s">
        <v>1102</v>
      </c>
      <c r="B558" s="27" t="s">
        <v>1103</v>
      </c>
      <c r="C558" s="29" t="s">
        <v>240</v>
      </c>
      <c r="D558" s="30" t="n">
        <v>3</v>
      </c>
      <c r="E558" s="31" t="n">
        <v>0</v>
      </c>
      <c r="F558" s="31" t="n">
        <v>0</v>
      </c>
      <c r="G558" s="32" t="n">
        <f aca="false">E558+F558</f>
        <v>0</v>
      </c>
      <c r="H558" s="33" t="str">
        <f aca="false">IF(G558&gt;D558,"Vượt KL HĐ","")</f>
        <v/>
      </c>
    </row>
    <row r="559" customFormat="false" ht="15" hidden="false" customHeight="false" outlineLevel="0" collapsed="false">
      <c r="A559" s="29" t="s">
        <v>1104</v>
      </c>
      <c r="B559" s="27" t="s">
        <v>1105</v>
      </c>
      <c r="C559" s="29" t="s">
        <v>240</v>
      </c>
      <c r="D559" s="30" t="n">
        <v>2</v>
      </c>
      <c r="E559" s="31" t="n">
        <v>0</v>
      </c>
      <c r="F559" s="31" t="n">
        <v>0</v>
      </c>
      <c r="G559" s="32" t="n">
        <f aca="false">E559+F559</f>
        <v>0</v>
      </c>
      <c r="H559" s="33" t="str">
        <f aca="false">IF(G559&gt;D559,"Vượt KL HĐ","")</f>
        <v/>
      </c>
    </row>
    <row r="560" customFormat="false" ht="15" hidden="false" customHeight="false" outlineLevel="0" collapsed="false">
      <c r="A560" s="29" t="s">
        <v>1106</v>
      </c>
      <c r="B560" s="27" t="s">
        <v>1107</v>
      </c>
      <c r="C560" s="29" t="s">
        <v>240</v>
      </c>
      <c r="D560" s="30" t="n">
        <v>1</v>
      </c>
      <c r="E560" s="31" t="n">
        <v>0</v>
      </c>
      <c r="F560" s="31" t="n">
        <v>0</v>
      </c>
      <c r="G560" s="32" t="n">
        <f aca="false">E560+F560</f>
        <v>0</v>
      </c>
      <c r="H560" s="33" t="str">
        <f aca="false">IF(G560&gt;D560,"Vượt KL HĐ","")</f>
        <v/>
      </c>
    </row>
    <row r="561" customFormat="false" ht="15" hidden="false" customHeight="false" outlineLevel="0" collapsed="false">
      <c r="A561" s="29" t="s">
        <v>1108</v>
      </c>
      <c r="B561" s="27" t="s">
        <v>1109</v>
      </c>
      <c r="C561" s="29" t="s">
        <v>240</v>
      </c>
      <c r="D561" s="30" t="n">
        <v>1</v>
      </c>
      <c r="E561" s="31" t="n">
        <v>0</v>
      </c>
      <c r="F561" s="31" t="n">
        <v>0</v>
      </c>
      <c r="G561" s="32" t="n">
        <f aca="false">E561+F561</f>
        <v>0</v>
      </c>
      <c r="H561" s="33" t="str">
        <f aca="false">IF(G561&gt;D561,"Vượt KL HĐ","")</f>
        <v/>
      </c>
    </row>
    <row r="562" customFormat="false" ht="15" hidden="false" customHeight="false" outlineLevel="0" collapsed="false">
      <c r="A562" s="29" t="s">
        <v>1110</v>
      </c>
      <c r="B562" s="27" t="s">
        <v>1111</v>
      </c>
      <c r="C562" s="29" t="s">
        <v>240</v>
      </c>
      <c r="D562" s="30" t="n">
        <v>1</v>
      </c>
      <c r="E562" s="31" t="n">
        <v>0</v>
      </c>
      <c r="F562" s="31" t="n">
        <v>0</v>
      </c>
      <c r="G562" s="32" t="n">
        <f aca="false">E562+F562</f>
        <v>0</v>
      </c>
      <c r="H562" s="33" t="str">
        <f aca="false">IF(G562&gt;D562,"Vượt KL HĐ","")</f>
        <v/>
      </c>
    </row>
    <row r="563" customFormat="false" ht="15" hidden="false" customHeight="false" outlineLevel="0" collapsed="false">
      <c r="A563" s="29" t="s">
        <v>1112</v>
      </c>
      <c r="B563" s="27" t="s">
        <v>1113</v>
      </c>
      <c r="C563" s="29" t="s">
        <v>240</v>
      </c>
      <c r="D563" s="30" t="n">
        <v>1</v>
      </c>
      <c r="E563" s="31" t="n">
        <v>0</v>
      </c>
      <c r="F563" s="31" t="n">
        <v>0</v>
      </c>
      <c r="G563" s="32" t="n">
        <f aca="false">E563+F563</f>
        <v>0</v>
      </c>
      <c r="H563" s="33" t="str">
        <f aca="false">IF(G563&gt;D563,"Vượt KL HĐ","")</f>
        <v/>
      </c>
    </row>
    <row r="564" customFormat="false" ht="15" hidden="false" customHeight="false" outlineLevel="0" collapsed="false">
      <c r="A564" s="29" t="s">
        <v>1114</v>
      </c>
      <c r="B564" s="27" t="s">
        <v>1115</v>
      </c>
      <c r="C564" s="29" t="s">
        <v>240</v>
      </c>
      <c r="D564" s="30" t="n">
        <v>2</v>
      </c>
      <c r="E564" s="31" t="n">
        <v>0</v>
      </c>
      <c r="F564" s="31" t="n">
        <v>0</v>
      </c>
      <c r="G564" s="32" t="n">
        <f aca="false">E564+F564</f>
        <v>0</v>
      </c>
      <c r="H564" s="33" t="str">
        <f aca="false">IF(G564&gt;D564,"Vượt KL HĐ","")</f>
        <v/>
      </c>
    </row>
    <row r="565" customFormat="false" ht="15" hidden="false" customHeight="false" outlineLevel="0" collapsed="false">
      <c r="A565" s="29" t="s">
        <v>1116</v>
      </c>
      <c r="B565" s="27" t="s">
        <v>1117</v>
      </c>
      <c r="C565" s="29" t="s">
        <v>240</v>
      </c>
      <c r="D565" s="30" t="n">
        <v>2</v>
      </c>
      <c r="E565" s="31" t="n">
        <v>0</v>
      </c>
      <c r="F565" s="31" t="n">
        <v>0</v>
      </c>
      <c r="G565" s="32" t="n">
        <f aca="false">E565+F565</f>
        <v>0</v>
      </c>
      <c r="H565" s="33" t="str">
        <f aca="false">IF(G565&gt;D565,"Vượt KL HĐ","")</f>
        <v/>
      </c>
    </row>
    <row r="566" customFormat="false" ht="15" hidden="false" customHeight="false" outlineLevel="0" collapsed="false">
      <c r="A566" s="29" t="s">
        <v>1118</v>
      </c>
      <c r="B566" s="27" t="s">
        <v>1119</v>
      </c>
      <c r="C566" s="29" t="s">
        <v>1120</v>
      </c>
      <c r="D566" s="30" t="n">
        <v>1</v>
      </c>
      <c r="E566" s="31" t="n">
        <v>0</v>
      </c>
      <c r="F566" s="31" t="n">
        <v>0</v>
      </c>
      <c r="G566" s="32" t="n">
        <f aca="false">E566+F566</f>
        <v>0</v>
      </c>
      <c r="H566" s="33" t="str">
        <f aca="false">IF(G566&gt;D566,"Vượt KL HĐ","")</f>
        <v/>
      </c>
    </row>
    <row r="567" customFormat="false" ht="15" hidden="false" customHeight="false" outlineLevel="0" collapsed="false">
      <c r="A567" s="29" t="s">
        <v>1121</v>
      </c>
      <c r="B567" s="27" t="s">
        <v>1122</v>
      </c>
      <c r="C567" s="29" t="s">
        <v>240</v>
      </c>
      <c r="D567" s="30" t="n">
        <v>1</v>
      </c>
      <c r="E567" s="31" t="n">
        <v>0</v>
      </c>
      <c r="F567" s="31" t="n">
        <v>0</v>
      </c>
      <c r="G567" s="32" t="n">
        <f aca="false">E567+F567</f>
        <v>0</v>
      </c>
      <c r="H567" s="33" t="str">
        <f aca="false">IF(G567&gt;D567,"Vượt KL HĐ","")</f>
        <v/>
      </c>
    </row>
    <row r="568" customFormat="false" ht="15" hidden="false" customHeight="false" outlineLevel="0" collapsed="false">
      <c r="A568" s="29" t="s">
        <v>1123</v>
      </c>
      <c r="B568" s="27" t="s">
        <v>1124</v>
      </c>
      <c r="C568" s="29" t="s">
        <v>1125</v>
      </c>
      <c r="D568" s="30" t="n">
        <v>0.2</v>
      </c>
      <c r="E568" s="31" t="n">
        <v>0</v>
      </c>
      <c r="F568" s="31" t="n">
        <v>0</v>
      </c>
      <c r="G568" s="32" t="n">
        <f aca="false">E568+F568</f>
        <v>0</v>
      </c>
      <c r="H568" s="33" t="str">
        <f aca="false">IF(G568&gt;D568,"Vượt KL HĐ","")</f>
        <v/>
      </c>
    </row>
    <row r="569" customFormat="false" ht="15" hidden="false" customHeight="false" outlineLevel="0" collapsed="false">
      <c r="A569" s="29" t="s">
        <v>1126</v>
      </c>
      <c r="B569" s="27" t="s">
        <v>1127</v>
      </c>
      <c r="C569" s="29" t="s">
        <v>240</v>
      </c>
      <c r="D569" s="30" t="n">
        <v>1</v>
      </c>
      <c r="E569" s="31" t="n">
        <v>0</v>
      </c>
      <c r="F569" s="31" t="n">
        <v>0</v>
      </c>
      <c r="G569" s="32" t="n">
        <f aca="false">E569+F569</f>
        <v>0</v>
      </c>
      <c r="H569" s="33" t="str">
        <f aca="false">IF(G569&gt;D569,"Vượt KL HĐ","")</f>
        <v/>
      </c>
    </row>
    <row r="570" customFormat="false" ht="15" hidden="false" customHeight="false" outlineLevel="0" collapsed="false">
      <c r="A570" s="29" t="s">
        <v>1128</v>
      </c>
      <c r="B570" s="27" t="s">
        <v>1129</v>
      </c>
      <c r="C570" s="29" t="s">
        <v>240</v>
      </c>
      <c r="D570" s="30" t="n">
        <v>2</v>
      </c>
      <c r="E570" s="31" t="n">
        <v>0</v>
      </c>
      <c r="F570" s="31" t="n">
        <v>0</v>
      </c>
      <c r="G570" s="32" t="n">
        <f aca="false">E570+F570</f>
        <v>0</v>
      </c>
      <c r="H570" s="33" t="str">
        <f aca="false">IF(G570&gt;D570,"Vượt KL HĐ","")</f>
        <v/>
      </c>
    </row>
    <row r="571" customFormat="false" ht="15" hidden="false" customHeight="false" outlineLevel="0" collapsed="false">
      <c r="A571" s="29" t="s">
        <v>1130</v>
      </c>
      <c r="B571" s="27" t="s">
        <v>1131</v>
      </c>
      <c r="C571" s="29" t="s">
        <v>240</v>
      </c>
      <c r="D571" s="30" t="n">
        <v>1</v>
      </c>
      <c r="E571" s="31" t="n">
        <v>0</v>
      </c>
      <c r="F571" s="31" t="n">
        <v>0</v>
      </c>
      <c r="G571" s="32" t="n">
        <f aca="false">E571+F571</f>
        <v>0</v>
      </c>
      <c r="H571" s="33" t="str">
        <f aca="false">IF(G571&gt;D571,"Vượt KL HĐ","")</f>
        <v/>
      </c>
    </row>
    <row r="572" customFormat="false" ht="26.85" hidden="false" customHeight="false" outlineLevel="0" collapsed="false">
      <c r="A572" s="12" t="s">
        <v>1132</v>
      </c>
      <c r="B572" s="13" t="s">
        <v>1133</v>
      </c>
      <c r="C572" s="27"/>
      <c r="D572" s="27"/>
      <c r="E572" s="27"/>
      <c r="F572" s="27"/>
      <c r="G572" s="27"/>
      <c r="H572" s="27"/>
    </row>
    <row r="573" customFormat="false" ht="15" hidden="false" customHeight="false" outlineLevel="0" collapsed="false">
      <c r="A573" s="29" t="s">
        <v>1134</v>
      </c>
      <c r="B573" s="27" t="s">
        <v>1135</v>
      </c>
      <c r="C573" s="29" t="s">
        <v>1136</v>
      </c>
      <c r="D573" s="30" t="n">
        <v>1</v>
      </c>
      <c r="E573" s="31" t="n">
        <v>0</v>
      </c>
      <c r="F573" s="31" t="n">
        <v>0</v>
      </c>
      <c r="G573" s="32" t="n">
        <f aca="false">E573+F573</f>
        <v>0</v>
      </c>
      <c r="H573" s="33" t="str">
        <f aca="false">IF(G573&gt;D573,"Vượt KL HĐ","")</f>
        <v/>
      </c>
    </row>
    <row r="574" customFormat="false" ht="15" hidden="false" customHeight="false" outlineLevel="0" collapsed="false">
      <c r="A574" s="12" t="s">
        <v>1137</v>
      </c>
      <c r="B574" s="13" t="s">
        <v>1138</v>
      </c>
      <c r="C574" s="27"/>
      <c r="D574" s="27"/>
      <c r="E574" s="27"/>
      <c r="F574" s="27"/>
      <c r="G574" s="27"/>
      <c r="H574" s="27"/>
    </row>
    <row r="575" customFormat="false" ht="15" hidden="false" customHeight="false" outlineLevel="0" collapsed="false">
      <c r="A575" s="29" t="s">
        <v>1139</v>
      </c>
      <c r="B575" s="27" t="s">
        <v>1140</v>
      </c>
      <c r="C575" s="29" t="s">
        <v>1136</v>
      </c>
      <c r="D575" s="30" t="n">
        <v>1</v>
      </c>
      <c r="E575" s="31" t="n">
        <v>0</v>
      </c>
      <c r="F575" s="31" t="n">
        <v>0</v>
      </c>
      <c r="G575" s="32" t="n">
        <f aca="false">E575+F575</f>
        <v>0</v>
      </c>
      <c r="H575" s="33" t="str">
        <f aca="false">IF(G575&gt;D575,"Vượt KL HĐ","")</f>
        <v/>
      </c>
    </row>
    <row r="576" customFormat="false" ht="15" hidden="false" customHeight="false" outlineLevel="0" collapsed="false">
      <c r="A576" s="12" t="s">
        <v>1141</v>
      </c>
      <c r="B576" s="13" t="s">
        <v>1142</v>
      </c>
      <c r="C576" s="27"/>
      <c r="D576" s="27"/>
      <c r="E576" s="27"/>
      <c r="F576" s="27"/>
      <c r="G576" s="27"/>
      <c r="H576" s="27"/>
    </row>
    <row r="577" customFormat="false" ht="15" hidden="false" customHeight="false" outlineLevel="0" collapsed="false">
      <c r="A577" s="29" t="s">
        <v>1143</v>
      </c>
      <c r="B577" s="27" t="s">
        <v>1144</v>
      </c>
      <c r="C577" s="29" t="s">
        <v>1136</v>
      </c>
      <c r="D577" s="30" t="n">
        <v>1</v>
      </c>
      <c r="E577" s="31" t="n">
        <v>0</v>
      </c>
      <c r="F577" s="31" t="n">
        <v>0</v>
      </c>
      <c r="G577" s="32" t="n">
        <f aca="false">E577+F577</f>
        <v>0</v>
      </c>
      <c r="H577" s="33" t="str">
        <f aca="false">IF(G577&gt;D577,"Vượt KL HĐ","")</f>
        <v/>
      </c>
    </row>
    <row r="578" customFormat="false" ht="26.85" hidden="false" customHeight="false" outlineLevel="0" collapsed="false">
      <c r="A578" s="12" t="s">
        <v>1145</v>
      </c>
      <c r="B578" s="13" t="s">
        <v>1146</v>
      </c>
      <c r="C578" s="27"/>
      <c r="D578" s="27"/>
      <c r="E578" s="27"/>
      <c r="F578" s="27"/>
      <c r="G578" s="27"/>
      <c r="H578" s="27"/>
    </row>
    <row r="579" customFormat="false" ht="26.85" hidden="false" customHeight="false" outlineLevel="0" collapsed="false">
      <c r="A579" s="29" t="s">
        <v>1147</v>
      </c>
      <c r="B579" s="27" t="s">
        <v>1148</v>
      </c>
      <c r="C579" s="29" t="s">
        <v>1136</v>
      </c>
      <c r="D579" s="30" t="n">
        <v>1</v>
      </c>
      <c r="E579" s="31" t="n">
        <v>0</v>
      </c>
      <c r="F579" s="31" t="n">
        <v>0</v>
      </c>
      <c r="G579" s="32" t="n">
        <f aca="false">E579+F579</f>
        <v>0</v>
      </c>
      <c r="H579" s="33" t="str">
        <f aca="false">IF(G579&gt;D579,"Vượt KL HĐ","")</f>
        <v/>
      </c>
    </row>
    <row r="580" customFormat="false" ht="15" hidden="false" customHeight="false" outlineLevel="0" collapsed="false">
      <c r="A580" s="12" t="s">
        <v>1149</v>
      </c>
      <c r="B580" s="13" t="s">
        <v>1150</v>
      </c>
      <c r="C580" s="27"/>
      <c r="D580" s="27"/>
      <c r="E580" s="27"/>
      <c r="F580" s="27"/>
      <c r="G580" s="27"/>
      <c r="H580" s="27"/>
    </row>
    <row r="581" customFormat="false" ht="26.85" hidden="false" customHeight="false" outlineLevel="0" collapsed="false">
      <c r="A581" s="29" t="s">
        <v>1151</v>
      </c>
      <c r="B581" s="27" t="s">
        <v>1152</v>
      </c>
      <c r="C581" s="29" t="s">
        <v>1136</v>
      </c>
      <c r="D581" s="30" t="n">
        <v>1</v>
      </c>
      <c r="E581" s="31" t="n">
        <v>0</v>
      </c>
      <c r="F581" s="31" t="n">
        <v>0</v>
      </c>
      <c r="G581" s="32" t="n">
        <f aca="false">E581+F581</f>
        <v>0</v>
      </c>
      <c r="H581" s="33" t="str">
        <f aca="false">IF(G581&gt;D581,"Vượt KL HĐ","")</f>
        <v/>
      </c>
    </row>
    <row r="582" customFormat="false" ht="26.85" hidden="false" customHeight="false" outlineLevel="0" collapsed="false">
      <c r="A582" s="12" t="s">
        <v>1153</v>
      </c>
      <c r="B582" s="13" t="s">
        <v>1154</v>
      </c>
      <c r="C582" s="27"/>
      <c r="D582" s="27"/>
      <c r="E582" s="27"/>
      <c r="F582" s="27"/>
      <c r="G582" s="27"/>
      <c r="H582" s="27"/>
    </row>
    <row r="583" customFormat="false" ht="26.85" hidden="false" customHeight="false" outlineLevel="0" collapsed="false">
      <c r="A583" s="29" t="s">
        <v>1155</v>
      </c>
      <c r="B583" s="27" t="s">
        <v>1156</v>
      </c>
      <c r="C583" s="29" t="s">
        <v>1136</v>
      </c>
      <c r="D583" s="30" t="n">
        <v>1</v>
      </c>
      <c r="E583" s="31" t="n">
        <v>0</v>
      </c>
      <c r="F583" s="31" t="n">
        <v>0</v>
      </c>
      <c r="G583" s="32" t="n">
        <f aca="false">E583+F583</f>
        <v>0</v>
      </c>
      <c r="H583" s="33" t="str">
        <f aca="false">IF(G583&gt;D583,"Vượt KL HĐ","")</f>
        <v/>
      </c>
    </row>
    <row r="584" customFormat="false" ht="15" hidden="false" customHeight="false" outlineLevel="0" collapsed="false">
      <c r="A584" s="12" t="s">
        <v>1157</v>
      </c>
      <c r="B584" s="13" t="s">
        <v>1158</v>
      </c>
      <c r="C584" s="27"/>
      <c r="D584" s="27"/>
      <c r="E584" s="27"/>
      <c r="F584" s="27"/>
      <c r="G584" s="27"/>
      <c r="H584" s="27"/>
    </row>
    <row r="585" customFormat="false" ht="26.85" hidden="false" customHeight="false" outlineLevel="0" collapsed="false">
      <c r="A585" s="29" t="s">
        <v>1159</v>
      </c>
      <c r="B585" s="27" t="s">
        <v>1160</v>
      </c>
      <c r="C585" s="29" t="s">
        <v>920</v>
      </c>
      <c r="D585" s="30" t="n">
        <v>1</v>
      </c>
      <c r="E585" s="31" t="n">
        <v>0</v>
      </c>
      <c r="F585" s="31" t="n">
        <v>0</v>
      </c>
      <c r="G585" s="32" t="n">
        <f aca="false">E585+F585</f>
        <v>0</v>
      </c>
      <c r="H585" s="33" t="str">
        <f aca="false">IF(G585&gt;D585,"Vượt KL HĐ","")</f>
        <v/>
      </c>
    </row>
    <row r="586" customFormat="false" ht="39.55" hidden="false" customHeight="false" outlineLevel="0" collapsed="false">
      <c r="A586" s="29" t="s">
        <v>1161</v>
      </c>
      <c r="B586" s="27" t="s">
        <v>1162</v>
      </c>
      <c r="C586" s="29" t="s">
        <v>832</v>
      </c>
      <c r="D586" s="30" t="n">
        <v>1</v>
      </c>
      <c r="E586" s="31" t="n">
        <v>0</v>
      </c>
      <c r="F586" s="31" t="n">
        <v>0</v>
      </c>
      <c r="G586" s="32" t="n">
        <f aca="false">E586+F586</f>
        <v>0</v>
      </c>
      <c r="H586" s="33" t="str">
        <f aca="false">IF(G586&gt;D586,"Vượt KL HĐ","")</f>
        <v/>
      </c>
    </row>
    <row r="587" customFormat="false" ht="15" hidden="false" customHeight="false" outlineLevel="0" collapsed="false">
      <c r="A587" s="29" t="s">
        <v>1163</v>
      </c>
      <c r="B587" s="27" t="s">
        <v>1164</v>
      </c>
      <c r="C587" s="29" t="s">
        <v>832</v>
      </c>
      <c r="D587" s="30" t="n">
        <v>1</v>
      </c>
      <c r="E587" s="31" t="n">
        <v>0</v>
      </c>
      <c r="F587" s="31" t="n">
        <v>0</v>
      </c>
      <c r="G587" s="32" t="n">
        <f aca="false">E587+F587</f>
        <v>0</v>
      </c>
      <c r="H587" s="33" t="str">
        <f aca="false">IF(G587&gt;D587,"Vượt KL HĐ","")</f>
        <v/>
      </c>
    </row>
    <row r="588" customFormat="false" ht="15" hidden="false" customHeight="false" outlineLevel="0" collapsed="false">
      <c r="A588" s="29" t="s">
        <v>1165</v>
      </c>
      <c r="B588" s="27" t="s">
        <v>1166</v>
      </c>
      <c r="C588" s="29" t="s">
        <v>193</v>
      </c>
      <c r="D588" s="30" t="n">
        <v>1</v>
      </c>
      <c r="E588" s="31" t="n">
        <v>0</v>
      </c>
      <c r="F588" s="31" t="n">
        <v>0</v>
      </c>
      <c r="G588" s="32" t="n">
        <f aca="false">E588+F588</f>
        <v>0</v>
      </c>
      <c r="H588" s="33" t="str">
        <f aca="false">IF(G588&gt;D588,"Vượt KL HĐ","")</f>
        <v/>
      </c>
    </row>
    <row r="589" customFormat="false" ht="15" hidden="false" customHeight="false" outlineLevel="0" collapsed="false">
      <c r="A589" s="29" t="s">
        <v>1167</v>
      </c>
      <c r="B589" s="27" t="s">
        <v>1168</v>
      </c>
      <c r="C589" s="29" t="s">
        <v>193</v>
      </c>
      <c r="D589" s="30" t="n">
        <v>1</v>
      </c>
      <c r="E589" s="31" t="n">
        <v>0</v>
      </c>
      <c r="F589" s="31" t="n">
        <v>0</v>
      </c>
      <c r="G589" s="32" t="n">
        <f aca="false">E589+F589</f>
        <v>0</v>
      </c>
      <c r="H589" s="33" t="str">
        <f aca="false">IF(G589&gt;D589,"Vượt KL HĐ","")</f>
        <v/>
      </c>
    </row>
    <row r="590" customFormat="false" ht="15" hidden="false" customHeight="false" outlineLevel="0" collapsed="false">
      <c r="A590" s="29" t="s">
        <v>1169</v>
      </c>
      <c r="B590" s="27" t="s">
        <v>1170</v>
      </c>
      <c r="C590" s="29" t="s">
        <v>193</v>
      </c>
      <c r="D590" s="30" t="n">
        <v>1</v>
      </c>
      <c r="E590" s="31" t="n">
        <v>0</v>
      </c>
      <c r="F590" s="31" t="n">
        <v>0</v>
      </c>
      <c r="G590" s="32" t="n">
        <f aca="false">E590+F590</f>
        <v>0</v>
      </c>
      <c r="H590" s="33" t="str">
        <f aca="false">IF(G590&gt;D590,"Vượt KL HĐ","")</f>
        <v/>
      </c>
    </row>
  </sheetData>
  <mergeCells count="10">
    <mergeCell ref="A1:H1"/>
    <mergeCell ref="A2:H2"/>
    <mergeCell ref="A3:H3"/>
    <mergeCell ref="A5:A7"/>
    <mergeCell ref="B5:B7"/>
    <mergeCell ref="C5:C7"/>
    <mergeCell ref="D5:G5"/>
    <mergeCell ref="H5:H7"/>
    <mergeCell ref="D6:D7"/>
    <mergeCell ref="E6:G6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12" min="9" style="0" width="17"/>
    <col collapsed="false" customWidth="true" hidden="false" outlineLevel="0" max="13" min="13" style="0" width="10"/>
  </cols>
  <sheetData>
    <row r="1" customFormat="false" ht="21.75" hidden="false" customHeight="true" outlineLevel="0" collapsed="false">
      <c r="A1" s="8" t="s">
        <v>1171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33" hidden="false" customHeight="true" outlineLevel="0" collapsed="false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true" outlineLevel="0" collapsed="false">
      <c r="A6" s="9" t="s">
        <v>18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5" hidden="false" customHeight="false" outlineLevel="0" collapsed="false">
      <c r="A7" s="9" t="str">
        <f aca="false">"Thanh toán lần thứ: "&amp;'03a TT'!$C$2</f>
        <v>Thanh toán lần thứ: 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customFormat="false" ht="30" hidden="false" customHeight="true" outlineLevel="0" collapsed="false">
      <c r="A8" s="9" t="str">
        <f aca="false">"Căn cứ xác định: "&amp;'03a TT'!$C$3</f>
        <v>Căn cứ xác định: Biên bản nghiệm thu hoàn thành giai đoạn số ....../BBNT ngày ...../...../2026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10" customFormat="false" ht="19.5" hidden="false" customHeight="true" outlineLevel="0" collapsed="false">
      <c r="A10" s="15" t="s">
        <v>19</v>
      </c>
      <c r="B10" s="15" t="s">
        <v>85</v>
      </c>
      <c r="C10" s="15" t="s">
        <v>86</v>
      </c>
      <c r="D10" s="15" t="s">
        <v>87</v>
      </c>
      <c r="E10" s="15"/>
      <c r="F10" s="15"/>
      <c r="G10" s="15"/>
      <c r="H10" s="15" t="s">
        <v>1172</v>
      </c>
      <c r="I10" s="15" t="s">
        <v>1173</v>
      </c>
      <c r="J10" s="15"/>
      <c r="K10" s="15"/>
      <c r="L10" s="15"/>
      <c r="M10" s="15" t="s">
        <v>28</v>
      </c>
    </row>
    <row r="11" customFormat="false" ht="15" hidden="false" customHeight="true" outlineLevel="0" collapsed="false">
      <c r="A11" s="15"/>
      <c r="B11" s="15"/>
      <c r="C11" s="15"/>
      <c r="D11" s="15" t="s">
        <v>88</v>
      </c>
      <c r="E11" s="15" t="s">
        <v>89</v>
      </c>
      <c r="F11" s="15"/>
      <c r="G11" s="15"/>
      <c r="H11" s="15"/>
      <c r="I11" s="15" t="s">
        <v>1174</v>
      </c>
      <c r="J11" s="15" t="s">
        <v>89</v>
      </c>
      <c r="K11" s="15"/>
      <c r="L11" s="15"/>
      <c r="M11" s="15"/>
    </row>
    <row r="12" customFormat="false" ht="45" hidden="false" customHeight="true" outlineLevel="0" collapsed="false">
      <c r="A12" s="15"/>
      <c r="B12" s="15"/>
      <c r="C12" s="15"/>
      <c r="D12" s="15"/>
      <c r="E12" s="10" t="s">
        <v>90</v>
      </c>
      <c r="F12" s="10" t="s">
        <v>91</v>
      </c>
      <c r="G12" s="10" t="s">
        <v>92</v>
      </c>
      <c r="H12" s="15"/>
      <c r="I12" s="15"/>
      <c r="J12" s="10" t="s">
        <v>90</v>
      </c>
      <c r="K12" s="10" t="s">
        <v>91</v>
      </c>
      <c r="L12" s="10" t="s">
        <v>92</v>
      </c>
      <c r="M12" s="15"/>
    </row>
    <row r="13" customFormat="false" ht="15" hidden="false" customHeight="false" outlineLevel="0" collapsed="false">
      <c r="A13" s="11" t="s">
        <v>29</v>
      </c>
      <c r="B13" s="11" t="s">
        <v>30</v>
      </c>
      <c r="C13" s="11" t="s">
        <v>31</v>
      </c>
      <c r="D13" s="11" t="s">
        <v>32</v>
      </c>
      <c r="E13" s="11" t="s">
        <v>33</v>
      </c>
      <c r="F13" s="11" t="s">
        <v>34</v>
      </c>
      <c r="G13" s="11" t="s">
        <v>1175</v>
      </c>
      <c r="H13" s="11" t="s">
        <v>36</v>
      </c>
      <c r="I13" s="11" t="s">
        <v>1176</v>
      </c>
      <c r="J13" s="11" t="s">
        <v>1177</v>
      </c>
      <c r="K13" s="11" t="s">
        <v>1178</v>
      </c>
      <c r="L13" s="11" t="s">
        <v>1179</v>
      </c>
      <c r="M13" s="11" t="s">
        <v>1180</v>
      </c>
    </row>
    <row r="14" customFormat="false" ht="15" hidden="false" customHeight="false" outlineLevel="0" collapsed="false">
      <c r="A14" s="12" t="s">
        <v>2</v>
      </c>
      <c r="B14" s="13" t="s">
        <v>94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customFormat="false" ht="15" hidden="false" customHeight="false" outlineLevel="0" collapsed="false">
      <c r="A15" s="12" t="s">
        <v>95</v>
      </c>
      <c r="B15" s="28" t="s">
        <v>96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customFormat="false" ht="15" hidden="false" customHeight="false" outlineLevel="0" collapsed="false">
      <c r="A16" s="29" t="s">
        <v>97</v>
      </c>
      <c r="B16" s="27" t="s">
        <v>98</v>
      </c>
      <c r="C16" s="29" t="s">
        <v>99</v>
      </c>
      <c r="D16" s="34" t="n">
        <f aca="false">'PL.Khoi luong'!D11</f>
        <v>11.2167</v>
      </c>
      <c r="E16" s="34" t="n">
        <f aca="false">'PL.Khoi luong'!E11</f>
        <v>0</v>
      </c>
      <c r="F16" s="34" t="n">
        <f aca="false">'PL.Khoi luong'!F11</f>
        <v>0</v>
      </c>
      <c r="G16" s="32" t="n">
        <f aca="false">E16+F16</f>
        <v>0</v>
      </c>
      <c r="H16" s="35" t="n">
        <v>137462999.991085</v>
      </c>
      <c r="I16" s="14" t="n">
        <f aca="false">D16*H16</f>
        <v>1541881232</v>
      </c>
      <c r="J16" s="14" t="n">
        <f aca="false">E16*H16</f>
        <v>0</v>
      </c>
      <c r="K16" s="14" t="n">
        <f aca="false">F16*H16</f>
        <v>0</v>
      </c>
      <c r="L16" s="14" t="n">
        <f aca="false">G16*H16</f>
        <v>0</v>
      </c>
      <c r="M16" s="27"/>
    </row>
    <row r="17" customFormat="false" ht="15" hidden="false" customHeight="false" outlineLevel="0" collapsed="false">
      <c r="A17" s="29" t="s">
        <v>100</v>
      </c>
      <c r="B17" s="27" t="s">
        <v>101</v>
      </c>
      <c r="C17" s="29" t="s">
        <v>99</v>
      </c>
      <c r="D17" s="34" t="n">
        <f aca="false">'PL.Khoi luong'!D12</f>
        <v>11.2167</v>
      </c>
      <c r="E17" s="34" t="n">
        <f aca="false">'PL.Khoi luong'!E12</f>
        <v>0</v>
      </c>
      <c r="F17" s="34" t="n">
        <f aca="false">'PL.Khoi luong'!F12</f>
        <v>0</v>
      </c>
      <c r="G17" s="32" t="n">
        <f aca="false">E17+F17</f>
        <v>0</v>
      </c>
      <c r="H17" s="35" t="n">
        <v>32475403.0151471</v>
      </c>
      <c r="I17" s="14" t="n">
        <f aca="false">D17*H17</f>
        <v>364266853.000001</v>
      </c>
      <c r="J17" s="14" t="n">
        <f aca="false">E17*H17</f>
        <v>0</v>
      </c>
      <c r="K17" s="14" t="n">
        <f aca="false">F17*H17</f>
        <v>0</v>
      </c>
      <c r="L17" s="14" t="n">
        <f aca="false">G17*H17</f>
        <v>0</v>
      </c>
      <c r="M17" s="27"/>
    </row>
    <row r="18" customFormat="false" ht="26.85" hidden="false" customHeight="false" outlineLevel="0" collapsed="false">
      <c r="A18" s="29" t="s">
        <v>102</v>
      </c>
      <c r="B18" s="27" t="s">
        <v>103</v>
      </c>
      <c r="C18" s="29" t="s">
        <v>99</v>
      </c>
      <c r="D18" s="34" t="n">
        <f aca="false">'PL.Khoi luong'!D13</f>
        <v>11.2167</v>
      </c>
      <c r="E18" s="34" t="n">
        <f aca="false">'PL.Khoi luong'!E13</f>
        <v>0</v>
      </c>
      <c r="F18" s="34" t="n">
        <f aca="false">'PL.Khoi luong'!F13</f>
        <v>0</v>
      </c>
      <c r="G18" s="32" t="n">
        <f aca="false">E18+F18</f>
        <v>0</v>
      </c>
      <c r="H18" s="35" t="n">
        <v>9790216.99786925</v>
      </c>
      <c r="I18" s="14" t="n">
        <f aca="false">D18*H18</f>
        <v>109813927</v>
      </c>
      <c r="J18" s="14" t="n">
        <f aca="false">E18*H18</f>
        <v>0</v>
      </c>
      <c r="K18" s="14" t="n">
        <f aca="false">F18*H18</f>
        <v>0</v>
      </c>
      <c r="L18" s="14" t="n">
        <f aca="false">G18*H18</f>
        <v>0</v>
      </c>
      <c r="M18" s="27"/>
    </row>
    <row r="19" customFormat="false" ht="26.85" hidden="false" customHeight="false" outlineLevel="0" collapsed="false">
      <c r="A19" s="29" t="s">
        <v>104</v>
      </c>
      <c r="B19" s="27" t="s">
        <v>105</v>
      </c>
      <c r="C19" s="29" t="s">
        <v>106</v>
      </c>
      <c r="D19" s="34" t="n">
        <f aca="false">'PL.Khoi luong'!D14</f>
        <v>65.0131</v>
      </c>
      <c r="E19" s="34" t="n">
        <f aca="false">'PL.Khoi luong'!E14</f>
        <v>0</v>
      </c>
      <c r="F19" s="34" t="n">
        <f aca="false">'PL.Khoi luong'!F14</f>
        <v>0</v>
      </c>
      <c r="G19" s="32" t="n">
        <f aca="false">E19+F19</f>
        <v>0</v>
      </c>
      <c r="H19" s="35" t="n">
        <v>1613087.99303525</v>
      </c>
      <c r="I19" s="14" t="n">
        <f aca="false">D19*H19</f>
        <v>104871851</v>
      </c>
      <c r="J19" s="14" t="n">
        <f aca="false">E19*H19</f>
        <v>0</v>
      </c>
      <c r="K19" s="14" t="n">
        <f aca="false">F19*H19</f>
        <v>0</v>
      </c>
      <c r="L19" s="14" t="n">
        <f aca="false">G19*H19</f>
        <v>0</v>
      </c>
      <c r="M19" s="27"/>
    </row>
    <row r="20" customFormat="false" ht="15" hidden="false" customHeight="false" outlineLevel="0" collapsed="false">
      <c r="A20" s="29" t="s">
        <v>107</v>
      </c>
      <c r="B20" s="27" t="s">
        <v>108</v>
      </c>
      <c r="C20" s="29" t="s">
        <v>106</v>
      </c>
      <c r="D20" s="34" t="n">
        <f aca="false">'PL.Khoi luong'!D15</f>
        <v>65.0131</v>
      </c>
      <c r="E20" s="34" t="n">
        <f aca="false">'PL.Khoi luong'!E15</f>
        <v>0</v>
      </c>
      <c r="F20" s="34" t="n">
        <f aca="false">'PL.Khoi luong'!F15</f>
        <v>0</v>
      </c>
      <c r="G20" s="32" t="n">
        <f aca="false">E20+F20</f>
        <v>0</v>
      </c>
      <c r="H20" s="35" t="n">
        <v>2852495.00485287</v>
      </c>
      <c r="I20" s="14" t="n">
        <f aca="false">D20*H20</f>
        <v>185449543</v>
      </c>
      <c r="J20" s="14" t="n">
        <f aca="false">E20*H20</f>
        <v>0</v>
      </c>
      <c r="K20" s="14" t="n">
        <f aca="false">F20*H20</f>
        <v>0</v>
      </c>
      <c r="L20" s="14" t="n">
        <f aca="false">G20*H20</f>
        <v>0</v>
      </c>
      <c r="M20" s="27"/>
    </row>
    <row r="21" customFormat="false" ht="15" hidden="false" customHeight="false" outlineLevel="0" collapsed="false">
      <c r="A21" s="29" t="s">
        <v>109</v>
      </c>
      <c r="B21" s="27" t="s">
        <v>110</v>
      </c>
      <c r="C21" s="29" t="s">
        <v>111</v>
      </c>
      <c r="D21" s="34" t="n">
        <f aca="false">'PL.Khoi luong'!D16</f>
        <v>9.4043</v>
      </c>
      <c r="E21" s="34" t="n">
        <f aca="false">'PL.Khoi luong'!E16</f>
        <v>0</v>
      </c>
      <c r="F21" s="34" t="n">
        <f aca="false">'PL.Khoi luong'!F16</f>
        <v>0</v>
      </c>
      <c r="G21" s="32" t="n">
        <f aca="false">E21+F21</f>
        <v>0</v>
      </c>
      <c r="H21" s="35" t="n">
        <v>54574741.9797327</v>
      </c>
      <c r="I21" s="14" t="n">
        <f aca="false">D21*H21</f>
        <v>513237246</v>
      </c>
      <c r="J21" s="14" t="n">
        <f aca="false">E21*H21</f>
        <v>0</v>
      </c>
      <c r="K21" s="14" t="n">
        <f aca="false">F21*H21</f>
        <v>0</v>
      </c>
      <c r="L21" s="14" t="n">
        <f aca="false">G21*H21</f>
        <v>0</v>
      </c>
      <c r="M21" s="27"/>
    </row>
    <row r="22" customFormat="false" ht="15" hidden="false" customHeight="false" outlineLevel="0" collapsed="false">
      <c r="A22" s="29" t="s">
        <v>112</v>
      </c>
      <c r="B22" s="27" t="s">
        <v>113</v>
      </c>
      <c r="C22" s="29" t="s">
        <v>111</v>
      </c>
      <c r="D22" s="34" t="n">
        <f aca="false">'PL.Khoi luong'!D17</f>
        <v>11.3547</v>
      </c>
      <c r="E22" s="34" t="n">
        <f aca="false">'PL.Khoi luong'!E17</f>
        <v>0</v>
      </c>
      <c r="F22" s="34" t="n">
        <f aca="false">'PL.Khoi luong'!F17</f>
        <v>0</v>
      </c>
      <c r="G22" s="32" t="n">
        <f aca="false">E22+F22</f>
        <v>0</v>
      </c>
      <c r="H22" s="35" t="n">
        <v>49026256.96848</v>
      </c>
      <c r="I22" s="14" t="n">
        <f aca="false">D22*H22</f>
        <v>556678440</v>
      </c>
      <c r="J22" s="14" t="n">
        <f aca="false">E22*H22</f>
        <v>0</v>
      </c>
      <c r="K22" s="14" t="n">
        <f aca="false">F22*H22</f>
        <v>0</v>
      </c>
      <c r="L22" s="14" t="n">
        <f aca="false">G22*H22</f>
        <v>0</v>
      </c>
      <c r="M22" s="27"/>
    </row>
    <row r="23" customFormat="false" ht="15" hidden="false" customHeight="false" outlineLevel="0" collapsed="false">
      <c r="A23" s="29" t="s">
        <v>114</v>
      </c>
      <c r="B23" s="27" t="s">
        <v>115</v>
      </c>
      <c r="C23" s="29" t="s">
        <v>116</v>
      </c>
      <c r="D23" s="34" t="n">
        <f aca="false">'PL.Khoi luong'!D18</f>
        <v>2639.947</v>
      </c>
      <c r="E23" s="34" t="n">
        <f aca="false">'PL.Khoi luong'!E18</f>
        <v>0</v>
      </c>
      <c r="F23" s="34" t="n">
        <f aca="false">'PL.Khoi luong'!F18</f>
        <v>0</v>
      </c>
      <c r="G23" s="32" t="n">
        <f aca="false">E23+F23</f>
        <v>0</v>
      </c>
      <c r="H23" s="35" t="n">
        <v>135876.000162124</v>
      </c>
      <c r="I23" s="14" t="n">
        <f aca="false">D23*H23</f>
        <v>358705438.999999</v>
      </c>
      <c r="J23" s="14" t="n">
        <f aca="false">E23*H23</f>
        <v>0</v>
      </c>
      <c r="K23" s="14" t="n">
        <f aca="false">F23*H23</f>
        <v>0</v>
      </c>
      <c r="L23" s="14" t="n">
        <f aca="false">G23*H23</f>
        <v>0</v>
      </c>
      <c r="M23" s="27"/>
    </row>
    <row r="24" customFormat="false" ht="15" hidden="false" customHeight="false" outlineLevel="0" collapsed="false">
      <c r="A24" s="29" t="s">
        <v>117</v>
      </c>
      <c r="B24" s="27" t="s">
        <v>118</v>
      </c>
      <c r="C24" s="29" t="s">
        <v>111</v>
      </c>
      <c r="D24" s="34" t="n">
        <f aca="false">'PL.Khoi luong'!D19</f>
        <v>18.8084</v>
      </c>
      <c r="E24" s="34" t="n">
        <f aca="false">'PL.Khoi luong'!E19</f>
        <v>0</v>
      </c>
      <c r="F24" s="34" t="n">
        <f aca="false">'PL.Khoi luong'!F19</f>
        <v>0</v>
      </c>
      <c r="G24" s="32" t="n">
        <f aca="false">E24+F24</f>
        <v>0</v>
      </c>
      <c r="H24" s="35" t="n">
        <v>2039934.97586185</v>
      </c>
      <c r="I24" s="14" t="n">
        <f aca="false">D24*H24</f>
        <v>38367913</v>
      </c>
      <c r="J24" s="14" t="n">
        <f aca="false">E24*H24</f>
        <v>0</v>
      </c>
      <c r="K24" s="14" t="n">
        <f aca="false">F24*H24</f>
        <v>0</v>
      </c>
      <c r="L24" s="14" t="n">
        <f aca="false">G24*H24</f>
        <v>0</v>
      </c>
      <c r="M24" s="27"/>
    </row>
    <row r="25" customFormat="false" ht="15" hidden="false" customHeight="false" outlineLevel="0" collapsed="false">
      <c r="A25" s="29" t="s">
        <v>119</v>
      </c>
      <c r="B25" s="27" t="s">
        <v>120</v>
      </c>
      <c r="C25" s="29" t="s">
        <v>116</v>
      </c>
      <c r="D25" s="34" t="n">
        <f aca="false">'PL.Khoi luong'!D20</f>
        <v>23694.4749</v>
      </c>
      <c r="E25" s="34" t="n">
        <f aca="false">'PL.Khoi luong'!E20</f>
        <v>0</v>
      </c>
      <c r="F25" s="34" t="n">
        <f aca="false">'PL.Khoi luong'!F20</f>
        <v>0</v>
      </c>
      <c r="G25" s="32" t="n">
        <f aca="false">E25+F25</f>
        <v>0</v>
      </c>
      <c r="H25" s="35" t="n">
        <v>135876.000020579</v>
      </c>
      <c r="I25" s="14" t="n">
        <f aca="false">D25*H25</f>
        <v>3219510472.00001</v>
      </c>
      <c r="J25" s="14" t="n">
        <f aca="false">E25*H25</f>
        <v>0</v>
      </c>
      <c r="K25" s="14" t="n">
        <f aca="false">F25*H25</f>
        <v>0</v>
      </c>
      <c r="L25" s="14" t="n">
        <f aca="false">G25*H25</f>
        <v>0</v>
      </c>
      <c r="M25" s="27"/>
    </row>
    <row r="26" customFormat="false" ht="15" hidden="false" customHeight="false" outlineLevel="0" collapsed="false">
      <c r="A26" s="29" t="s">
        <v>121</v>
      </c>
      <c r="B26" s="27" t="s">
        <v>122</v>
      </c>
      <c r="C26" s="29" t="s">
        <v>111</v>
      </c>
      <c r="D26" s="34" t="n">
        <f aca="false">'PL.Khoi luong'!D21</f>
        <v>174.3717</v>
      </c>
      <c r="E26" s="34" t="n">
        <f aca="false">'PL.Khoi luong'!E21</f>
        <v>0</v>
      </c>
      <c r="F26" s="34" t="n">
        <f aca="false">'PL.Khoi luong'!F21</f>
        <v>0</v>
      </c>
      <c r="G26" s="32" t="n">
        <f aca="false">E26+F26</f>
        <v>0</v>
      </c>
      <c r="H26" s="35" t="n">
        <v>1662930.99740382</v>
      </c>
      <c r="I26" s="14" t="n">
        <f aca="false">D26*H26</f>
        <v>289968105</v>
      </c>
      <c r="J26" s="14" t="n">
        <f aca="false">E26*H26</f>
        <v>0</v>
      </c>
      <c r="K26" s="14" t="n">
        <f aca="false">F26*H26</f>
        <v>0</v>
      </c>
      <c r="L26" s="14" t="n">
        <f aca="false">G26*H26</f>
        <v>0</v>
      </c>
      <c r="M26" s="27"/>
    </row>
    <row r="27" customFormat="false" ht="15" hidden="false" customHeight="false" outlineLevel="0" collapsed="false">
      <c r="A27" s="29" t="s">
        <v>123</v>
      </c>
      <c r="B27" s="27" t="s">
        <v>124</v>
      </c>
      <c r="C27" s="29" t="s">
        <v>111</v>
      </c>
      <c r="D27" s="34" t="n">
        <f aca="false">'PL.Khoi luong'!D22</f>
        <v>1.0778</v>
      </c>
      <c r="E27" s="34" t="n">
        <f aca="false">'PL.Khoi luong'!E22</f>
        <v>0</v>
      </c>
      <c r="F27" s="34" t="n">
        <f aca="false">'PL.Khoi luong'!F22</f>
        <v>0</v>
      </c>
      <c r="G27" s="32" t="n">
        <f aca="false">E27+F27</f>
        <v>0</v>
      </c>
      <c r="H27" s="35" t="n">
        <v>2974703.09890518</v>
      </c>
      <c r="I27" s="14" t="n">
        <f aca="false">D27*H27</f>
        <v>3206135</v>
      </c>
      <c r="J27" s="14" t="n">
        <f aca="false">E27*H27</f>
        <v>0</v>
      </c>
      <c r="K27" s="14" t="n">
        <f aca="false">F27*H27</f>
        <v>0</v>
      </c>
      <c r="L27" s="14" t="n">
        <f aca="false">G27*H27</f>
        <v>0</v>
      </c>
      <c r="M27" s="27"/>
    </row>
    <row r="28" customFormat="false" ht="15" hidden="false" customHeight="false" outlineLevel="0" collapsed="false">
      <c r="A28" s="29" t="s">
        <v>125</v>
      </c>
      <c r="B28" s="27" t="s">
        <v>126</v>
      </c>
      <c r="C28" s="29" t="s">
        <v>111</v>
      </c>
      <c r="D28" s="34" t="n">
        <f aca="false">'PL.Khoi luong'!D23</f>
        <v>30.6066</v>
      </c>
      <c r="E28" s="34" t="n">
        <f aca="false">'PL.Khoi luong'!E23</f>
        <v>0</v>
      </c>
      <c r="F28" s="34" t="n">
        <f aca="false">'PL.Khoi luong'!F23</f>
        <v>0</v>
      </c>
      <c r="G28" s="32" t="n">
        <f aca="false">E28+F28</f>
        <v>0</v>
      </c>
      <c r="H28" s="35" t="n">
        <v>1116282.99125025</v>
      </c>
      <c r="I28" s="14" t="n">
        <f aca="false">D28*H28</f>
        <v>34165626.9999999</v>
      </c>
      <c r="J28" s="14" t="n">
        <f aca="false">E28*H28</f>
        <v>0</v>
      </c>
      <c r="K28" s="14" t="n">
        <f aca="false">F28*H28</f>
        <v>0</v>
      </c>
      <c r="L28" s="14" t="n">
        <f aca="false">G28*H28</f>
        <v>0</v>
      </c>
      <c r="M28" s="27"/>
    </row>
    <row r="29" customFormat="false" ht="15" hidden="false" customHeight="false" outlineLevel="0" collapsed="false">
      <c r="A29" s="12" t="s">
        <v>127</v>
      </c>
      <c r="B29" s="28" t="s">
        <v>128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customFormat="false" ht="15" hidden="false" customHeight="false" outlineLevel="0" collapsed="false">
      <c r="A30" s="29" t="s">
        <v>129</v>
      </c>
      <c r="B30" s="27" t="s">
        <v>130</v>
      </c>
      <c r="C30" s="29" t="s">
        <v>131</v>
      </c>
      <c r="D30" s="34" t="n">
        <f aca="false">'PL.Khoi luong'!D25</f>
        <v>470.17</v>
      </c>
      <c r="E30" s="34" t="n">
        <f aca="false">'PL.Khoi luong'!E25</f>
        <v>0</v>
      </c>
      <c r="F30" s="34" t="n">
        <f aca="false">'PL.Khoi luong'!F25</f>
        <v>0</v>
      </c>
      <c r="G30" s="32" t="n">
        <f aca="false">E30+F30</f>
        <v>0</v>
      </c>
      <c r="H30" s="35" t="n">
        <v>366452.999978731</v>
      </c>
      <c r="I30" s="14" t="n">
        <f aca="false">D30*H30</f>
        <v>172295207</v>
      </c>
      <c r="J30" s="14" t="n">
        <f aca="false">E30*H30</f>
        <v>0</v>
      </c>
      <c r="K30" s="14" t="n">
        <f aca="false">F30*H30</f>
        <v>0</v>
      </c>
      <c r="L30" s="14" t="n">
        <f aca="false">G30*H30</f>
        <v>0</v>
      </c>
      <c r="M30" s="27"/>
    </row>
    <row r="31" customFormat="false" ht="15" hidden="false" customHeight="false" outlineLevel="0" collapsed="false">
      <c r="A31" s="12" t="s">
        <v>132</v>
      </c>
      <c r="B31" s="13" t="s">
        <v>133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customFormat="false" ht="15" hidden="false" customHeight="false" outlineLevel="0" collapsed="false">
      <c r="A32" s="12" t="s">
        <v>53</v>
      </c>
      <c r="B32" s="28" t="s">
        <v>134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customFormat="false" ht="15" hidden="false" customHeight="false" outlineLevel="0" collapsed="false">
      <c r="A33" s="29" t="s">
        <v>135</v>
      </c>
      <c r="B33" s="27" t="s">
        <v>136</v>
      </c>
      <c r="C33" s="29" t="s">
        <v>116</v>
      </c>
      <c r="D33" s="34" t="n">
        <f aca="false">'PL.Khoi luong'!D28</f>
        <v>121.79</v>
      </c>
      <c r="E33" s="34" t="n">
        <f aca="false">'PL.Khoi luong'!E28</f>
        <v>0</v>
      </c>
      <c r="F33" s="34" t="n">
        <f aca="false">'PL.Khoi luong'!F28</f>
        <v>0</v>
      </c>
      <c r="G33" s="32" t="n">
        <f aca="false">E33+F33</f>
        <v>0</v>
      </c>
      <c r="H33" s="35" t="n">
        <v>990903.998686263</v>
      </c>
      <c r="I33" s="14" t="n">
        <f aca="false">D33*H33</f>
        <v>120682198</v>
      </c>
      <c r="J33" s="14" t="n">
        <f aca="false">E33*H33</f>
        <v>0</v>
      </c>
      <c r="K33" s="14" t="n">
        <f aca="false">F33*H33</f>
        <v>0</v>
      </c>
      <c r="L33" s="14" t="n">
        <f aca="false">G33*H33</f>
        <v>0</v>
      </c>
      <c r="M33" s="27"/>
    </row>
    <row r="34" customFormat="false" ht="15" hidden="false" customHeight="false" outlineLevel="0" collapsed="false">
      <c r="A34" s="29" t="s">
        <v>137</v>
      </c>
      <c r="B34" s="27" t="s">
        <v>138</v>
      </c>
      <c r="C34" s="29" t="s">
        <v>116</v>
      </c>
      <c r="D34" s="34" t="n">
        <f aca="false">'PL.Khoi luong'!D29</f>
        <v>182.69</v>
      </c>
      <c r="E34" s="34" t="n">
        <f aca="false">'PL.Khoi luong'!E29</f>
        <v>0</v>
      </c>
      <c r="F34" s="34" t="n">
        <f aca="false">'PL.Khoi luong'!F29</f>
        <v>0</v>
      </c>
      <c r="G34" s="32" t="n">
        <f aca="false">E34+F34</f>
        <v>0</v>
      </c>
      <c r="H34" s="35" t="n">
        <v>1516740.99841261</v>
      </c>
      <c r="I34" s="14" t="n">
        <f aca="false">D34*H34</f>
        <v>277093413</v>
      </c>
      <c r="J34" s="14" t="n">
        <f aca="false">E34*H34</f>
        <v>0</v>
      </c>
      <c r="K34" s="14" t="n">
        <f aca="false">F34*H34</f>
        <v>0</v>
      </c>
      <c r="L34" s="14" t="n">
        <f aca="false">G34*H34</f>
        <v>0</v>
      </c>
      <c r="M34" s="27"/>
    </row>
    <row r="35" customFormat="false" ht="15" hidden="false" customHeight="false" outlineLevel="0" collapsed="false">
      <c r="A35" s="29" t="s">
        <v>139</v>
      </c>
      <c r="B35" s="27" t="s">
        <v>140</v>
      </c>
      <c r="C35" s="29" t="s">
        <v>106</v>
      </c>
      <c r="D35" s="34" t="n">
        <f aca="false">'PL.Khoi luong'!D30</f>
        <v>2.4856</v>
      </c>
      <c r="E35" s="34" t="n">
        <f aca="false">'PL.Khoi luong'!E30</f>
        <v>0</v>
      </c>
      <c r="F35" s="34" t="n">
        <f aca="false">'PL.Khoi luong'!F30</f>
        <v>0</v>
      </c>
      <c r="G35" s="32" t="n">
        <f aca="false">E35+F35</f>
        <v>0</v>
      </c>
      <c r="H35" s="35" t="n">
        <v>6286550.12874155</v>
      </c>
      <c r="I35" s="14" t="n">
        <f aca="false">D35*H35</f>
        <v>15625849</v>
      </c>
      <c r="J35" s="14" t="n">
        <f aca="false">E35*H35</f>
        <v>0</v>
      </c>
      <c r="K35" s="14" t="n">
        <f aca="false">F35*H35</f>
        <v>0</v>
      </c>
      <c r="L35" s="14" t="n">
        <f aca="false">G35*H35</f>
        <v>0</v>
      </c>
      <c r="M35" s="27"/>
    </row>
    <row r="36" customFormat="false" ht="15" hidden="false" customHeight="false" outlineLevel="0" collapsed="false">
      <c r="A36" s="29" t="s">
        <v>141</v>
      </c>
      <c r="B36" s="27" t="s">
        <v>142</v>
      </c>
      <c r="C36" s="29" t="s">
        <v>116</v>
      </c>
      <c r="D36" s="34" t="n">
        <f aca="false">'PL.Khoi luong'!D31</f>
        <v>255.18</v>
      </c>
      <c r="E36" s="34" t="n">
        <f aca="false">'PL.Khoi luong'!E31</f>
        <v>0</v>
      </c>
      <c r="F36" s="34" t="n">
        <f aca="false">'PL.Khoi luong'!F31</f>
        <v>0</v>
      </c>
      <c r="G36" s="32" t="n">
        <f aca="false">E36+F36</f>
        <v>0</v>
      </c>
      <c r="H36" s="35" t="n">
        <v>1568220.00156752</v>
      </c>
      <c r="I36" s="14" t="n">
        <f aca="false">D36*H36</f>
        <v>400178380</v>
      </c>
      <c r="J36" s="14" t="n">
        <f aca="false">E36*H36</f>
        <v>0</v>
      </c>
      <c r="K36" s="14" t="n">
        <f aca="false">F36*H36</f>
        <v>0</v>
      </c>
      <c r="L36" s="14" t="n">
        <f aca="false">G36*H36</f>
        <v>0</v>
      </c>
      <c r="M36" s="27"/>
    </row>
    <row r="37" customFormat="false" ht="26.85" hidden="false" customHeight="false" outlineLevel="0" collapsed="false">
      <c r="A37" s="29" t="s">
        <v>143</v>
      </c>
      <c r="B37" s="27" t="s">
        <v>144</v>
      </c>
      <c r="C37" s="29" t="s">
        <v>131</v>
      </c>
      <c r="D37" s="34" t="n">
        <f aca="false">'PL.Khoi luong'!D32</f>
        <v>1159.93</v>
      </c>
      <c r="E37" s="34" t="n">
        <f aca="false">'PL.Khoi luong'!E32</f>
        <v>0</v>
      </c>
      <c r="F37" s="34" t="n">
        <f aca="false">'PL.Khoi luong'!F32</f>
        <v>0</v>
      </c>
      <c r="G37" s="32" t="n">
        <f aca="false">E37+F37</f>
        <v>0</v>
      </c>
      <c r="H37" s="35" t="n">
        <v>113552.999749985</v>
      </c>
      <c r="I37" s="14" t="n">
        <f aca="false">D37*H37</f>
        <v>131713531</v>
      </c>
      <c r="J37" s="14" t="n">
        <f aca="false">E37*H37</f>
        <v>0</v>
      </c>
      <c r="K37" s="14" t="n">
        <f aca="false">F37*H37</f>
        <v>0</v>
      </c>
      <c r="L37" s="14" t="n">
        <f aca="false">G37*H37</f>
        <v>0</v>
      </c>
      <c r="M37" s="27"/>
    </row>
    <row r="38" customFormat="false" ht="15" hidden="false" customHeight="false" outlineLevel="0" collapsed="false">
      <c r="A38" s="29" t="s">
        <v>145</v>
      </c>
      <c r="B38" s="27" t="s">
        <v>146</v>
      </c>
      <c r="C38" s="29" t="s">
        <v>116</v>
      </c>
      <c r="D38" s="34" t="n">
        <f aca="false">'PL.Khoi luong'!D33</f>
        <v>53.85</v>
      </c>
      <c r="E38" s="34" t="n">
        <f aca="false">'PL.Khoi luong'!E33</f>
        <v>0</v>
      </c>
      <c r="F38" s="34" t="n">
        <f aca="false">'PL.Khoi luong'!F33</f>
        <v>0</v>
      </c>
      <c r="G38" s="32" t="n">
        <f aca="false">E38+F38</f>
        <v>0</v>
      </c>
      <c r="H38" s="35" t="n">
        <v>2084985.99814299</v>
      </c>
      <c r="I38" s="14" t="n">
        <f aca="false">D38*H38</f>
        <v>112276496</v>
      </c>
      <c r="J38" s="14" t="n">
        <f aca="false">E38*H38</f>
        <v>0</v>
      </c>
      <c r="K38" s="14" t="n">
        <f aca="false">F38*H38</f>
        <v>0</v>
      </c>
      <c r="L38" s="14" t="n">
        <f aca="false">G38*H38</f>
        <v>0</v>
      </c>
      <c r="M38" s="27"/>
    </row>
    <row r="39" customFormat="false" ht="15" hidden="false" customHeight="false" outlineLevel="0" collapsed="false">
      <c r="A39" s="29" t="s">
        <v>147</v>
      </c>
      <c r="B39" s="27" t="s">
        <v>148</v>
      </c>
      <c r="C39" s="29" t="s">
        <v>149</v>
      </c>
      <c r="D39" s="34" t="n">
        <f aca="false">'PL.Khoi luong'!D34</f>
        <v>5.7168</v>
      </c>
      <c r="E39" s="34" t="n">
        <f aca="false">'PL.Khoi luong'!E34</f>
        <v>0</v>
      </c>
      <c r="F39" s="34" t="n">
        <f aca="false">'PL.Khoi luong'!F34</f>
        <v>0</v>
      </c>
      <c r="G39" s="32" t="n">
        <f aca="false">E39+F39</f>
        <v>0</v>
      </c>
      <c r="H39" s="35" t="n">
        <v>24438878.0436608</v>
      </c>
      <c r="I39" s="14" t="n">
        <f aca="false">D39*H39</f>
        <v>139712178</v>
      </c>
      <c r="J39" s="14" t="n">
        <f aca="false">E39*H39</f>
        <v>0</v>
      </c>
      <c r="K39" s="14" t="n">
        <f aca="false">F39*H39</f>
        <v>0</v>
      </c>
      <c r="L39" s="14" t="n">
        <f aca="false">G39*H39</f>
        <v>0</v>
      </c>
      <c r="M39" s="27"/>
    </row>
    <row r="40" customFormat="false" ht="15" hidden="false" customHeight="false" outlineLevel="0" collapsed="false">
      <c r="A40" s="29" t="s">
        <v>150</v>
      </c>
      <c r="B40" s="27" t="s">
        <v>151</v>
      </c>
      <c r="C40" s="29" t="s">
        <v>106</v>
      </c>
      <c r="D40" s="34" t="n">
        <f aca="false">'PL.Khoi luong'!D35</f>
        <v>3.3969</v>
      </c>
      <c r="E40" s="34" t="n">
        <f aca="false">'PL.Khoi luong'!E35</f>
        <v>0</v>
      </c>
      <c r="F40" s="34" t="n">
        <f aca="false">'PL.Khoi luong'!F35</f>
        <v>0</v>
      </c>
      <c r="G40" s="32" t="n">
        <f aca="false">E40+F40</f>
        <v>0</v>
      </c>
      <c r="H40" s="35" t="n">
        <v>8587205.9819247</v>
      </c>
      <c r="I40" s="14" t="n">
        <f aca="false">D40*H40</f>
        <v>29169880</v>
      </c>
      <c r="J40" s="14" t="n">
        <f aca="false">E40*H40</f>
        <v>0</v>
      </c>
      <c r="K40" s="14" t="n">
        <f aca="false">F40*H40</f>
        <v>0</v>
      </c>
      <c r="L40" s="14" t="n">
        <f aca="false">G40*H40</f>
        <v>0</v>
      </c>
      <c r="M40" s="27"/>
    </row>
    <row r="41" customFormat="false" ht="15" hidden="false" customHeight="false" outlineLevel="0" collapsed="false">
      <c r="A41" s="29" t="s">
        <v>152</v>
      </c>
      <c r="B41" s="27" t="s">
        <v>153</v>
      </c>
      <c r="C41" s="29" t="s">
        <v>116</v>
      </c>
      <c r="D41" s="34" t="n">
        <f aca="false">'PL.Khoi luong'!D36</f>
        <v>86.99</v>
      </c>
      <c r="E41" s="34" t="n">
        <f aca="false">'PL.Khoi luong'!E36</f>
        <v>0</v>
      </c>
      <c r="F41" s="34" t="n">
        <f aca="false">'PL.Khoi luong'!F36</f>
        <v>0</v>
      </c>
      <c r="G41" s="32" t="n">
        <f aca="false">E41+F41</f>
        <v>0</v>
      </c>
      <c r="H41" s="35" t="n">
        <v>1752157.99517186</v>
      </c>
      <c r="I41" s="14" t="n">
        <f aca="false">D41*H41</f>
        <v>152420224</v>
      </c>
      <c r="J41" s="14" t="n">
        <f aca="false">E41*H41</f>
        <v>0</v>
      </c>
      <c r="K41" s="14" t="n">
        <f aca="false">F41*H41</f>
        <v>0</v>
      </c>
      <c r="L41" s="14" t="n">
        <f aca="false">G41*H41</f>
        <v>0</v>
      </c>
      <c r="M41" s="27"/>
    </row>
    <row r="42" customFormat="false" ht="15" hidden="false" customHeight="false" outlineLevel="0" collapsed="false">
      <c r="A42" s="29" t="s">
        <v>154</v>
      </c>
      <c r="B42" s="27" t="s">
        <v>155</v>
      </c>
      <c r="C42" s="29" t="s">
        <v>149</v>
      </c>
      <c r="D42" s="34" t="n">
        <f aca="false">'PL.Khoi luong'!D37</f>
        <v>8.0946</v>
      </c>
      <c r="E42" s="34" t="n">
        <f aca="false">'PL.Khoi luong'!E37</f>
        <v>0</v>
      </c>
      <c r="F42" s="34" t="n">
        <f aca="false">'PL.Khoi luong'!F37</f>
        <v>0</v>
      </c>
      <c r="G42" s="32" t="n">
        <f aca="false">E42+F42</f>
        <v>0</v>
      </c>
      <c r="H42" s="35" t="n">
        <v>25003382.0077583</v>
      </c>
      <c r="I42" s="14" t="n">
        <f aca="false">D42*H42</f>
        <v>202392376</v>
      </c>
      <c r="J42" s="14" t="n">
        <f aca="false">E42*H42</f>
        <v>0</v>
      </c>
      <c r="K42" s="14" t="n">
        <f aca="false">F42*H42</f>
        <v>0</v>
      </c>
      <c r="L42" s="14" t="n">
        <f aca="false">G42*H42</f>
        <v>0</v>
      </c>
      <c r="M42" s="27"/>
    </row>
    <row r="43" customFormat="false" ht="15" hidden="false" customHeight="false" outlineLevel="0" collapsed="false">
      <c r="A43" s="29" t="s">
        <v>156</v>
      </c>
      <c r="B43" s="27" t="s">
        <v>157</v>
      </c>
      <c r="C43" s="29" t="s">
        <v>149</v>
      </c>
      <c r="D43" s="34" t="n">
        <f aca="false">'PL.Khoi luong'!D38</f>
        <v>6.1145</v>
      </c>
      <c r="E43" s="34" t="n">
        <f aca="false">'PL.Khoi luong'!E38</f>
        <v>0</v>
      </c>
      <c r="F43" s="34" t="n">
        <f aca="false">'PL.Khoi luong'!F38</f>
        <v>0</v>
      </c>
      <c r="G43" s="32" t="n">
        <f aca="false">E43+F43</f>
        <v>0</v>
      </c>
      <c r="H43" s="35" t="n">
        <v>25003381.9609126</v>
      </c>
      <c r="I43" s="14" t="n">
        <f aca="false">D43*H43</f>
        <v>152883179</v>
      </c>
      <c r="J43" s="14" t="n">
        <f aca="false">E43*H43</f>
        <v>0</v>
      </c>
      <c r="K43" s="14" t="n">
        <f aca="false">F43*H43</f>
        <v>0</v>
      </c>
      <c r="L43" s="14" t="n">
        <f aca="false">G43*H43</f>
        <v>0</v>
      </c>
      <c r="M43" s="27"/>
    </row>
    <row r="44" customFormat="false" ht="26.85" hidden="false" customHeight="false" outlineLevel="0" collapsed="false">
      <c r="A44" s="29" t="s">
        <v>158</v>
      </c>
      <c r="B44" s="27" t="s">
        <v>159</v>
      </c>
      <c r="C44" s="29" t="s">
        <v>160</v>
      </c>
      <c r="D44" s="34" t="n">
        <f aca="false">'PL.Khoi luong'!D39</f>
        <v>829</v>
      </c>
      <c r="E44" s="34" t="n">
        <f aca="false">'PL.Khoi luong'!E39</f>
        <v>0</v>
      </c>
      <c r="F44" s="34" t="n">
        <f aca="false">'PL.Khoi luong'!F39</f>
        <v>0</v>
      </c>
      <c r="G44" s="32" t="n">
        <f aca="false">E44+F44</f>
        <v>0</v>
      </c>
      <c r="H44" s="35" t="n">
        <v>71359</v>
      </c>
      <c r="I44" s="14" t="n">
        <f aca="false">D44*H44</f>
        <v>59156611</v>
      </c>
      <c r="J44" s="14" t="n">
        <f aca="false">E44*H44</f>
        <v>0</v>
      </c>
      <c r="K44" s="14" t="n">
        <f aca="false">F44*H44</f>
        <v>0</v>
      </c>
      <c r="L44" s="14" t="n">
        <f aca="false">G44*H44</f>
        <v>0</v>
      </c>
      <c r="M44" s="27"/>
    </row>
    <row r="45" customFormat="false" ht="15" hidden="false" customHeight="false" outlineLevel="0" collapsed="false">
      <c r="A45" s="12" t="s">
        <v>55</v>
      </c>
      <c r="B45" s="28" t="s">
        <v>161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customFormat="false" ht="15" hidden="false" customHeight="false" outlineLevel="0" collapsed="false">
      <c r="A46" s="29" t="s">
        <v>162</v>
      </c>
      <c r="B46" s="27" t="s">
        <v>136</v>
      </c>
      <c r="C46" s="29" t="s">
        <v>116</v>
      </c>
      <c r="D46" s="34" t="n">
        <f aca="false">'PL.Khoi luong'!D41</f>
        <v>25.11</v>
      </c>
      <c r="E46" s="34" t="n">
        <f aca="false">'PL.Khoi luong'!E41</f>
        <v>0</v>
      </c>
      <c r="F46" s="34" t="n">
        <f aca="false">'PL.Khoi luong'!F41</f>
        <v>0</v>
      </c>
      <c r="G46" s="32" t="n">
        <f aca="false">E46+F46</f>
        <v>0</v>
      </c>
      <c r="H46" s="35" t="n">
        <v>990903.982477101</v>
      </c>
      <c r="I46" s="14" t="n">
        <f aca="false">D46*H46</f>
        <v>24881599</v>
      </c>
      <c r="J46" s="14" t="n">
        <f aca="false">E46*H46</f>
        <v>0</v>
      </c>
      <c r="K46" s="14" t="n">
        <f aca="false">F46*H46</f>
        <v>0</v>
      </c>
      <c r="L46" s="14" t="n">
        <f aca="false">G46*H46</f>
        <v>0</v>
      </c>
      <c r="M46" s="27"/>
    </row>
    <row r="47" customFormat="false" ht="15" hidden="false" customHeight="false" outlineLevel="0" collapsed="false">
      <c r="A47" s="29" t="s">
        <v>163</v>
      </c>
      <c r="B47" s="27" t="s">
        <v>138</v>
      </c>
      <c r="C47" s="29" t="s">
        <v>116</v>
      </c>
      <c r="D47" s="34" t="n">
        <f aca="false">'PL.Khoi luong'!D42</f>
        <v>46.36</v>
      </c>
      <c r="E47" s="34" t="n">
        <f aca="false">'PL.Khoi luong'!E42</f>
        <v>0</v>
      </c>
      <c r="F47" s="34" t="n">
        <f aca="false">'PL.Khoi luong'!F42</f>
        <v>0</v>
      </c>
      <c r="G47" s="32" t="n">
        <f aca="false">E47+F47</f>
        <v>0</v>
      </c>
      <c r="H47" s="35" t="n">
        <v>1516741.00517688</v>
      </c>
      <c r="I47" s="14" t="n">
        <f aca="false">D47*H47</f>
        <v>70316113.0000002</v>
      </c>
      <c r="J47" s="14" t="n">
        <f aca="false">E47*H47</f>
        <v>0</v>
      </c>
      <c r="K47" s="14" t="n">
        <f aca="false">F47*H47</f>
        <v>0</v>
      </c>
      <c r="L47" s="14" t="n">
        <f aca="false">G47*H47</f>
        <v>0</v>
      </c>
      <c r="M47" s="27"/>
    </row>
    <row r="48" customFormat="false" ht="15" hidden="false" customHeight="false" outlineLevel="0" collapsed="false">
      <c r="A48" s="29" t="s">
        <v>164</v>
      </c>
      <c r="B48" s="27" t="s">
        <v>140</v>
      </c>
      <c r="C48" s="29" t="s">
        <v>106</v>
      </c>
      <c r="D48" s="34" t="n">
        <f aca="false">'PL.Khoi luong'!D43</f>
        <v>0.7727</v>
      </c>
      <c r="E48" s="34" t="n">
        <f aca="false">'PL.Khoi luong'!E43</f>
        <v>0</v>
      </c>
      <c r="F48" s="34" t="n">
        <f aca="false">'PL.Khoi luong'!F43</f>
        <v>0</v>
      </c>
      <c r="G48" s="32" t="n">
        <f aca="false">E48+F48</f>
        <v>0</v>
      </c>
      <c r="H48" s="35" t="n">
        <v>6286549.76057978</v>
      </c>
      <c r="I48" s="14" t="n">
        <f aca="false">D48*H48</f>
        <v>4857617</v>
      </c>
      <c r="J48" s="14" t="n">
        <f aca="false">E48*H48</f>
        <v>0</v>
      </c>
      <c r="K48" s="14" t="n">
        <f aca="false">F48*H48</f>
        <v>0</v>
      </c>
      <c r="L48" s="14" t="n">
        <f aca="false">G48*H48</f>
        <v>0</v>
      </c>
      <c r="M48" s="27"/>
    </row>
    <row r="49" customFormat="false" ht="15" hidden="false" customHeight="false" outlineLevel="0" collapsed="false">
      <c r="A49" s="29" t="s">
        <v>165</v>
      </c>
      <c r="B49" s="27" t="s">
        <v>166</v>
      </c>
      <c r="C49" s="29" t="s">
        <v>116</v>
      </c>
      <c r="D49" s="34" t="n">
        <f aca="false">'PL.Khoi luong'!D44</f>
        <v>67.61</v>
      </c>
      <c r="E49" s="34" t="n">
        <f aca="false">'PL.Khoi luong'!E44</f>
        <v>0</v>
      </c>
      <c r="F49" s="34" t="n">
        <f aca="false">'PL.Khoi luong'!F44</f>
        <v>0</v>
      </c>
      <c r="G49" s="32" t="n">
        <f aca="false">E49+F49</f>
        <v>0</v>
      </c>
      <c r="H49" s="35" t="n">
        <v>1516740.99985209</v>
      </c>
      <c r="I49" s="14" t="n">
        <f aca="false">D49*H49</f>
        <v>102546859</v>
      </c>
      <c r="J49" s="14" t="n">
        <f aca="false">E49*H49</f>
        <v>0</v>
      </c>
      <c r="K49" s="14" t="n">
        <f aca="false">F49*H49</f>
        <v>0</v>
      </c>
      <c r="L49" s="14" t="n">
        <f aca="false">G49*H49</f>
        <v>0</v>
      </c>
      <c r="M49" s="27"/>
    </row>
    <row r="50" customFormat="false" ht="15" hidden="false" customHeight="false" outlineLevel="0" collapsed="false">
      <c r="A50" s="29" t="s">
        <v>167</v>
      </c>
      <c r="B50" s="27" t="s">
        <v>168</v>
      </c>
      <c r="C50" s="29" t="s">
        <v>106</v>
      </c>
      <c r="D50" s="34" t="n">
        <f aca="false">'PL.Khoi luong'!D45</f>
        <v>3.6704</v>
      </c>
      <c r="E50" s="34" t="n">
        <f aca="false">'PL.Khoi luong'!E45</f>
        <v>0</v>
      </c>
      <c r="F50" s="34" t="n">
        <f aca="false">'PL.Khoi luong'!F45</f>
        <v>0</v>
      </c>
      <c r="G50" s="32" t="n">
        <f aca="false">E50+F50</f>
        <v>0</v>
      </c>
      <c r="H50" s="35" t="n">
        <v>6286549.96730602</v>
      </c>
      <c r="I50" s="14" t="n">
        <f aca="false">D50*H50</f>
        <v>23074153</v>
      </c>
      <c r="J50" s="14" t="n">
        <f aca="false">E50*H50</f>
        <v>0</v>
      </c>
      <c r="K50" s="14" t="n">
        <f aca="false">F50*H50</f>
        <v>0</v>
      </c>
      <c r="L50" s="14" t="n">
        <f aca="false">G50*H50</f>
        <v>0</v>
      </c>
      <c r="M50" s="27"/>
    </row>
    <row r="51" customFormat="false" ht="15" hidden="false" customHeight="false" outlineLevel="0" collapsed="false">
      <c r="A51" s="29" t="s">
        <v>169</v>
      </c>
      <c r="B51" s="27" t="s">
        <v>170</v>
      </c>
      <c r="C51" s="29" t="s">
        <v>149</v>
      </c>
      <c r="D51" s="34" t="n">
        <f aca="false">'PL.Khoi luong'!D46</f>
        <v>5.1786</v>
      </c>
      <c r="E51" s="34" t="n">
        <f aca="false">'PL.Khoi luong'!E46</f>
        <v>0</v>
      </c>
      <c r="F51" s="34" t="n">
        <f aca="false">'PL.Khoi luong'!F46</f>
        <v>0</v>
      </c>
      <c r="G51" s="32" t="n">
        <f aca="false">E51+F51</f>
        <v>0</v>
      </c>
      <c r="H51" s="35" t="n">
        <v>22904379.9482486</v>
      </c>
      <c r="I51" s="14" t="n">
        <f aca="false">D51*H51</f>
        <v>118612622</v>
      </c>
      <c r="J51" s="14" t="n">
        <f aca="false">E51*H51</f>
        <v>0</v>
      </c>
      <c r="K51" s="14" t="n">
        <f aca="false">F51*H51</f>
        <v>0</v>
      </c>
      <c r="L51" s="14" t="n">
        <f aca="false">G51*H51</f>
        <v>0</v>
      </c>
      <c r="M51" s="27"/>
    </row>
    <row r="52" customFormat="false" ht="15" hidden="false" customHeight="false" outlineLevel="0" collapsed="false">
      <c r="A52" s="29" t="s">
        <v>171</v>
      </c>
      <c r="B52" s="27" t="s">
        <v>172</v>
      </c>
      <c r="C52" s="29" t="s">
        <v>149</v>
      </c>
      <c r="D52" s="34" t="n">
        <f aca="false">'PL.Khoi luong'!D47</f>
        <v>7.9854</v>
      </c>
      <c r="E52" s="34" t="n">
        <f aca="false">'PL.Khoi luong'!E47</f>
        <v>0</v>
      </c>
      <c r="F52" s="34" t="n">
        <f aca="false">'PL.Khoi luong'!F47</f>
        <v>0</v>
      </c>
      <c r="G52" s="32" t="n">
        <f aca="false">E52+F52</f>
        <v>0</v>
      </c>
      <c r="H52" s="35" t="n">
        <v>22691076.965462</v>
      </c>
      <c r="I52" s="14" t="n">
        <f aca="false">D52*H52</f>
        <v>181197326</v>
      </c>
      <c r="J52" s="14" t="n">
        <f aca="false">E52*H52</f>
        <v>0</v>
      </c>
      <c r="K52" s="14" t="n">
        <f aca="false">F52*H52</f>
        <v>0</v>
      </c>
      <c r="L52" s="14" t="n">
        <f aca="false">G52*H52</f>
        <v>0</v>
      </c>
      <c r="M52" s="27"/>
    </row>
    <row r="53" customFormat="false" ht="15" hidden="false" customHeight="false" outlineLevel="0" collapsed="false">
      <c r="A53" s="29" t="s">
        <v>173</v>
      </c>
      <c r="B53" s="27" t="s">
        <v>151</v>
      </c>
      <c r="C53" s="29" t="s">
        <v>106</v>
      </c>
      <c r="D53" s="34" t="n">
        <f aca="false">'PL.Khoi luong'!D48</f>
        <v>1.1591</v>
      </c>
      <c r="E53" s="34" t="n">
        <f aca="false">'PL.Khoi luong'!E48</f>
        <v>0</v>
      </c>
      <c r="F53" s="34" t="n">
        <f aca="false">'PL.Khoi luong'!F48</f>
        <v>0</v>
      </c>
      <c r="G53" s="32" t="n">
        <f aca="false">E53+F53</f>
        <v>0</v>
      </c>
      <c r="H53" s="35" t="n">
        <v>8587205.59054439</v>
      </c>
      <c r="I53" s="14" t="n">
        <f aca="false">D53*H53</f>
        <v>9953430</v>
      </c>
      <c r="J53" s="14" t="n">
        <f aca="false">E53*H53</f>
        <v>0</v>
      </c>
      <c r="K53" s="14" t="n">
        <f aca="false">F53*H53</f>
        <v>0</v>
      </c>
      <c r="L53" s="14" t="n">
        <f aca="false">G53*H53</f>
        <v>0</v>
      </c>
      <c r="M53" s="27"/>
    </row>
    <row r="54" customFormat="false" ht="15" hidden="false" customHeight="false" outlineLevel="0" collapsed="false">
      <c r="A54" s="29" t="s">
        <v>174</v>
      </c>
      <c r="B54" s="27" t="s">
        <v>153</v>
      </c>
      <c r="C54" s="29" t="s">
        <v>116</v>
      </c>
      <c r="D54" s="34" t="n">
        <f aca="false">'PL.Khoi luong'!D49</f>
        <v>28.98</v>
      </c>
      <c r="E54" s="34" t="n">
        <f aca="false">'PL.Khoi luong'!E49</f>
        <v>0</v>
      </c>
      <c r="F54" s="34" t="n">
        <f aca="false">'PL.Khoi luong'!F49</f>
        <v>0</v>
      </c>
      <c r="G54" s="32" t="n">
        <f aca="false">E54+F54</f>
        <v>0</v>
      </c>
      <c r="H54" s="35" t="n">
        <v>1752158.00552105</v>
      </c>
      <c r="I54" s="14" t="n">
        <f aca="false">D54*H54</f>
        <v>50777539</v>
      </c>
      <c r="J54" s="14" t="n">
        <f aca="false">E54*H54</f>
        <v>0</v>
      </c>
      <c r="K54" s="14" t="n">
        <f aca="false">F54*H54</f>
        <v>0</v>
      </c>
      <c r="L54" s="14" t="n">
        <f aca="false">G54*H54</f>
        <v>0</v>
      </c>
      <c r="M54" s="27"/>
    </row>
    <row r="55" customFormat="false" ht="15" hidden="false" customHeight="false" outlineLevel="0" collapsed="false">
      <c r="A55" s="29" t="s">
        <v>175</v>
      </c>
      <c r="B55" s="27" t="s">
        <v>155</v>
      </c>
      <c r="C55" s="29" t="s">
        <v>149</v>
      </c>
      <c r="D55" s="34" t="n">
        <f aca="false">'PL.Khoi luong'!D50</f>
        <v>2.4437</v>
      </c>
      <c r="E55" s="34" t="n">
        <f aca="false">'PL.Khoi luong'!E50</f>
        <v>0</v>
      </c>
      <c r="F55" s="34" t="n">
        <f aca="false">'PL.Khoi luong'!F50</f>
        <v>0</v>
      </c>
      <c r="G55" s="32" t="n">
        <f aca="false">E55+F55</f>
        <v>0</v>
      </c>
      <c r="H55" s="35" t="n">
        <v>25003382.166387</v>
      </c>
      <c r="I55" s="14" t="n">
        <f aca="false">D55*H55</f>
        <v>61100764.9999999</v>
      </c>
      <c r="J55" s="14" t="n">
        <f aca="false">E55*H55</f>
        <v>0</v>
      </c>
      <c r="K55" s="14" t="n">
        <f aca="false">F55*H55</f>
        <v>0</v>
      </c>
      <c r="L55" s="14" t="n">
        <f aca="false">G55*H55</f>
        <v>0</v>
      </c>
      <c r="M55" s="27"/>
    </row>
    <row r="56" customFormat="false" ht="15" hidden="false" customHeight="false" outlineLevel="0" collapsed="false">
      <c r="A56" s="29" t="s">
        <v>176</v>
      </c>
      <c r="B56" s="27" t="s">
        <v>157</v>
      </c>
      <c r="C56" s="29" t="s">
        <v>149</v>
      </c>
      <c r="D56" s="34" t="n">
        <f aca="false">'PL.Khoi luong'!D51</f>
        <v>4.1514</v>
      </c>
      <c r="E56" s="34" t="n">
        <f aca="false">'PL.Khoi luong'!E51</f>
        <v>0</v>
      </c>
      <c r="F56" s="34" t="n">
        <f aca="false">'PL.Khoi luong'!F51</f>
        <v>0</v>
      </c>
      <c r="G56" s="32" t="n">
        <f aca="false">E56+F56</f>
        <v>0</v>
      </c>
      <c r="H56" s="35" t="n">
        <v>25003381.9916173</v>
      </c>
      <c r="I56" s="14" t="n">
        <f aca="false">D56*H56</f>
        <v>103799040</v>
      </c>
      <c r="J56" s="14" t="n">
        <f aca="false">E56*H56</f>
        <v>0</v>
      </c>
      <c r="K56" s="14" t="n">
        <f aca="false">F56*H56</f>
        <v>0</v>
      </c>
      <c r="L56" s="14" t="n">
        <f aca="false">G56*H56</f>
        <v>0</v>
      </c>
      <c r="M56" s="27"/>
    </row>
    <row r="57" customFormat="false" ht="26.85" hidden="false" customHeight="false" outlineLevel="0" collapsed="false">
      <c r="A57" s="29" t="s">
        <v>177</v>
      </c>
      <c r="B57" s="27" t="s">
        <v>159</v>
      </c>
      <c r="C57" s="29" t="s">
        <v>160</v>
      </c>
      <c r="D57" s="34" t="n">
        <f aca="false">'PL.Khoi luong'!D52</f>
        <v>193</v>
      </c>
      <c r="E57" s="34" t="n">
        <f aca="false">'PL.Khoi luong'!E52</f>
        <v>0</v>
      </c>
      <c r="F57" s="34" t="n">
        <f aca="false">'PL.Khoi luong'!F52</f>
        <v>0</v>
      </c>
      <c r="G57" s="32" t="n">
        <f aca="false">E57+F57</f>
        <v>0</v>
      </c>
      <c r="H57" s="35" t="n">
        <v>71359</v>
      </c>
      <c r="I57" s="14" t="n">
        <f aca="false">D57*H57</f>
        <v>13772287</v>
      </c>
      <c r="J57" s="14" t="n">
        <f aca="false">E57*H57</f>
        <v>0</v>
      </c>
      <c r="K57" s="14" t="n">
        <f aca="false">F57*H57</f>
        <v>0</v>
      </c>
      <c r="L57" s="14" t="n">
        <f aca="false">G57*H57</f>
        <v>0</v>
      </c>
      <c r="M57" s="27"/>
    </row>
    <row r="58" customFormat="false" ht="15" hidden="false" customHeight="false" outlineLevel="0" collapsed="false">
      <c r="A58" s="12" t="s">
        <v>57</v>
      </c>
      <c r="B58" s="28" t="s">
        <v>178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customFormat="false" ht="15" hidden="false" customHeight="false" outlineLevel="0" collapsed="false">
      <c r="A59" s="29" t="s">
        <v>179</v>
      </c>
      <c r="B59" s="27" t="s">
        <v>180</v>
      </c>
      <c r="C59" s="29" t="s">
        <v>116</v>
      </c>
      <c r="D59" s="34" t="n">
        <f aca="false">'PL.Khoi luong'!D54</f>
        <v>12.57</v>
      </c>
      <c r="E59" s="34" t="n">
        <f aca="false">'PL.Khoi luong'!E54</f>
        <v>0</v>
      </c>
      <c r="F59" s="34" t="n">
        <f aca="false">'PL.Khoi luong'!F54</f>
        <v>0</v>
      </c>
      <c r="G59" s="32" t="n">
        <f aca="false">E59+F59</f>
        <v>0</v>
      </c>
      <c r="H59" s="35" t="n">
        <v>1304196.9769292</v>
      </c>
      <c r="I59" s="14" t="n">
        <f aca="false">D59*H59</f>
        <v>16393756</v>
      </c>
      <c r="J59" s="14" t="n">
        <f aca="false">E59*H59</f>
        <v>0</v>
      </c>
      <c r="K59" s="14" t="n">
        <f aca="false">F59*H59</f>
        <v>0</v>
      </c>
      <c r="L59" s="14" t="n">
        <f aca="false">G59*H59</f>
        <v>0</v>
      </c>
      <c r="M59" s="27"/>
    </row>
    <row r="60" customFormat="false" ht="15" hidden="false" customHeight="false" outlineLevel="0" collapsed="false">
      <c r="A60" s="29" t="s">
        <v>181</v>
      </c>
      <c r="B60" s="27" t="s">
        <v>138</v>
      </c>
      <c r="C60" s="29" t="s">
        <v>116</v>
      </c>
      <c r="D60" s="34" t="n">
        <f aca="false">'PL.Khoi luong'!D55</f>
        <v>18.85</v>
      </c>
      <c r="E60" s="34" t="n">
        <f aca="false">'PL.Khoi luong'!E55</f>
        <v>0</v>
      </c>
      <c r="F60" s="34" t="n">
        <f aca="false">'PL.Khoi luong'!F55</f>
        <v>0</v>
      </c>
      <c r="G60" s="32" t="n">
        <f aca="false">E60+F60</f>
        <v>0</v>
      </c>
      <c r="H60" s="35" t="n">
        <v>1516741.00795756</v>
      </c>
      <c r="I60" s="14" t="n">
        <f aca="false">D60*H60</f>
        <v>28590568</v>
      </c>
      <c r="J60" s="14" t="n">
        <f aca="false">E60*H60</f>
        <v>0</v>
      </c>
      <c r="K60" s="14" t="n">
        <f aca="false">F60*H60</f>
        <v>0</v>
      </c>
      <c r="L60" s="14" t="n">
        <f aca="false">G60*H60</f>
        <v>0</v>
      </c>
      <c r="M60" s="27"/>
    </row>
    <row r="61" customFormat="false" ht="15" hidden="false" customHeight="false" outlineLevel="0" collapsed="false">
      <c r="A61" s="29" t="s">
        <v>182</v>
      </c>
      <c r="B61" s="27" t="s">
        <v>183</v>
      </c>
      <c r="C61" s="29" t="s">
        <v>106</v>
      </c>
      <c r="D61" s="34" t="n">
        <f aca="false">'PL.Khoi luong'!D56</f>
        <v>0.8162</v>
      </c>
      <c r="E61" s="34" t="n">
        <f aca="false">'PL.Khoi luong'!E56</f>
        <v>0</v>
      </c>
      <c r="F61" s="34" t="n">
        <f aca="false">'PL.Khoi luong'!F56</f>
        <v>0</v>
      </c>
      <c r="G61" s="32" t="n">
        <f aca="false">E61+F61</f>
        <v>0</v>
      </c>
      <c r="H61" s="35" t="n">
        <v>11213466.0622396</v>
      </c>
      <c r="I61" s="14" t="n">
        <f aca="false">D61*H61</f>
        <v>9152430.99999996</v>
      </c>
      <c r="J61" s="14" t="n">
        <f aca="false">E61*H61</f>
        <v>0</v>
      </c>
      <c r="K61" s="14" t="n">
        <f aca="false">F61*H61</f>
        <v>0</v>
      </c>
      <c r="L61" s="14" t="n">
        <f aca="false">G61*H61</f>
        <v>0</v>
      </c>
      <c r="M61" s="27"/>
    </row>
    <row r="62" customFormat="false" ht="15" hidden="false" customHeight="false" outlineLevel="0" collapsed="false">
      <c r="A62" s="29" t="s">
        <v>184</v>
      </c>
      <c r="B62" s="27" t="s">
        <v>142</v>
      </c>
      <c r="C62" s="29" t="s">
        <v>116</v>
      </c>
      <c r="D62" s="34" t="n">
        <f aca="false">'PL.Khoi luong'!D57</f>
        <v>60.67</v>
      </c>
      <c r="E62" s="34" t="n">
        <f aca="false">'PL.Khoi luong'!E57</f>
        <v>0</v>
      </c>
      <c r="F62" s="34" t="n">
        <f aca="false">'PL.Khoi luong'!F57</f>
        <v>0</v>
      </c>
      <c r="G62" s="32" t="n">
        <f aca="false">E62+F62</f>
        <v>0</v>
      </c>
      <c r="H62" s="35" t="n">
        <v>1568219.99340696</v>
      </c>
      <c r="I62" s="14" t="n">
        <f aca="false">D62*H62</f>
        <v>95143907.0000003</v>
      </c>
      <c r="J62" s="14" t="n">
        <f aca="false">E62*H62</f>
        <v>0</v>
      </c>
      <c r="K62" s="14" t="n">
        <f aca="false">F62*H62</f>
        <v>0</v>
      </c>
      <c r="L62" s="14" t="n">
        <f aca="false">G62*H62</f>
        <v>0</v>
      </c>
      <c r="M62" s="27"/>
    </row>
    <row r="63" customFormat="false" ht="26.85" hidden="false" customHeight="false" outlineLevel="0" collapsed="false">
      <c r="A63" s="29" t="s">
        <v>185</v>
      </c>
      <c r="B63" s="27" t="s">
        <v>144</v>
      </c>
      <c r="C63" s="29" t="s">
        <v>131</v>
      </c>
      <c r="D63" s="34" t="n">
        <f aca="false">'PL.Khoi luong'!D58</f>
        <v>200.91</v>
      </c>
      <c r="E63" s="34" t="n">
        <f aca="false">'PL.Khoi luong'!E58</f>
        <v>0</v>
      </c>
      <c r="F63" s="34" t="n">
        <f aca="false">'PL.Khoi luong'!F58</f>
        <v>0</v>
      </c>
      <c r="G63" s="32" t="n">
        <f aca="false">E63+F63</f>
        <v>0</v>
      </c>
      <c r="H63" s="35" t="n">
        <v>113552.998855209</v>
      </c>
      <c r="I63" s="14" t="n">
        <f aca="false">D63*H63</f>
        <v>22813933</v>
      </c>
      <c r="J63" s="14" t="n">
        <f aca="false">E63*H63</f>
        <v>0</v>
      </c>
      <c r="K63" s="14" t="n">
        <f aca="false">F63*H63</f>
        <v>0</v>
      </c>
      <c r="L63" s="14" t="n">
        <f aca="false">G63*H63</f>
        <v>0</v>
      </c>
      <c r="M63" s="27"/>
    </row>
    <row r="64" customFormat="false" ht="15" hidden="false" customHeight="false" outlineLevel="0" collapsed="false">
      <c r="A64" s="29" t="s">
        <v>186</v>
      </c>
      <c r="B64" s="27" t="s">
        <v>151</v>
      </c>
      <c r="C64" s="29" t="s">
        <v>106</v>
      </c>
      <c r="D64" s="34" t="n">
        <f aca="false">'PL.Khoi luong'!D59</f>
        <v>1.2455</v>
      </c>
      <c r="E64" s="34" t="n">
        <f aca="false">'PL.Khoi luong'!E59</f>
        <v>0</v>
      </c>
      <c r="F64" s="34" t="n">
        <f aca="false">'PL.Khoi luong'!F59</f>
        <v>0</v>
      </c>
      <c r="G64" s="32" t="n">
        <f aca="false">E64+F64</f>
        <v>0</v>
      </c>
      <c r="H64" s="35" t="n">
        <v>8587205.941389</v>
      </c>
      <c r="I64" s="14" t="n">
        <f aca="false">D64*H64</f>
        <v>10695365</v>
      </c>
      <c r="J64" s="14" t="n">
        <f aca="false">E64*H64</f>
        <v>0</v>
      </c>
      <c r="K64" s="14" t="n">
        <f aca="false">F64*H64</f>
        <v>0</v>
      </c>
      <c r="L64" s="14" t="n">
        <f aca="false">G64*H64</f>
        <v>0</v>
      </c>
      <c r="M64" s="27"/>
    </row>
    <row r="65" customFormat="false" ht="15" hidden="false" customHeight="false" outlineLevel="0" collapsed="false">
      <c r="A65" s="29" t="s">
        <v>187</v>
      </c>
      <c r="B65" s="27" t="s">
        <v>188</v>
      </c>
      <c r="C65" s="29" t="s">
        <v>116</v>
      </c>
      <c r="D65" s="34" t="n">
        <f aca="false">'PL.Khoi luong'!D60</f>
        <v>16.96</v>
      </c>
      <c r="E65" s="34" t="n">
        <f aca="false">'PL.Khoi luong'!E60</f>
        <v>0</v>
      </c>
      <c r="F65" s="34" t="n">
        <f aca="false">'PL.Khoi luong'!F60</f>
        <v>0</v>
      </c>
      <c r="G65" s="32" t="n">
        <f aca="false">E65+F65</f>
        <v>0</v>
      </c>
      <c r="H65" s="35" t="n">
        <v>1752158.01886792</v>
      </c>
      <c r="I65" s="14" t="n">
        <f aca="false">D65*H65</f>
        <v>29716599.9999999</v>
      </c>
      <c r="J65" s="14" t="n">
        <f aca="false">E65*H65</f>
        <v>0</v>
      </c>
      <c r="K65" s="14" t="n">
        <f aca="false">F65*H65</f>
        <v>0</v>
      </c>
      <c r="L65" s="14" t="n">
        <f aca="false">G65*H65</f>
        <v>0</v>
      </c>
      <c r="M65" s="27"/>
    </row>
    <row r="66" customFormat="false" ht="15" hidden="false" customHeight="false" outlineLevel="0" collapsed="false">
      <c r="A66" s="29" t="s">
        <v>189</v>
      </c>
      <c r="B66" s="27" t="s">
        <v>155</v>
      </c>
      <c r="C66" s="29" t="s">
        <v>149</v>
      </c>
      <c r="D66" s="34" t="n">
        <f aca="false">'PL.Khoi luong'!D61</f>
        <v>3.3061</v>
      </c>
      <c r="E66" s="34" t="n">
        <f aca="false">'PL.Khoi luong'!E61</f>
        <v>0</v>
      </c>
      <c r="F66" s="34" t="n">
        <f aca="false">'PL.Khoi luong'!F61</f>
        <v>0</v>
      </c>
      <c r="G66" s="32" t="n">
        <f aca="false">E66+F66</f>
        <v>0</v>
      </c>
      <c r="H66" s="35" t="n">
        <v>25003381.9303711</v>
      </c>
      <c r="I66" s="14" t="n">
        <f aca="false">D66*H66</f>
        <v>82663680.9999999</v>
      </c>
      <c r="J66" s="14" t="n">
        <f aca="false">E66*H66</f>
        <v>0</v>
      </c>
      <c r="K66" s="14" t="n">
        <f aca="false">F66*H66</f>
        <v>0</v>
      </c>
      <c r="L66" s="14" t="n">
        <f aca="false">G66*H66</f>
        <v>0</v>
      </c>
      <c r="M66" s="27"/>
    </row>
    <row r="67" customFormat="false" ht="26.85" hidden="false" customHeight="false" outlineLevel="0" collapsed="false">
      <c r="A67" s="29" t="s">
        <v>190</v>
      </c>
      <c r="B67" s="27" t="s">
        <v>159</v>
      </c>
      <c r="C67" s="29" t="s">
        <v>160</v>
      </c>
      <c r="D67" s="34" t="n">
        <f aca="false">'PL.Khoi luong'!D62</f>
        <v>53</v>
      </c>
      <c r="E67" s="34" t="n">
        <f aca="false">'PL.Khoi luong'!E62</f>
        <v>0</v>
      </c>
      <c r="F67" s="34" t="n">
        <f aca="false">'PL.Khoi luong'!F62</f>
        <v>0</v>
      </c>
      <c r="G67" s="32" t="n">
        <f aca="false">E67+F67</f>
        <v>0</v>
      </c>
      <c r="H67" s="35" t="n">
        <v>71359</v>
      </c>
      <c r="I67" s="14" t="n">
        <f aca="false">D67*H67</f>
        <v>3782027</v>
      </c>
      <c r="J67" s="14" t="n">
        <f aca="false">E67*H67</f>
        <v>0</v>
      </c>
      <c r="K67" s="14" t="n">
        <f aca="false">F67*H67</f>
        <v>0</v>
      </c>
      <c r="L67" s="14" t="n">
        <f aca="false">G67*H67</f>
        <v>0</v>
      </c>
      <c r="M67" s="27"/>
    </row>
    <row r="68" customFormat="false" ht="15" hidden="false" customHeight="false" outlineLevel="0" collapsed="false">
      <c r="A68" s="29" t="s">
        <v>191</v>
      </c>
      <c r="B68" s="27" t="s">
        <v>192</v>
      </c>
      <c r="C68" s="29" t="s">
        <v>193</v>
      </c>
      <c r="D68" s="34" t="n">
        <f aca="false">'PL.Khoi luong'!D63</f>
        <v>53</v>
      </c>
      <c r="E68" s="34" t="n">
        <f aca="false">'PL.Khoi luong'!E63</f>
        <v>0</v>
      </c>
      <c r="F68" s="34" t="n">
        <f aca="false">'PL.Khoi luong'!F63</f>
        <v>0</v>
      </c>
      <c r="G68" s="32" t="n">
        <f aca="false">E68+F68</f>
        <v>0</v>
      </c>
      <c r="H68" s="35" t="n">
        <v>2154837</v>
      </c>
      <c r="I68" s="14" t="n">
        <f aca="false">D68*H68</f>
        <v>114206361</v>
      </c>
      <c r="J68" s="14" t="n">
        <f aca="false">E68*H68</f>
        <v>0</v>
      </c>
      <c r="K68" s="14" t="n">
        <f aca="false">F68*H68</f>
        <v>0</v>
      </c>
      <c r="L68" s="14" t="n">
        <f aca="false">G68*H68</f>
        <v>0</v>
      </c>
      <c r="M68" s="27"/>
    </row>
    <row r="69" customFormat="false" ht="15" hidden="false" customHeight="false" outlineLevel="0" collapsed="false">
      <c r="A69" s="29" t="s">
        <v>194</v>
      </c>
      <c r="B69" s="27" t="s">
        <v>195</v>
      </c>
      <c r="C69" s="29" t="s">
        <v>193</v>
      </c>
      <c r="D69" s="34" t="n">
        <f aca="false">'PL.Khoi luong'!D64</f>
        <v>53</v>
      </c>
      <c r="E69" s="34" t="n">
        <f aca="false">'PL.Khoi luong'!E64</f>
        <v>0</v>
      </c>
      <c r="F69" s="34" t="n">
        <f aca="false">'PL.Khoi luong'!F64</f>
        <v>0</v>
      </c>
      <c r="G69" s="32" t="n">
        <f aca="false">E69+F69</f>
        <v>0</v>
      </c>
      <c r="H69" s="35" t="n">
        <v>42993</v>
      </c>
      <c r="I69" s="14" t="n">
        <f aca="false">D69*H69</f>
        <v>2278629</v>
      </c>
      <c r="J69" s="14" t="n">
        <f aca="false">E69*H69</f>
        <v>0</v>
      </c>
      <c r="K69" s="14" t="n">
        <f aca="false">F69*H69</f>
        <v>0</v>
      </c>
      <c r="L69" s="14" t="n">
        <f aca="false">G69*H69</f>
        <v>0</v>
      </c>
      <c r="M69" s="27"/>
    </row>
    <row r="70" customFormat="false" ht="15" hidden="false" customHeight="false" outlineLevel="0" collapsed="false">
      <c r="A70" s="12" t="s">
        <v>196</v>
      </c>
      <c r="B70" s="28" t="s">
        <v>197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customFormat="false" ht="15" hidden="false" customHeight="false" outlineLevel="0" collapsed="false">
      <c r="A71" s="29" t="s">
        <v>198</v>
      </c>
      <c r="B71" s="27" t="s">
        <v>180</v>
      </c>
      <c r="C71" s="29" t="s">
        <v>116</v>
      </c>
      <c r="D71" s="34" t="n">
        <f aca="false">'PL.Khoi luong'!D66</f>
        <v>4.29</v>
      </c>
      <c r="E71" s="34" t="n">
        <f aca="false">'PL.Khoi luong'!E66</f>
        <v>0</v>
      </c>
      <c r="F71" s="34" t="n">
        <f aca="false">'PL.Khoi luong'!F66</f>
        <v>0</v>
      </c>
      <c r="G71" s="32" t="n">
        <f aca="false">E71+F71</f>
        <v>0</v>
      </c>
      <c r="H71" s="35" t="n">
        <v>1304196.96969697</v>
      </c>
      <c r="I71" s="14" t="n">
        <f aca="false">D71*H71</f>
        <v>5595005</v>
      </c>
      <c r="J71" s="14" t="n">
        <f aca="false">E71*H71</f>
        <v>0</v>
      </c>
      <c r="K71" s="14" t="n">
        <f aca="false">F71*H71</f>
        <v>0</v>
      </c>
      <c r="L71" s="14" t="n">
        <f aca="false">G71*H71</f>
        <v>0</v>
      </c>
      <c r="M71" s="27"/>
    </row>
    <row r="72" customFormat="false" ht="15" hidden="false" customHeight="false" outlineLevel="0" collapsed="false">
      <c r="A72" s="29" t="s">
        <v>199</v>
      </c>
      <c r="B72" s="27" t="s">
        <v>138</v>
      </c>
      <c r="C72" s="29" t="s">
        <v>116</v>
      </c>
      <c r="D72" s="34" t="n">
        <f aca="false">'PL.Khoi luong'!D67</f>
        <v>3.25</v>
      </c>
      <c r="E72" s="34" t="n">
        <f aca="false">'PL.Khoi luong'!E67</f>
        <v>0</v>
      </c>
      <c r="F72" s="34" t="n">
        <f aca="false">'PL.Khoi luong'!F67</f>
        <v>0</v>
      </c>
      <c r="G72" s="32" t="n">
        <f aca="false">E72+F72</f>
        <v>0</v>
      </c>
      <c r="H72" s="35" t="n">
        <v>1516740.92307692</v>
      </c>
      <c r="I72" s="14" t="n">
        <f aca="false">D72*H72</f>
        <v>4929407.99999999</v>
      </c>
      <c r="J72" s="14" t="n">
        <f aca="false">E72*H72</f>
        <v>0</v>
      </c>
      <c r="K72" s="14" t="n">
        <f aca="false">F72*H72</f>
        <v>0</v>
      </c>
      <c r="L72" s="14" t="n">
        <f aca="false">G72*H72</f>
        <v>0</v>
      </c>
      <c r="M72" s="27"/>
    </row>
    <row r="73" customFormat="false" ht="15" hidden="false" customHeight="false" outlineLevel="0" collapsed="false">
      <c r="A73" s="29" t="s">
        <v>200</v>
      </c>
      <c r="B73" s="27" t="s">
        <v>183</v>
      </c>
      <c r="C73" s="29" t="s">
        <v>106</v>
      </c>
      <c r="D73" s="34" t="n">
        <f aca="false">'PL.Khoi luong'!D68</f>
        <v>0.7327</v>
      </c>
      <c r="E73" s="34" t="n">
        <f aca="false">'PL.Khoi luong'!E68</f>
        <v>0</v>
      </c>
      <c r="F73" s="34" t="n">
        <f aca="false">'PL.Khoi luong'!F68</f>
        <v>0</v>
      </c>
      <c r="G73" s="32" t="n">
        <f aca="false">E73+F73</f>
        <v>0</v>
      </c>
      <c r="H73" s="35" t="n">
        <v>11213466.6302716</v>
      </c>
      <c r="I73" s="14" t="n">
        <f aca="false">D73*H73</f>
        <v>8216107</v>
      </c>
      <c r="J73" s="14" t="n">
        <f aca="false">E73*H73</f>
        <v>0</v>
      </c>
      <c r="K73" s="14" t="n">
        <f aca="false">F73*H73</f>
        <v>0</v>
      </c>
      <c r="L73" s="14" t="n">
        <f aca="false">G73*H73</f>
        <v>0</v>
      </c>
      <c r="M73" s="27"/>
    </row>
    <row r="74" customFormat="false" ht="15" hidden="false" customHeight="false" outlineLevel="0" collapsed="false">
      <c r="A74" s="29" t="s">
        <v>201</v>
      </c>
      <c r="B74" s="27" t="s">
        <v>202</v>
      </c>
      <c r="C74" s="29" t="s">
        <v>116</v>
      </c>
      <c r="D74" s="34" t="n">
        <f aca="false">'PL.Khoi luong'!D69</f>
        <v>4.35</v>
      </c>
      <c r="E74" s="34" t="n">
        <f aca="false">'PL.Khoi luong'!E69</f>
        <v>0</v>
      </c>
      <c r="F74" s="34" t="n">
        <f aca="false">'PL.Khoi luong'!F69</f>
        <v>0</v>
      </c>
      <c r="G74" s="32" t="n">
        <f aca="false">E74+F74</f>
        <v>0</v>
      </c>
      <c r="H74" s="35" t="n">
        <v>1572273.10344828</v>
      </c>
      <c r="I74" s="14" t="n">
        <f aca="false">D74*H74</f>
        <v>6839388.00000002</v>
      </c>
      <c r="J74" s="14" t="n">
        <f aca="false">E74*H74</f>
        <v>0</v>
      </c>
      <c r="K74" s="14" t="n">
        <f aca="false">F74*H74</f>
        <v>0</v>
      </c>
      <c r="L74" s="14" t="n">
        <f aca="false">G74*H74</f>
        <v>0</v>
      </c>
      <c r="M74" s="27"/>
    </row>
    <row r="75" customFormat="false" ht="15" hidden="false" customHeight="false" outlineLevel="0" collapsed="false">
      <c r="A75" s="29" t="s">
        <v>203</v>
      </c>
      <c r="B75" s="27" t="s">
        <v>170</v>
      </c>
      <c r="C75" s="29" t="s">
        <v>149</v>
      </c>
      <c r="D75" s="34" t="n">
        <f aca="false">'PL.Khoi luong'!D70</f>
        <v>0.4396</v>
      </c>
      <c r="E75" s="34" t="n">
        <f aca="false">'PL.Khoi luong'!E70</f>
        <v>0</v>
      </c>
      <c r="F75" s="34" t="n">
        <f aca="false">'PL.Khoi luong'!F70</f>
        <v>0</v>
      </c>
      <c r="G75" s="32" t="n">
        <f aca="false">E75+F75</f>
        <v>0</v>
      </c>
      <c r="H75" s="35" t="n">
        <v>22904378.9808917</v>
      </c>
      <c r="I75" s="14" t="n">
        <f aca="false">D75*H75</f>
        <v>10068765</v>
      </c>
      <c r="J75" s="14" t="n">
        <f aca="false">E75*H75</f>
        <v>0</v>
      </c>
      <c r="K75" s="14" t="n">
        <f aca="false">F75*H75</f>
        <v>0</v>
      </c>
      <c r="L75" s="14" t="n">
        <f aca="false">G75*H75</f>
        <v>0</v>
      </c>
      <c r="M75" s="27"/>
    </row>
    <row r="76" customFormat="false" ht="15" hidden="false" customHeight="false" outlineLevel="0" collapsed="false">
      <c r="A76" s="29" t="s">
        <v>204</v>
      </c>
      <c r="B76" s="27" t="s">
        <v>205</v>
      </c>
      <c r="C76" s="29" t="s">
        <v>193</v>
      </c>
      <c r="D76" s="34" t="n">
        <f aca="false">'PL.Khoi luong'!D71</f>
        <v>34</v>
      </c>
      <c r="E76" s="34" t="n">
        <f aca="false">'PL.Khoi luong'!E71</f>
        <v>0</v>
      </c>
      <c r="F76" s="34" t="n">
        <f aca="false">'PL.Khoi luong'!F71</f>
        <v>0</v>
      </c>
      <c r="G76" s="32" t="n">
        <f aca="false">E76+F76</f>
        <v>0</v>
      </c>
      <c r="H76" s="35" t="n">
        <v>1644483</v>
      </c>
      <c r="I76" s="14" t="n">
        <f aca="false">D76*H76</f>
        <v>55912422</v>
      </c>
      <c r="J76" s="14" t="n">
        <f aca="false">E76*H76</f>
        <v>0</v>
      </c>
      <c r="K76" s="14" t="n">
        <f aca="false">F76*H76</f>
        <v>0</v>
      </c>
      <c r="L76" s="14" t="n">
        <f aca="false">G76*H76</f>
        <v>0</v>
      </c>
      <c r="M76" s="27"/>
    </row>
    <row r="77" customFormat="false" ht="15" hidden="false" customHeight="false" outlineLevel="0" collapsed="false">
      <c r="A77" s="29" t="s">
        <v>206</v>
      </c>
      <c r="B77" s="27" t="s">
        <v>207</v>
      </c>
      <c r="C77" s="29" t="s">
        <v>193</v>
      </c>
      <c r="D77" s="34" t="n">
        <f aca="false">'PL.Khoi luong'!D72</f>
        <v>34</v>
      </c>
      <c r="E77" s="34" t="n">
        <f aca="false">'PL.Khoi luong'!E72</f>
        <v>0</v>
      </c>
      <c r="F77" s="34" t="n">
        <f aca="false">'PL.Khoi luong'!F72</f>
        <v>0</v>
      </c>
      <c r="G77" s="32" t="n">
        <f aca="false">E77+F77</f>
        <v>0</v>
      </c>
      <c r="H77" s="35" t="n">
        <v>42993</v>
      </c>
      <c r="I77" s="14" t="n">
        <f aca="false">D77*H77</f>
        <v>1461762</v>
      </c>
      <c r="J77" s="14" t="n">
        <f aca="false">E77*H77</f>
        <v>0</v>
      </c>
      <c r="K77" s="14" t="n">
        <f aca="false">F77*H77</f>
        <v>0</v>
      </c>
      <c r="L77" s="14" t="n">
        <f aca="false">G77*H77</f>
        <v>0</v>
      </c>
      <c r="M77" s="27"/>
    </row>
    <row r="78" customFormat="false" ht="15" hidden="false" customHeight="false" outlineLevel="0" collapsed="false">
      <c r="A78" s="12" t="s">
        <v>208</v>
      </c>
      <c r="B78" s="28" t="s">
        <v>209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customFormat="false" ht="15" hidden="false" customHeight="false" outlineLevel="0" collapsed="false">
      <c r="A79" s="29" t="s">
        <v>210</v>
      </c>
      <c r="B79" s="27" t="s">
        <v>180</v>
      </c>
      <c r="C79" s="29" t="s">
        <v>116</v>
      </c>
      <c r="D79" s="34" t="n">
        <f aca="false">'PL.Khoi luong'!D74</f>
        <v>0</v>
      </c>
      <c r="E79" s="34" t="n">
        <f aca="false">'PL.Khoi luong'!E74</f>
        <v>0</v>
      </c>
      <c r="F79" s="34" t="n">
        <f aca="false">'PL.Khoi luong'!F74</f>
        <v>0</v>
      </c>
      <c r="G79" s="32" t="n">
        <f aca="false">E79+F79</f>
        <v>0</v>
      </c>
      <c r="H79" s="35" t="n">
        <v>0</v>
      </c>
      <c r="I79" s="14" t="n">
        <f aca="false">D79*H79</f>
        <v>0</v>
      </c>
      <c r="J79" s="14" t="n">
        <f aca="false">E79*H79</f>
        <v>0</v>
      </c>
      <c r="K79" s="14" t="n">
        <f aca="false">F79*H79</f>
        <v>0</v>
      </c>
      <c r="L79" s="14" t="n">
        <f aca="false">G79*H79</f>
        <v>0</v>
      </c>
      <c r="M79" s="27"/>
    </row>
    <row r="80" customFormat="false" ht="15" hidden="false" customHeight="false" outlineLevel="0" collapsed="false">
      <c r="A80" s="29" t="s">
        <v>211</v>
      </c>
      <c r="B80" s="27" t="s">
        <v>138</v>
      </c>
      <c r="C80" s="29" t="s">
        <v>116</v>
      </c>
      <c r="D80" s="34" t="n">
        <f aca="false">'PL.Khoi luong'!D75</f>
        <v>1.65</v>
      </c>
      <c r="E80" s="34" t="n">
        <f aca="false">'PL.Khoi luong'!E75</f>
        <v>0</v>
      </c>
      <c r="F80" s="34" t="n">
        <f aca="false">'PL.Khoi luong'!F75</f>
        <v>0</v>
      </c>
      <c r="G80" s="32" t="n">
        <f aca="false">E80+F80</f>
        <v>0</v>
      </c>
      <c r="H80" s="35" t="n">
        <v>1304196.96969697</v>
      </c>
      <c r="I80" s="14" t="n">
        <f aca="false">D80*H80</f>
        <v>2151925</v>
      </c>
      <c r="J80" s="14" t="n">
        <f aca="false">E80*H80</f>
        <v>0</v>
      </c>
      <c r="K80" s="14" t="n">
        <f aca="false">F80*H80</f>
        <v>0</v>
      </c>
      <c r="L80" s="14" t="n">
        <f aca="false">G80*H80</f>
        <v>0</v>
      </c>
      <c r="M80" s="27"/>
    </row>
    <row r="81" customFormat="false" ht="15" hidden="false" customHeight="false" outlineLevel="0" collapsed="false">
      <c r="A81" s="29" t="s">
        <v>212</v>
      </c>
      <c r="B81" s="27" t="s">
        <v>183</v>
      </c>
      <c r="C81" s="29" t="s">
        <v>106</v>
      </c>
      <c r="D81" s="34" t="n">
        <f aca="false">'PL.Khoi luong'!D76</f>
        <v>2</v>
      </c>
      <c r="E81" s="34" t="n">
        <f aca="false">'PL.Khoi luong'!E76</f>
        <v>0</v>
      </c>
      <c r="F81" s="34" t="n">
        <f aca="false">'PL.Khoi luong'!F76</f>
        <v>0</v>
      </c>
      <c r="G81" s="32" t="n">
        <f aca="false">E81+F81</f>
        <v>0</v>
      </c>
      <c r="H81" s="35" t="n">
        <v>1516741</v>
      </c>
      <c r="I81" s="14" t="n">
        <f aca="false">D81*H81</f>
        <v>3033482</v>
      </c>
      <c r="J81" s="14" t="n">
        <f aca="false">E81*H81</f>
        <v>0</v>
      </c>
      <c r="K81" s="14" t="n">
        <f aca="false">F81*H81</f>
        <v>0</v>
      </c>
      <c r="L81" s="14" t="n">
        <f aca="false">G81*H81</f>
        <v>0</v>
      </c>
      <c r="M81" s="27"/>
    </row>
    <row r="82" customFormat="false" ht="15" hidden="false" customHeight="false" outlineLevel="0" collapsed="false">
      <c r="A82" s="29" t="s">
        <v>213</v>
      </c>
      <c r="B82" s="27" t="s">
        <v>202</v>
      </c>
      <c r="C82" s="29" t="s">
        <v>116</v>
      </c>
      <c r="D82" s="34" t="n">
        <f aca="false">'PL.Khoi luong'!D77</f>
        <v>1.1925</v>
      </c>
      <c r="E82" s="34" t="n">
        <f aca="false">'PL.Khoi luong'!E77</f>
        <v>0</v>
      </c>
      <c r="F82" s="34" t="n">
        <f aca="false">'PL.Khoi luong'!F77</f>
        <v>0</v>
      </c>
      <c r="G82" s="32" t="n">
        <f aca="false">E82+F82</f>
        <v>0</v>
      </c>
      <c r="H82" s="35" t="n">
        <v>11213465.8280922</v>
      </c>
      <c r="I82" s="14" t="n">
        <f aca="false">D82*H82</f>
        <v>13372057.9999999</v>
      </c>
      <c r="J82" s="14" t="n">
        <f aca="false">E82*H82</f>
        <v>0</v>
      </c>
      <c r="K82" s="14" t="n">
        <f aca="false">F82*H82</f>
        <v>0</v>
      </c>
      <c r="L82" s="14" t="n">
        <f aca="false">G82*H82</f>
        <v>0</v>
      </c>
      <c r="M82" s="27"/>
    </row>
    <row r="83" customFormat="false" ht="15" hidden="false" customHeight="false" outlineLevel="0" collapsed="false">
      <c r="A83" s="29" t="s">
        <v>214</v>
      </c>
      <c r="B83" s="27" t="s">
        <v>170</v>
      </c>
      <c r="C83" s="29" t="s">
        <v>149</v>
      </c>
      <c r="D83" s="34" t="n">
        <f aca="false">'PL.Khoi luong'!D78</f>
        <v>7.35</v>
      </c>
      <c r="E83" s="34" t="n">
        <f aca="false">'PL.Khoi luong'!E78</f>
        <v>0</v>
      </c>
      <c r="F83" s="34" t="n">
        <f aca="false">'PL.Khoi luong'!F78</f>
        <v>0</v>
      </c>
      <c r="G83" s="32" t="n">
        <f aca="false">E83+F83</f>
        <v>0</v>
      </c>
      <c r="H83" s="35" t="n">
        <v>1572273.06122449</v>
      </c>
      <c r="I83" s="14" t="n">
        <f aca="false">D83*H83</f>
        <v>11556207</v>
      </c>
      <c r="J83" s="14" t="n">
        <f aca="false">E83*H83</f>
        <v>0</v>
      </c>
      <c r="K83" s="14" t="n">
        <f aca="false">F83*H83</f>
        <v>0</v>
      </c>
      <c r="L83" s="14" t="n">
        <f aca="false">G83*H83</f>
        <v>0</v>
      </c>
      <c r="M83" s="27"/>
    </row>
    <row r="84" customFormat="false" ht="15" hidden="false" customHeight="false" outlineLevel="0" collapsed="false">
      <c r="A84" s="29" t="s">
        <v>215</v>
      </c>
      <c r="B84" s="27" t="s">
        <v>170</v>
      </c>
      <c r="C84" s="29" t="s">
        <v>149</v>
      </c>
      <c r="D84" s="34" t="n">
        <f aca="false">'PL.Khoi luong'!D79</f>
        <v>0.2048</v>
      </c>
      <c r="E84" s="34" t="n">
        <f aca="false">'PL.Khoi luong'!E79</f>
        <v>0</v>
      </c>
      <c r="F84" s="34" t="n">
        <f aca="false">'PL.Khoi luong'!F79</f>
        <v>0</v>
      </c>
      <c r="G84" s="32" t="n">
        <f aca="false">E84+F84</f>
        <v>0</v>
      </c>
      <c r="H84" s="35" t="n">
        <v>22904379.8828125</v>
      </c>
      <c r="I84" s="14" t="n">
        <f aca="false">D84*H84</f>
        <v>4690817</v>
      </c>
      <c r="J84" s="14" t="n">
        <f aca="false">E84*H84</f>
        <v>0</v>
      </c>
      <c r="K84" s="14" t="n">
        <f aca="false">F84*H84</f>
        <v>0</v>
      </c>
      <c r="L84" s="14" t="n">
        <f aca="false">G84*H84</f>
        <v>0</v>
      </c>
      <c r="M84" s="27"/>
    </row>
    <row r="85" customFormat="false" ht="15" hidden="false" customHeight="false" outlineLevel="0" collapsed="false">
      <c r="A85" s="29" t="s">
        <v>216</v>
      </c>
      <c r="B85" s="27" t="s">
        <v>205</v>
      </c>
      <c r="C85" s="29" t="s">
        <v>193</v>
      </c>
      <c r="D85" s="34" t="n">
        <f aca="false">'PL.Khoi luong'!D80</f>
        <v>0.4076</v>
      </c>
      <c r="E85" s="34" t="n">
        <f aca="false">'PL.Khoi luong'!E80</f>
        <v>0</v>
      </c>
      <c r="F85" s="34" t="n">
        <f aca="false">'PL.Khoi luong'!F80</f>
        <v>0</v>
      </c>
      <c r="G85" s="32" t="n">
        <f aca="false">E85+F85</f>
        <v>0</v>
      </c>
      <c r="H85" s="35" t="n">
        <v>22904379.2934249</v>
      </c>
      <c r="I85" s="14" t="n">
        <f aca="false">D85*H85</f>
        <v>9335824.99999999</v>
      </c>
      <c r="J85" s="14" t="n">
        <f aca="false">E85*H85</f>
        <v>0</v>
      </c>
      <c r="K85" s="14" t="n">
        <f aca="false">F85*H85</f>
        <v>0</v>
      </c>
      <c r="L85" s="14" t="n">
        <f aca="false">G85*H85</f>
        <v>0</v>
      </c>
      <c r="M85" s="27"/>
    </row>
    <row r="86" customFormat="false" ht="15" hidden="false" customHeight="false" outlineLevel="0" collapsed="false">
      <c r="A86" s="29" t="s">
        <v>217</v>
      </c>
      <c r="B86" s="27" t="s">
        <v>207</v>
      </c>
      <c r="C86" s="29" t="s">
        <v>193</v>
      </c>
      <c r="D86" s="34" t="n">
        <f aca="false">'PL.Khoi luong'!D81</f>
        <v>15</v>
      </c>
      <c r="E86" s="34" t="n">
        <f aca="false">'PL.Khoi luong'!E81</f>
        <v>0</v>
      </c>
      <c r="F86" s="34" t="n">
        <f aca="false">'PL.Khoi luong'!F81</f>
        <v>0</v>
      </c>
      <c r="G86" s="32" t="n">
        <f aca="false">E86+F86</f>
        <v>0</v>
      </c>
      <c r="H86" s="35" t="n">
        <v>1644483</v>
      </c>
      <c r="I86" s="14" t="n">
        <f aca="false">D86*H86</f>
        <v>24667245</v>
      </c>
      <c r="J86" s="14" t="n">
        <f aca="false">E86*H86</f>
        <v>0</v>
      </c>
      <c r="K86" s="14" t="n">
        <f aca="false">F86*H86</f>
        <v>0</v>
      </c>
      <c r="L86" s="14" t="n">
        <f aca="false">G86*H86</f>
        <v>0</v>
      </c>
      <c r="M86" s="27"/>
    </row>
    <row r="87" customFormat="false" ht="15" hidden="false" customHeight="false" outlineLevel="0" collapsed="false">
      <c r="A87" s="12" t="s">
        <v>218</v>
      </c>
      <c r="B87" s="13" t="s">
        <v>219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customFormat="false" ht="15" hidden="false" customHeight="false" outlineLevel="0" collapsed="false">
      <c r="A88" s="12" t="s">
        <v>220</v>
      </c>
      <c r="B88" s="28" t="s">
        <v>221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customFormat="false" ht="15" hidden="false" customHeight="false" outlineLevel="0" collapsed="false">
      <c r="A89" s="29" t="s">
        <v>222</v>
      </c>
      <c r="B89" s="27" t="s">
        <v>223</v>
      </c>
      <c r="C89" s="29" t="s">
        <v>224</v>
      </c>
      <c r="D89" s="34" t="n">
        <f aca="false">'PL.Khoi luong'!D84</f>
        <v>632.8</v>
      </c>
      <c r="E89" s="34" t="n">
        <f aca="false">'PL.Khoi luong'!E84</f>
        <v>0</v>
      </c>
      <c r="F89" s="34" t="n">
        <f aca="false">'PL.Khoi luong'!F84</f>
        <v>0</v>
      </c>
      <c r="G89" s="32" t="n">
        <f aca="false">E89+F89</f>
        <v>0</v>
      </c>
      <c r="H89" s="35" t="n">
        <v>402615</v>
      </c>
      <c r="I89" s="14" t="n">
        <f aca="false">D89*H89</f>
        <v>254774772</v>
      </c>
      <c r="J89" s="14" t="n">
        <f aca="false">E89*H89</f>
        <v>0</v>
      </c>
      <c r="K89" s="14" t="n">
        <f aca="false">F89*H89</f>
        <v>0</v>
      </c>
      <c r="L89" s="14" t="n">
        <f aca="false">G89*H89</f>
        <v>0</v>
      </c>
      <c r="M89" s="27"/>
    </row>
    <row r="90" customFormat="false" ht="15" hidden="false" customHeight="false" outlineLevel="0" collapsed="false">
      <c r="A90" s="29" t="s">
        <v>225</v>
      </c>
      <c r="B90" s="27" t="s">
        <v>226</v>
      </c>
      <c r="C90" s="29" t="s">
        <v>224</v>
      </c>
      <c r="D90" s="34" t="n">
        <f aca="false">'PL.Khoi luong'!D85</f>
        <v>76.2</v>
      </c>
      <c r="E90" s="34" t="n">
        <f aca="false">'PL.Khoi luong'!E85</f>
        <v>0</v>
      </c>
      <c r="F90" s="34" t="n">
        <f aca="false">'PL.Khoi luong'!F85</f>
        <v>0</v>
      </c>
      <c r="G90" s="32" t="n">
        <f aca="false">E90+F90</f>
        <v>0</v>
      </c>
      <c r="H90" s="35" t="n">
        <v>412820.997375328</v>
      </c>
      <c r="I90" s="14" t="n">
        <f aca="false">D90*H90</f>
        <v>31456960</v>
      </c>
      <c r="J90" s="14" t="n">
        <f aca="false">E90*H90</f>
        <v>0</v>
      </c>
      <c r="K90" s="14" t="n">
        <f aca="false">F90*H90</f>
        <v>0</v>
      </c>
      <c r="L90" s="14" t="n">
        <f aca="false">G90*H90</f>
        <v>0</v>
      </c>
      <c r="M90" s="27"/>
    </row>
    <row r="91" customFormat="false" ht="26.85" hidden="false" customHeight="false" outlineLevel="0" collapsed="false">
      <c r="A91" s="29" t="s">
        <v>227</v>
      </c>
      <c r="B91" s="27" t="s">
        <v>228</v>
      </c>
      <c r="C91" s="29" t="s">
        <v>160</v>
      </c>
      <c r="D91" s="34" t="n">
        <f aca="false">'PL.Khoi luong'!D86</f>
        <v>284</v>
      </c>
      <c r="E91" s="34" t="n">
        <f aca="false">'PL.Khoi luong'!E86</f>
        <v>0</v>
      </c>
      <c r="F91" s="34" t="n">
        <f aca="false">'PL.Khoi luong'!F86</f>
        <v>0</v>
      </c>
      <c r="G91" s="32" t="n">
        <f aca="false">E91+F91</f>
        <v>0</v>
      </c>
      <c r="H91" s="35" t="n">
        <v>71359</v>
      </c>
      <c r="I91" s="14" t="n">
        <f aca="false">D91*H91</f>
        <v>20265956</v>
      </c>
      <c r="J91" s="14" t="n">
        <f aca="false">E91*H91</f>
        <v>0</v>
      </c>
      <c r="K91" s="14" t="n">
        <f aca="false">F91*H91</f>
        <v>0</v>
      </c>
      <c r="L91" s="14" t="n">
        <f aca="false">G91*H91</f>
        <v>0</v>
      </c>
      <c r="M91" s="27"/>
    </row>
    <row r="92" customFormat="false" ht="15" hidden="false" customHeight="false" outlineLevel="0" collapsed="false">
      <c r="A92" s="29" t="s">
        <v>229</v>
      </c>
      <c r="B92" s="27" t="s">
        <v>230</v>
      </c>
      <c r="C92" s="29" t="s">
        <v>106</v>
      </c>
      <c r="D92" s="34" t="n">
        <f aca="false">'PL.Khoi luong'!D87</f>
        <v>2.0419</v>
      </c>
      <c r="E92" s="34" t="n">
        <f aca="false">'PL.Khoi luong'!E87</f>
        <v>0</v>
      </c>
      <c r="F92" s="34" t="n">
        <f aca="false">'PL.Khoi luong'!F87</f>
        <v>0</v>
      </c>
      <c r="G92" s="32" t="n">
        <f aca="false">E92+F92</f>
        <v>0</v>
      </c>
      <c r="H92" s="35" t="n">
        <v>11534439.9823694</v>
      </c>
      <c r="I92" s="14" t="n">
        <f aca="false">D92*H92</f>
        <v>23552173.0000001</v>
      </c>
      <c r="J92" s="14" t="n">
        <f aca="false">E92*H92</f>
        <v>0</v>
      </c>
      <c r="K92" s="14" t="n">
        <f aca="false">F92*H92</f>
        <v>0</v>
      </c>
      <c r="L92" s="14" t="n">
        <f aca="false">G92*H92</f>
        <v>0</v>
      </c>
      <c r="M92" s="27"/>
    </row>
    <row r="93" customFormat="false" ht="15" hidden="false" customHeight="false" outlineLevel="0" collapsed="false">
      <c r="A93" s="29" t="s">
        <v>231</v>
      </c>
      <c r="B93" s="27" t="s">
        <v>232</v>
      </c>
      <c r="C93" s="29" t="s">
        <v>149</v>
      </c>
      <c r="D93" s="34" t="n">
        <f aca="false">'PL.Khoi luong'!D88</f>
        <v>1.46</v>
      </c>
      <c r="E93" s="34" t="n">
        <f aca="false">'PL.Khoi luong'!E88</f>
        <v>0</v>
      </c>
      <c r="F93" s="34" t="n">
        <f aca="false">'PL.Khoi luong'!F88</f>
        <v>0</v>
      </c>
      <c r="G93" s="32" t="n">
        <f aca="false">E93+F93</f>
        <v>0</v>
      </c>
      <c r="H93" s="35" t="n">
        <v>26819997.260274</v>
      </c>
      <c r="I93" s="14" t="n">
        <f aca="false">D93*H93</f>
        <v>39157196</v>
      </c>
      <c r="J93" s="14" t="n">
        <f aca="false">E93*H93</f>
        <v>0</v>
      </c>
      <c r="K93" s="14" t="n">
        <f aca="false">F93*H93</f>
        <v>0</v>
      </c>
      <c r="L93" s="14" t="n">
        <f aca="false">G93*H93</f>
        <v>0</v>
      </c>
      <c r="M93" s="27"/>
    </row>
    <row r="94" customFormat="false" ht="15" hidden="false" customHeight="false" outlineLevel="0" collapsed="false">
      <c r="A94" s="29" t="s">
        <v>233</v>
      </c>
      <c r="B94" s="27" t="s">
        <v>234</v>
      </c>
      <c r="C94" s="29" t="s">
        <v>116</v>
      </c>
      <c r="D94" s="34" t="n">
        <f aca="false">'PL.Khoi luong'!D89</f>
        <v>17.02</v>
      </c>
      <c r="E94" s="34" t="n">
        <f aca="false">'PL.Khoi luong'!E89</f>
        <v>0</v>
      </c>
      <c r="F94" s="34" t="n">
        <f aca="false">'PL.Khoi luong'!F89</f>
        <v>0</v>
      </c>
      <c r="G94" s="32" t="n">
        <f aca="false">E94+F94</f>
        <v>0</v>
      </c>
      <c r="H94" s="35" t="n">
        <v>1788537.01527615</v>
      </c>
      <c r="I94" s="14" t="n">
        <f aca="false">D94*H94</f>
        <v>30440900.0000001</v>
      </c>
      <c r="J94" s="14" t="n">
        <f aca="false">E94*H94</f>
        <v>0</v>
      </c>
      <c r="K94" s="14" t="n">
        <f aca="false">F94*H94</f>
        <v>0</v>
      </c>
      <c r="L94" s="14" t="n">
        <f aca="false">G94*H94</f>
        <v>0</v>
      </c>
      <c r="M94" s="27"/>
    </row>
    <row r="95" customFormat="false" ht="26.85" hidden="false" customHeight="false" outlineLevel="0" collapsed="false">
      <c r="A95" s="29" t="s">
        <v>235</v>
      </c>
      <c r="B95" s="27" t="s">
        <v>236</v>
      </c>
      <c r="C95" s="29" t="s">
        <v>237</v>
      </c>
      <c r="D95" s="34" t="n">
        <f aca="false">'PL.Khoi luong'!D90</f>
        <v>851</v>
      </c>
      <c r="E95" s="34" t="n">
        <f aca="false">'PL.Khoi luong'!E90</f>
        <v>0</v>
      </c>
      <c r="F95" s="34" t="n">
        <f aca="false">'PL.Khoi luong'!F90</f>
        <v>0</v>
      </c>
      <c r="G95" s="32" t="n">
        <f aca="false">E95+F95</f>
        <v>0</v>
      </c>
      <c r="H95" s="35" t="n">
        <v>42792</v>
      </c>
      <c r="I95" s="14" t="n">
        <f aca="false">D95*H95</f>
        <v>36415992</v>
      </c>
      <c r="J95" s="14" t="n">
        <f aca="false">E95*H95</f>
        <v>0</v>
      </c>
      <c r="K95" s="14" t="n">
        <f aca="false">F95*H95</f>
        <v>0</v>
      </c>
      <c r="L95" s="14" t="n">
        <f aca="false">G95*H95</f>
        <v>0</v>
      </c>
      <c r="M95" s="27"/>
    </row>
    <row r="96" customFormat="false" ht="15" hidden="false" customHeight="false" outlineLevel="0" collapsed="false">
      <c r="A96" s="29" t="s">
        <v>238</v>
      </c>
      <c r="B96" s="27" t="s">
        <v>239</v>
      </c>
      <c r="C96" s="29" t="s">
        <v>240</v>
      </c>
      <c r="D96" s="34" t="n">
        <f aca="false">'PL.Khoi luong'!D91</f>
        <v>850</v>
      </c>
      <c r="E96" s="34" t="n">
        <f aca="false">'PL.Khoi luong'!E91</f>
        <v>0</v>
      </c>
      <c r="F96" s="34" t="n">
        <f aca="false">'PL.Khoi luong'!F91</f>
        <v>0</v>
      </c>
      <c r="G96" s="32" t="n">
        <f aca="false">E96+F96</f>
        <v>0</v>
      </c>
      <c r="H96" s="35" t="n">
        <v>62378</v>
      </c>
      <c r="I96" s="14" t="n">
        <f aca="false">D96*H96</f>
        <v>53021300</v>
      </c>
      <c r="J96" s="14" t="n">
        <f aca="false">E96*H96</f>
        <v>0</v>
      </c>
      <c r="K96" s="14" t="n">
        <f aca="false">F96*H96</f>
        <v>0</v>
      </c>
      <c r="L96" s="14" t="n">
        <f aca="false">G96*H96</f>
        <v>0</v>
      </c>
      <c r="M96" s="27"/>
    </row>
    <row r="97" customFormat="false" ht="15" hidden="false" customHeight="false" outlineLevel="0" collapsed="false">
      <c r="A97" s="12" t="s">
        <v>241</v>
      </c>
      <c r="B97" s="28" t="s">
        <v>242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customFormat="false" ht="15" hidden="false" customHeight="false" outlineLevel="0" collapsed="false">
      <c r="A98" s="29" t="s">
        <v>243</v>
      </c>
      <c r="B98" s="27" t="s">
        <v>244</v>
      </c>
      <c r="C98" s="29" t="s">
        <v>245</v>
      </c>
      <c r="D98" s="34" t="n">
        <f aca="false">'PL.Khoi luong'!D93</f>
        <v>4.13</v>
      </c>
      <c r="E98" s="34" t="n">
        <f aca="false">'PL.Khoi luong'!E93</f>
        <v>0</v>
      </c>
      <c r="F98" s="34" t="n">
        <f aca="false">'PL.Khoi luong'!F93</f>
        <v>0</v>
      </c>
      <c r="G98" s="32" t="n">
        <f aca="false">E98+F98</f>
        <v>0</v>
      </c>
      <c r="H98" s="35" t="n">
        <v>32636924.9394673</v>
      </c>
      <c r="I98" s="14" t="n">
        <f aca="false">D98*H98</f>
        <v>134790500</v>
      </c>
      <c r="J98" s="14" t="n">
        <f aca="false">E98*H98</f>
        <v>0</v>
      </c>
      <c r="K98" s="14" t="n">
        <f aca="false">F98*H98</f>
        <v>0</v>
      </c>
      <c r="L98" s="14" t="n">
        <f aca="false">G98*H98</f>
        <v>0</v>
      </c>
      <c r="M98" s="27"/>
    </row>
    <row r="99" customFormat="false" ht="26.85" hidden="false" customHeight="false" outlineLevel="0" collapsed="false">
      <c r="A99" s="29" t="s">
        <v>246</v>
      </c>
      <c r="B99" s="27" t="s">
        <v>247</v>
      </c>
      <c r="C99" s="29" t="s">
        <v>240</v>
      </c>
      <c r="D99" s="34" t="n">
        <f aca="false">'PL.Khoi luong'!D94</f>
        <v>17</v>
      </c>
      <c r="E99" s="34" t="n">
        <f aca="false">'PL.Khoi luong'!E94</f>
        <v>0</v>
      </c>
      <c r="F99" s="34" t="n">
        <f aca="false">'PL.Khoi luong'!F94</f>
        <v>0</v>
      </c>
      <c r="G99" s="32" t="n">
        <f aca="false">E99+F99</f>
        <v>0</v>
      </c>
      <c r="H99" s="35" t="n">
        <v>586560</v>
      </c>
      <c r="I99" s="14" t="n">
        <f aca="false">D99*H99</f>
        <v>9971520</v>
      </c>
      <c r="J99" s="14" t="n">
        <f aca="false">E99*H99</f>
        <v>0</v>
      </c>
      <c r="K99" s="14" t="n">
        <f aca="false">F99*H99</f>
        <v>0</v>
      </c>
      <c r="L99" s="14" t="n">
        <f aca="false">G99*H99</f>
        <v>0</v>
      </c>
      <c r="M99" s="27"/>
    </row>
    <row r="100" customFormat="false" ht="26.85" hidden="false" customHeight="false" outlineLevel="0" collapsed="false">
      <c r="A100" s="29" t="s">
        <v>248</v>
      </c>
      <c r="B100" s="27" t="s">
        <v>249</v>
      </c>
      <c r="C100" s="29" t="s">
        <v>240</v>
      </c>
      <c r="D100" s="34" t="n">
        <f aca="false">'PL.Khoi luong'!D95</f>
        <v>26</v>
      </c>
      <c r="E100" s="34" t="n">
        <f aca="false">'PL.Khoi luong'!E95</f>
        <v>0</v>
      </c>
      <c r="F100" s="34" t="n">
        <f aca="false">'PL.Khoi luong'!F95</f>
        <v>0</v>
      </c>
      <c r="G100" s="32" t="n">
        <f aca="false">E100+F100</f>
        <v>0</v>
      </c>
      <c r="H100" s="35" t="n">
        <v>388671</v>
      </c>
      <c r="I100" s="14" t="n">
        <f aca="false">D100*H100</f>
        <v>10105446</v>
      </c>
      <c r="J100" s="14" t="n">
        <f aca="false">E100*H100</f>
        <v>0</v>
      </c>
      <c r="K100" s="14" t="n">
        <f aca="false">F100*H100</f>
        <v>0</v>
      </c>
      <c r="L100" s="14" t="n">
        <f aca="false">G100*H100</f>
        <v>0</v>
      </c>
      <c r="M100" s="27"/>
    </row>
    <row r="101" customFormat="false" ht="15" hidden="false" customHeight="false" outlineLevel="0" collapsed="false">
      <c r="A101" s="29" t="s">
        <v>250</v>
      </c>
      <c r="B101" s="27" t="s">
        <v>251</v>
      </c>
      <c r="C101" s="29" t="s">
        <v>245</v>
      </c>
      <c r="D101" s="34" t="n">
        <f aca="false">'PL.Khoi luong'!D96</f>
        <v>4.13</v>
      </c>
      <c r="E101" s="34" t="n">
        <f aca="false">'PL.Khoi luong'!E96</f>
        <v>0</v>
      </c>
      <c r="F101" s="34" t="n">
        <f aca="false">'PL.Khoi luong'!F96</f>
        <v>0</v>
      </c>
      <c r="G101" s="32" t="n">
        <f aca="false">E101+F101</f>
        <v>0</v>
      </c>
      <c r="H101" s="35" t="n">
        <v>793210.895883777</v>
      </c>
      <c r="I101" s="14" t="n">
        <f aca="false">D101*H101</f>
        <v>3275961</v>
      </c>
      <c r="J101" s="14" t="n">
        <f aca="false">E101*H101</f>
        <v>0</v>
      </c>
      <c r="K101" s="14" t="n">
        <f aca="false">F101*H101</f>
        <v>0</v>
      </c>
      <c r="L101" s="14" t="n">
        <f aca="false">G101*H101</f>
        <v>0</v>
      </c>
      <c r="M101" s="27"/>
    </row>
    <row r="102" customFormat="false" ht="15" hidden="false" customHeight="false" outlineLevel="0" collapsed="false">
      <c r="A102" s="12" t="s">
        <v>252</v>
      </c>
      <c r="B102" s="28" t="s">
        <v>253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customFormat="false" ht="15" hidden="false" customHeight="false" outlineLevel="0" collapsed="false">
      <c r="A103" s="29" t="s">
        <v>254</v>
      </c>
      <c r="B103" s="27" t="s">
        <v>255</v>
      </c>
      <c r="C103" s="29" t="s">
        <v>116</v>
      </c>
      <c r="D103" s="34" t="n">
        <f aca="false">'PL.Khoi luong'!D98</f>
        <v>0</v>
      </c>
      <c r="E103" s="34" t="n">
        <f aca="false">'PL.Khoi luong'!E98</f>
        <v>0</v>
      </c>
      <c r="F103" s="34" t="n">
        <f aca="false">'PL.Khoi luong'!F98</f>
        <v>0</v>
      </c>
      <c r="G103" s="32" t="n">
        <f aca="false">E103+F103</f>
        <v>0</v>
      </c>
      <c r="H103" s="35" t="n">
        <v>0</v>
      </c>
      <c r="I103" s="14" t="n">
        <f aca="false">D103*H103</f>
        <v>0</v>
      </c>
      <c r="J103" s="14" t="n">
        <f aca="false">E103*H103</f>
        <v>0</v>
      </c>
      <c r="K103" s="14" t="n">
        <f aca="false">F103*H103</f>
        <v>0</v>
      </c>
      <c r="L103" s="14" t="n">
        <f aca="false">G103*H103</f>
        <v>0</v>
      </c>
      <c r="M103" s="27"/>
    </row>
    <row r="104" customFormat="false" ht="15" hidden="false" customHeight="false" outlineLevel="0" collapsed="false">
      <c r="A104" s="29" t="s">
        <v>256</v>
      </c>
      <c r="B104" s="27" t="s">
        <v>183</v>
      </c>
      <c r="C104" s="29" t="s">
        <v>106</v>
      </c>
      <c r="D104" s="34" t="n">
        <f aca="false">'PL.Khoi luong'!D99</f>
        <v>6.11</v>
      </c>
      <c r="E104" s="34" t="n">
        <f aca="false">'PL.Khoi luong'!E99</f>
        <v>0</v>
      </c>
      <c r="F104" s="34" t="n">
        <f aca="false">'PL.Khoi luong'!F99</f>
        <v>0</v>
      </c>
      <c r="G104" s="32" t="n">
        <f aca="false">E104+F104</f>
        <v>0</v>
      </c>
      <c r="H104" s="35" t="n">
        <v>1313706.05564648</v>
      </c>
      <c r="I104" s="14" t="n">
        <f aca="false">D104*H104</f>
        <v>8026743.99999999</v>
      </c>
      <c r="J104" s="14" t="n">
        <f aca="false">E104*H104</f>
        <v>0</v>
      </c>
      <c r="K104" s="14" t="n">
        <f aca="false">F104*H104</f>
        <v>0</v>
      </c>
      <c r="L104" s="14" t="n">
        <f aca="false">G104*H104</f>
        <v>0</v>
      </c>
      <c r="M104" s="27"/>
    </row>
    <row r="105" customFormat="false" ht="15" hidden="false" customHeight="false" outlineLevel="0" collapsed="false">
      <c r="A105" s="29" t="s">
        <v>257</v>
      </c>
      <c r="B105" s="27" t="s">
        <v>138</v>
      </c>
      <c r="C105" s="29" t="s">
        <v>116</v>
      </c>
      <c r="D105" s="34" t="n">
        <f aca="false">'PL.Khoi luong'!D100</f>
        <v>0.4556</v>
      </c>
      <c r="E105" s="34" t="n">
        <f aca="false">'PL.Khoi luong'!E100</f>
        <v>0</v>
      </c>
      <c r="F105" s="34" t="n">
        <f aca="false">'PL.Khoi luong'!F100</f>
        <v>0</v>
      </c>
      <c r="G105" s="32" t="n">
        <f aca="false">E105+F105</f>
        <v>0</v>
      </c>
      <c r="H105" s="35" t="n">
        <v>11213465.7594381</v>
      </c>
      <c r="I105" s="14" t="n">
        <f aca="false">D105*H105</f>
        <v>5108855</v>
      </c>
      <c r="J105" s="14" t="n">
        <f aca="false">E105*H105</f>
        <v>0</v>
      </c>
      <c r="K105" s="14" t="n">
        <f aca="false">F105*H105</f>
        <v>0</v>
      </c>
      <c r="L105" s="14" t="n">
        <f aca="false">G105*H105</f>
        <v>0</v>
      </c>
      <c r="M105" s="27"/>
    </row>
    <row r="106" customFormat="false" ht="15" hidden="false" customHeight="false" outlineLevel="0" collapsed="false">
      <c r="A106" s="29" t="s">
        <v>258</v>
      </c>
      <c r="B106" s="27" t="s">
        <v>259</v>
      </c>
      <c r="C106" s="29" t="s">
        <v>131</v>
      </c>
      <c r="D106" s="34" t="n">
        <f aca="false">'PL.Khoi luong'!D101</f>
        <v>9.16</v>
      </c>
      <c r="E106" s="34" t="n">
        <f aca="false">'PL.Khoi luong'!E101</f>
        <v>0</v>
      </c>
      <c r="F106" s="34" t="n">
        <f aca="false">'PL.Khoi luong'!F101</f>
        <v>0</v>
      </c>
      <c r="G106" s="32" t="n">
        <f aca="false">E106+F106</f>
        <v>0</v>
      </c>
      <c r="H106" s="35" t="n">
        <v>1516741.04803493</v>
      </c>
      <c r="I106" s="14" t="n">
        <f aca="false">D106*H106</f>
        <v>13893348</v>
      </c>
      <c r="J106" s="14" t="n">
        <f aca="false">E106*H106</f>
        <v>0</v>
      </c>
      <c r="K106" s="14" t="n">
        <f aca="false">F106*H106</f>
        <v>0</v>
      </c>
      <c r="L106" s="14" t="n">
        <f aca="false">G106*H106</f>
        <v>0</v>
      </c>
      <c r="M106" s="27"/>
    </row>
    <row r="107" customFormat="false" ht="15" hidden="false" customHeight="false" outlineLevel="0" collapsed="false">
      <c r="A107" s="29" t="s">
        <v>260</v>
      </c>
      <c r="B107" s="27" t="s">
        <v>142</v>
      </c>
      <c r="C107" s="29" t="s">
        <v>116</v>
      </c>
      <c r="D107" s="34" t="n">
        <f aca="false">'PL.Khoi luong'!D102</f>
        <v>1.67</v>
      </c>
      <c r="E107" s="34" t="n">
        <f aca="false">'PL.Khoi luong'!E102</f>
        <v>0</v>
      </c>
      <c r="F107" s="34" t="n">
        <f aca="false">'PL.Khoi luong'!F102</f>
        <v>0</v>
      </c>
      <c r="G107" s="32" t="n">
        <f aca="false">E107+F107</f>
        <v>0</v>
      </c>
      <c r="H107" s="35" t="n">
        <v>46953.2934131737</v>
      </c>
      <c r="I107" s="14" t="n">
        <f aca="false">D107*H107</f>
        <v>78412.0000000001</v>
      </c>
      <c r="J107" s="14" t="n">
        <f aca="false">E107*H107</f>
        <v>0</v>
      </c>
      <c r="K107" s="14" t="n">
        <f aca="false">F107*H107</f>
        <v>0</v>
      </c>
      <c r="L107" s="14" t="n">
        <f aca="false">G107*H107</f>
        <v>0</v>
      </c>
      <c r="M107" s="27"/>
    </row>
    <row r="108" customFormat="false" ht="26.85" hidden="false" customHeight="false" outlineLevel="0" collapsed="false">
      <c r="A108" s="29" t="s">
        <v>261</v>
      </c>
      <c r="B108" s="27" t="s">
        <v>144</v>
      </c>
      <c r="C108" s="29" t="s">
        <v>131</v>
      </c>
      <c r="D108" s="34" t="n">
        <f aca="false">'PL.Khoi luong'!D103</f>
        <v>21.43</v>
      </c>
      <c r="E108" s="34" t="n">
        <f aca="false">'PL.Khoi luong'!E103</f>
        <v>0</v>
      </c>
      <c r="F108" s="34" t="n">
        <f aca="false">'PL.Khoi luong'!F103</f>
        <v>0</v>
      </c>
      <c r="G108" s="32" t="n">
        <f aca="false">E108+F108</f>
        <v>0</v>
      </c>
      <c r="H108" s="35" t="n">
        <v>1568220.01866542</v>
      </c>
      <c r="I108" s="14" t="n">
        <f aca="false">D108*H108</f>
        <v>33606955</v>
      </c>
      <c r="J108" s="14" t="n">
        <f aca="false">E108*H108</f>
        <v>0</v>
      </c>
      <c r="K108" s="14" t="n">
        <f aca="false">F108*H108</f>
        <v>0</v>
      </c>
      <c r="L108" s="14" t="n">
        <f aca="false">G108*H108</f>
        <v>0</v>
      </c>
      <c r="M108" s="27"/>
    </row>
    <row r="109" customFormat="false" ht="15" hidden="false" customHeight="false" outlineLevel="0" collapsed="false">
      <c r="A109" s="29" t="s">
        <v>262</v>
      </c>
      <c r="B109" s="27" t="s">
        <v>263</v>
      </c>
      <c r="C109" s="29" t="s">
        <v>106</v>
      </c>
      <c r="D109" s="34" t="n">
        <f aca="false">'PL.Khoi luong'!D104</f>
        <v>62.57</v>
      </c>
      <c r="E109" s="34" t="n">
        <f aca="false">'PL.Khoi luong'!E104</f>
        <v>0</v>
      </c>
      <c r="F109" s="34" t="n">
        <f aca="false">'PL.Khoi luong'!F104</f>
        <v>0</v>
      </c>
      <c r="G109" s="32" t="n">
        <f aca="false">E109+F109</f>
        <v>0</v>
      </c>
      <c r="H109" s="35" t="n">
        <v>113552.996643759</v>
      </c>
      <c r="I109" s="14" t="n">
        <f aca="false">D109*H109</f>
        <v>7105011</v>
      </c>
      <c r="J109" s="14" t="n">
        <f aca="false">E109*H109</f>
        <v>0</v>
      </c>
      <c r="K109" s="14" t="n">
        <f aca="false">F109*H109</f>
        <v>0</v>
      </c>
      <c r="L109" s="14" t="n">
        <f aca="false">G109*H109</f>
        <v>0</v>
      </c>
      <c r="M109" s="27"/>
    </row>
    <row r="110" customFormat="false" ht="15" hidden="false" customHeight="false" outlineLevel="0" collapsed="false">
      <c r="A110" s="29" t="s">
        <v>264</v>
      </c>
      <c r="B110" s="27" t="s">
        <v>151</v>
      </c>
      <c r="C110" s="29" t="s">
        <v>106</v>
      </c>
      <c r="D110" s="34" t="n">
        <f aca="false">'PL.Khoi luong'!D105</f>
        <v>0.7507</v>
      </c>
      <c r="E110" s="34" t="n">
        <f aca="false">'PL.Khoi luong'!E105</f>
        <v>0</v>
      </c>
      <c r="F110" s="34" t="n">
        <f aca="false">'PL.Khoi luong'!F105</f>
        <v>0</v>
      </c>
      <c r="G110" s="32" t="n">
        <f aca="false">E110+F110</f>
        <v>0</v>
      </c>
      <c r="H110" s="35" t="n">
        <v>11213466.0983082</v>
      </c>
      <c r="I110" s="14" t="n">
        <f aca="false">D110*H110</f>
        <v>8417948.99999997</v>
      </c>
      <c r="J110" s="14" t="n">
        <f aca="false">E110*H110</f>
        <v>0</v>
      </c>
      <c r="K110" s="14" t="n">
        <f aca="false">F110*H110</f>
        <v>0</v>
      </c>
      <c r="L110" s="14" t="n">
        <f aca="false">G110*H110</f>
        <v>0</v>
      </c>
      <c r="M110" s="27"/>
    </row>
    <row r="111" customFormat="false" ht="15" hidden="false" customHeight="false" outlineLevel="0" collapsed="false">
      <c r="A111" s="29" t="s">
        <v>265</v>
      </c>
      <c r="B111" s="27" t="s">
        <v>155</v>
      </c>
      <c r="C111" s="29" t="s">
        <v>149</v>
      </c>
      <c r="D111" s="34" t="n">
        <f aca="false">'PL.Khoi luong'!D106</f>
        <v>0.0218</v>
      </c>
      <c r="E111" s="34" t="n">
        <f aca="false">'PL.Khoi luong'!E106</f>
        <v>0</v>
      </c>
      <c r="F111" s="34" t="n">
        <f aca="false">'PL.Khoi luong'!F106</f>
        <v>0</v>
      </c>
      <c r="G111" s="32" t="n">
        <f aca="false">E111+F111</f>
        <v>0</v>
      </c>
      <c r="H111" s="35" t="n">
        <v>8587201.83486239</v>
      </c>
      <c r="I111" s="14" t="n">
        <f aca="false">D111*H111</f>
        <v>187201</v>
      </c>
      <c r="J111" s="14" t="n">
        <f aca="false">E111*H111</f>
        <v>0</v>
      </c>
      <c r="K111" s="14" t="n">
        <f aca="false">F111*H111</f>
        <v>0</v>
      </c>
      <c r="L111" s="14" t="n">
        <f aca="false">G111*H111</f>
        <v>0</v>
      </c>
      <c r="M111" s="27"/>
    </row>
    <row r="112" customFormat="false" ht="15" hidden="false" customHeight="false" outlineLevel="0" collapsed="false">
      <c r="A112" s="29" t="s">
        <v>266</v>
      </c>
      <c r="B112" s="27" t="s">
        <v>153</v>
      </c>
      <c r="C112" s="29" t="s">
        <v>116</v>
      </c>
      <c r="D112" s="34" t="n">
        <f aca="false">'PL.Khoi luong'!D107</f>
        <v>0.5637</v>
      </c>
      <c r="E112" s="34" t="n">
        <f aca="false">'PL.Khoi luong'!E107</f>
        <v>0</v>
      </c>
      <c r="F112" s="34" t="n">
        <f aca="false">'PL.Khoi luong'!F107</f>
        <v>0</v>
      </c>
      <c r="G112" s="32" t="n">
        <f aca="false">E112+F112</f>
        <v>0</v>
      </c>
      <c r="H112" s="35" t="n">
        <v>25003381.2311513</v>
      </c>
      <c r="I112" s="14" t="n">
        <f aca="false">D112*H112</f>
        <v>14094406</v>
      </c>
      <c r="J112" s="14" t="n">
        <f aca="false">E112*H112</f>
        <v>0</v>
      </c>
      <c r="K112" s="14" t="n">
        <f aca="false">F112*H112</f>
        <v>0</v>
      </c>
      <c r="L112" s="14" t="n">
        <f aca="false">G112*H112</f>
        <v>0</v>
      </c>
      <c r="M112" s="27"/>
    </row>
    <row r="113" customFormat="false" ht="26.85" hidden="false" customHeight="false" outlineLevel="0" collapsed="false">
      <c r="A113" s="29" t="s">
        <v>267</v>
      </c>
      <c r="B113" s="27" t="s">
        <v>268</v>
      </c>
      <c r="C113" s="29" t="s">
        <v>160</v>
      </c>
      <c r="D113" s="34" t="n">
        <f aca="false">'PL.Khoi luong'!D108</f>
        <v>3.4</v>
      </c>
      <c r="E113" s="34" t="n">
        <f aca="false">'PL.Khoi luong'!E108</f>
        <v>0</v>
      </c>
      <c r="F113" s="34" t="n">
        <f aca="false">'PL.Khoi luong'!F108</f>
        <v>0</v>
      </c>
      <c r="G113" s="32" t="n">
        <f aca="false">E113+F113</f>
        <v>0</v>
      </c>
      <c r="H113" s="35" t="n">
        <v>1752157.94117647</v>
      </c>
      <c r="I113" s="14" t="n">
        <f aca="false">D113*H113</f>
        <v>5957337</v>
      </c>
      <c r="J113" s="14" t="n">
        <f aca="false">E113*H113</f>
        <v>0</v>
      </c>
      <c r="K113" s="14" t="n">
        <f aca="false">F113*H113</f>
        <v>0</v>
      </c>
      <c r="L113" s="14" t="n">
        <f aca="false">G113*H113</f>
        <v>0</v>
      </c>
      <c r="M113" s="27"/>
    </row>
    <row r="114" customFormat="false" ht="15" hidden="false" customHeight="false" outlineLevel="0" collapsed="false">
      <c r="A114" s="12" t="s">
        <v>269</v>
      </c>
      <c r="B114" s="13" t="s">
        <v>270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customFormat="false" ht="15" hidden="false" customHeight="false" outlineLevel="0" collapsed="false">
      <c r="A115" s="12" t="s">
        <v>271</v>
      </c>
      <c r="B115" s="28" t="s">
        <v>272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customFormat="false" ht="15" hidden="false" customHeight="false" outlineLevel="0" collapsed="false">
      <c r="A116" s="29" t="s">
        <v>273</v>
      </c>
      <c r="B116" s="27" t="s">
        <v>255</v>
      </c>
      <c r="C116" s="29" t="s">
        <v>116</v>
      </c>
      <c r="D116" s="34" t="n">
        <f aca="false">'PL.Khoi luong'!D111</f>
        <v>2.1</v>
      </c>
      <c r="E116" s="34" t="n">
        <f aca="false">'PL.Khoi luong'!E111</f>
        <v>0</v>
      </c>
      <c r="F116" s="34" t="n">
        <f aca="false">'PL.Khoi luong'!F111</f>
        <v>0</v>
      </c>
      <c r="G116" s="32" t="n">
        <f aca="false">E116+F116</f>
        <v>0</v>
      </c>
      <c r="H116" s="35" t="n">
        <v>1313706.19047619</v>
      </c>
      <c r="I116" s="14" t="n">
        <f aca="false">D116*H116</f>
        <v>2758783</v>
      </c>
      <c r="J116" s="14" t="n">
        <f aca="false">E116*H116</f>
        <v>0</v>
      </c>
      <c r="K116" s="14" t="n">
        <f aca="false">F116*H116</f>
        <v>0</v>
      </c>
      <c r="L116" s="14" t="n">
        <f aca="false">G116*H116</f>
        <v>0</v>
      </c>
      <c r="M116" s="27"/>
    </row>
    <row r="117" customFormat="false" ht="15" hidden="false" customHeight="false" outlineLevel="0" collapsed="false">
      <c r="A117" s="29" t="s">
        <v>274</v>
      </c>
      <c r="B117" s="27" t="s">
        <v>275</v>
      </c>
      <c r="C117" s="29" t="s">
        <v>116</v>
      </c>
      <c r="D117" s="34" t="n">
        <f aca="false">'PL.Khoi luong'!D112</f>
        <v>2.1</v>
      </c>
      <c r="E117" s="34" t="n">
        <f aca="false">'PL.Khoi luong'!E112</f>
        <v>0</v>
      </c>
      <c r="F117" s="34" t="n">
        <f aca="false">'PL.Khoi luong'!F112</f>
        <v>0</v>
      </c>
      <c r="G117" s="32" t="n">
        <f aca="false">E117+F117</f>
        <v>0</v>
      </c>
      <c r="H117" s="35" t="n">
        <v>1462108.0952381</v>
      </c>
      <c r="I117" s="14" t="n">
        <f aca="false">D117*H117</f>
        <v>3070427.00000001</v>
      </c>
      <c r="J117" s="14" t="n">
        <f aca="false">E117*H117</f>
        <v>0</v>
      </c>
      <c r="K117" s="14" t="n">
        <f aca="false">F117*H117</f>
        <v>0</v>
      </c>
      <c r="L117" s="14" t="n">
        <f aca="false">G117*H117</f>
        <v>0</v>
      </c>
      <c r="M117" s="27"/>
    </row>
    <row r="118" customFormat="false" ht="15" hidden="false" customHeight="false" outlineLevel="0" collapsed="false">
      <c r="A118" s="29" t="s">
        <v>276</v>
      </c>
      <c r="B118" s="27" t="s">
        <v>183</v>
      </c>
      <c r="C118" s="29" t="s">
        <v>106</v>
      </c>
      <c r="D118" s="34" t="n">
        <f aca="false">'PL.Khoi luong'!D113</f>
        <v>0.084</v>
      </c>
      <c r="E118" s="34" t="n">
        <f aca="false">'PL.Khoi luong'!E113</f>
        <v>0</v>
      </c>
      <c r="F118" s="34" t="n">
        <f aca="false">'PL.Khoi luong'!F113</f>
        <v>0</v>
      </c>
      <c r="G118" s="32" t="n">
        <f aca="false">E118+F118</f>
        <v>0</v>
      </c>
      <c r="H118" s="35" t="n">
        <v>11213464.2857143</v>
      </c>
      <c r="I118" s="14" t="n">
        <f aca="false">D118*H118</f>
        <v>941931.000000001</v>
      </c>
      <c r="J118" s="14" t="n">
        <f aca="false">E118*H118</f>
        <v>0</v>
      </c>
      <c r="K118" s="14" t="n">
        <f aca="false">F118*H118</f>
        <v>0</v>
      </c>
      <c r="L118" s="14" t="n">
        <f aca="false">G118*H118</f>
        <v>0</v>
      </c>
      <c r="M118" s="27"/>
    </row>
    <row r="119" customFormat="false" ht="15" hidden="false" customHeight="false" outlineLevel="0" collapsed="false">
      <c r="A119" s="29" t="s">
        <v>277</v>
      </c>
      <c r="B119" s="27" t="s">
        <v>142</v>
      </c>
      <c r="C119" s="29" t="s">
        <v>116</v>
      </c>
      <c r="D119" s="34" t="n">
        <f aca="false">'PL.Khoi luong'!D114</f>
        <v>1.848</v>
      </c>
      <c r="E119" s="34" t="n">
        <f aca="false">'PL.Khoi luong'!E114</f>
        <v>0</v>
      </c>
      <c r="F119" s="34" t="n">
        <f aca="false">'PL.Khoi luong'!F114</f>
        <v>0</v>
      </c>
      <c r="G119" s="32" t="n">
        <f aca="false">E119+F119</f>
        <v>0</v>
      </c>
      <c r="H119" s="35" t="n">
        <v>1568220.23809524</v>
      </c>
      <c r="I119" s="14" t="n">
        <f aca="false">D119*H119</f>
        <v>2898071</v>
      </c>
      <c r="J119" s="14" t="n">
        <f aca="false">E119*H119</f>
        <v>0</v>
      </c>
      <c r="K119" s="14" t="n">
        <f aca="false">F119*H119</f>
        <v>0</v>
      </c>
      <c r="L119" s="14" t="n">
        <f aca="false">G119*H119</f>
        <v>0</v>
      </c>
      <c r="M119" s="27"/>
    </row>
    <row r="120" customFormat="false" ht="26.85" hidden="false" customHeight="false" outlineLevel="0" collapsed="false">
      <c r="A120" s="29" t="s">
        <v>278</v>
      </c>
      <c r="B120" s="27" t="s">
        <v>144</v>
      </c>
      <c r="C120" s="29" t="s">
        <v>131</v>
      </c>
      <c r="D120" s="34" t="n">
        <f aca="false">'PL.Khoi luong'!D115</f>
        <v>16.8</v>
      </c>
      <c r="E120" s="34" t="n">
        <f aca="false">'PL.Khoi luong'!E115</f>
        <v>0</v>
      </c>
      <c r="F120" s="34" t="n">
        <f aca="false">'PL.Khoi luong'!F115</f>
        <v>0</v>
      </c>
      <c r="G120" s="32" t="n">
        <f aca="false">E120+F120</f>
        <v>0</v>
      </c>
      <c r="H120" s="35" t="n">
        <v>113552.976190476</v>
      </c>
      <c r="I120" s="14" t="n">
        <f aca="false">D120*H120</f>
        <v>1907690</v>
      </c>
      <c r="J120" s="14" t="n">
        <f aca="false">E120*H120</f>
        <v>0</v>
      </c>
      <c r="K120" s="14" t="n">
        <f aca="false">F120*H120</f>
        <v>0</v>
      </c>
      <c r="L120" s="14" t="n">
        <f aca="false">G120*H120</f>
        <v>0</v>
      </c>
      <c r="M120" s="27"/>
    </row>
    <row r="121" customFormat="false" ht="15" hidden="false" customHeight="false" outlineLevel="0" collapsed="false">
      <c r="A121" s="29" t="s">
        <v>279</v>
      </c>
      <c r="B121" s="27" t="s">
        <v>259</v>
      </c>
      <c r="C121" s="29" t="s">
        <v>131</v>
      </c>
      <c r="D121" s="34" t="n">
        <f aca="false">'PL.Khoi luong'!D116</f>
        <v>4.2</v>
      </c>
      <c r="E121" s="34" t="n">
        <f aca="false">'PL.Khoi luong'!E116</f>
        <v>0</v>
      </c>
      <c r="F121" s="34" t="n">
        <f aca="false">'PL.Khoi luong'!F116</f>
        <v>0</v>
      </c>
      <c r="G121" s="32" t="n">
        <f aca="false">E121+F121</f>
        <v>0</v>
      </c>
      <c r="H121" s="35" t="n">
        <v>46953.0952380952</v>
      </c>
      <c r="I121" s="14" t="n">
        <f aca="false">D121*H121</f>
        <v>197203</v>
      </c>
      <c r="J121" s="14" t="n">
        <f aca="false">E121*H121</f>
        <v>0</v>
      </c>
      <c r="K121" s="14" t="n">
        <f aca="false">F121*H121</f>
        <v>0</v>
      </c>
      <c r="L121" s="14" t="n">
        <f aca="false">G121*H121</f>
        <v>0</v>
      </c>
      <c r="M121" s="27"/>
    </row>
    <row r="122" customFormat="false" ht="15" hidden="false" customHeight="false" outlineLevel="0" collapsed="false">
      <c r="A122" s="29" t="s">
        <v>280</v>
      </c>
      <c r="B122" s="27" t="s">
        <v>263</v>
      </c>
      <c r="C122" s="29" t="s">
        <v>106</v>
      </c>
      <c r="D122" s="34" t="n">
        <f aca="false">'PL.Khoi luong'!D117</f>
        <v>0.084</v>
      </c>
      <c r="E122" s="34" t="n">
        <f aca="false">'PL.Khoi luong'!E117</f>
        <v>0</v>
      </c>
      <c r="F122" s="34" t="n">
        <f aca="false">'PL.Khoi luong'!F117</f>
        <v>0</v>
      </c>
      <c r="G122" s="32" t="n">
        <f aca="false">E122+F122</f>
        <v>0</v>
      </c>
      <c r="H122" s="35" t="n">
        <v>11213464.2857143</v>
      </c>
      <c r="I122" s="14" t="n">
        <f aca="false">D122*H122</f>
        <v>941931.000000001</v>
      </c>
      <c r="J122" s="14" t="n">
        <f aca="false">E122*H122</f>
        <v>0</v>
      </c>
      <c r="K122" s="14" t="n">
        <f aca="false">F122*H122</f>
        <v>0</v>
      </c>
      <c r="L122" s="14" t="n">
        <f aca="false">G122*H122</f>
        <v>0</v>
      </c>
      <c r="M122" s="27"/>
    </row>
    <row r="123" customFormat="false" ht="15" hidden="false" customHeight="false" outlineLevel="0" collapsed="false">
      <c r="A123" s="29" t="s">
        <v>281</v>
      </c>
      <c r="B123" s="27" t="s">
        <v>146</v>
      </c>
      <c r="C123" s="29" t="s">
        <v>116</v>
      </c>
      <c r="D123" s="34" t="n">
        <f aca="false">'PL.Khoi luong'!D118</f>
        <v>1.47</v>
      </c>
      <c r="E123" s="34" t="n">
        <f aca="false">'PL.Khoi luong'!E118</f>
        <v>0</v>
      </c>
      <c r="F123" s="34" t="n">
        <f aca="false">'PL.Khoi luong'!F118</f>
        <v>0</v>
      </c>
      <c r="G123" s="32" t="n">
        <f aca="false">E123+F123</f>
        <v>0</v>
      </c>
      <c r="H123" s="35" t="n">
        <v>2084985.71428571</v>
      </c>
      <c r="I123" s="14" t="n">
        <f aca="false">D123*H123</f>
        <v>3064928.99999999</v>
      </c>
      <c r="J123" s="14" t="n">
        <f aca="false">E123*H123</f>
        <v>0</v>
      </c>
      <c r="K123" s="14" t="n">
        <f aca="false">F123*H123</f>
        <v>0</v>
      </c>
      <c r="L123" s="14" t="n">
        <f aca="false">G123*H123</f>
        <v>0</v>
      </c>
      <c r="M123" s="27"/>
    </row>
    <row r="124" customFormat="false" ht="15" hidden="false" customHeight="false" outlineLevel="0" collapsed="false">
      <c r="A124" s="29" t="s">
        <v>282</v>
      </c>
      <c r="B124" s="27" t="s">
        <v>148</v>
      </c>
      <c r="C124" s="29" t="s">
        <v>149</v>
      </c>
      <c r="D124" s="34" t="n">
        <f aca="false">'PL.Khoi luong'!D119</f>
        <v>0.173</v>
      </c>
      <c r="E124" s="34" t="n">
        <f aca="false">'PL.Khoi luong'!E119</f>
        <v>0</v>
      </c>
      <c r="F124" s="34" t="n">
        <f aca="false">'PL.Khoi luong'!F119</f>
        <v>0</v>
      </c>
      <c r="G124" s="32" t="n">
        <f aca="false">E124+F124</f>
        <v>0</v>
      </c>
      <c r="H124" s="35" t="n">
        <v>24438878.6127168</v>
      </c>
      <c r="I124" s="14" t="n">
        <f aca="false">D124*H124</f>
        <v>4227926.00000001</v>
      </c>
      <c r="J124" s="14" t="n">
        <f aca="false">E124*H124</f>
        <v>0</v>
      </c>
      <c r="K124" s="14" t="n">
        <f aca="false">F124*H124</f>
        <v>0</v>
      </c>
      <c r="L124" s="14" t="n">
        <f aca="false">G124*H124</f>
        <v>0</v>
      </c>
      <c r="M124" s="27"/>
    </row>
    <row r="125" customFormat="false" ht="26.85" hidden="false" customHeight="false" outlineLevel="0" collapsed="false">
      <c r="A125" s="29" t="s">
        <v>283</v>
      </c>
      <c r="B125" s="27" t="s">
        <v>159</v>
      </c>
      <c r="C125" s="29" t="s">
        <v>160</v>
      </c>
      <c r="D125" s="34" t="n">
        <f aca="false">'PL.Khoi luong'!D120</f>
        <v>21</v>
      </c>
      <c r="E125" s="34" t="n">
        <f aca="false">'PL.Khoi luong'!E120</f>
        <v>0</v>
      </c>
      <c r="F125" s="34" t="n">
        <f aca="false">'PL.Khoi luong'!F120</f>
        <v>0</v>
      </c>
      <c r="G125" s="32" t="n">
        <f aca="false">E125+F125</f>
        <v>0</v>
      </c>
      <c r="H125" s="35" t="n">
        <v>71359</v>
      </c>
      <c r="I125" s="14" t="n">
        <f aca="false">D125*H125</f>
        <v>1498539</v>
      </c>
      <c r="J125" s="14" t="n">
        <f aca="false">E125*H125</f>
        <v>0</v>
      </c>
      <c r="K125" s="14" t="n">
        <f aca="false">F125*H125</f>
        <v>0</v>
      </c>
      <c r="L125" s="14" t="n">
        <f aca="false">G125*H125</f>
        <v>0</v>
      </c>
      <c r="M125" s="27"/>
    </row>
    <row r="126" customFormat="false" ht="15" hidden="false" customHeight="false" outlineLevel="0" collapsed="false">
      <c r="A126" s="29" t="s">
        <v>284</v>
      </c>
      <c r="B126" s="27" t="s">
        <v>285</v>
      </c>
      <c r="C126" s="29" t="s">
        <v>116</v>
      </c>
      <c r="D126" s="34" t="n">
        <f aca="false">'PL.Khoi luong'!D121</f>
        <v>1.029</v>
      </c>
      <c r="E126" s="34" t="n">
        <f aca="false">'PL.Khoi luong'!E121</f>
        <v>0</v>
      </c>
      <c r="F126" s="34" t="n">
        <f aca="false">'PL.Khoi luong'!F121</f>
        <v>0</v>
      </c>
      <c r="G126" s="32" t="n">
        <f aca="false">E126+F126</f>
        <v>0</v>
      </c>
      <c r="H126" s="35" t="n">
        <v>1752158.40621963</v>
      </c>
      <c r="I126" s="14" t="n">
        <f aca="false">D126*H126</f>
        <v>1802971</v>
      </c>
      <c r="J126" s="14" t="n">
        <f aca="false">E126*H126</f>
        <v>0</v>
      </c>
      <c r="K126" s="14" t="n">
        <f aca="false">F126*H126</f>
        <v>0</v>
      </c>
      <c r="L126" s="14" t="n">
        <f aca="false">G126*H126</f>
        <v>0</v>
      </c>
      <c r="M126" s="27"/>
    </row>
    <row r="127" customFormat="false" ht="15" hidden="false" customHeight="false" outlineLevel="0" collapsed="false">
      <c r="A127" s="29" t="s">
        <v>286</v>
      </c>
      <c r="B127" s="27" t="s">
        <v>155</v>
      </c>
      <c r="C127" s="29" t="s">
        <v>149</v>
      </c>
      <c r="D127" s="34" t="n">
        <f aca="false">'PL.Khoi luong'!D122</f>
        <v>0.209</v>
      </c>
      <c r="E127" s="34" t="n">
        <f aca="false">'PL.Khoi luong'!E122</f>
        <v>0</v>
      </c>
      <c r="F127" s="34" t="n">
        <f aca="false">'PL.Khoi luong'!F122</f>
        <v>0</v>
      </c>
      <c r="G127" s="32" t="n">
        <f aca="false">E127+F127</f>
        <v>0</v>
      </c>
      <c r="H127" s="35" t="n">
        <v>25003382.7751196</v>
      </c>
      <c r="I127" s="14" t="n">
        <f aca="false">D127*H127</f>
        <v>5225707</v>
      </c>
      <c r="J127" s="14" t="n">
        <f aca="false">E127*H127</f>
        <v>0</v>
      </c>
      <c r="K127" s="14" t="n">
        <f aca="false">F127*H127</f>
        <v>0</v>
      </c>
      <c r="L127" s="14" t="n">
        <f aca="false">G127*H127</f>
        <v>0</v>
      </c>
      <c r="M127" s="27"/>
    </row>
    <row r="128" customFormat="false" ht="15" hidden="false" customHeight="false" outlineLevel="0" collapsed="false">
      <c r="A128" s="29" t="s">
        <v>287</v>
      </c>
      <c r="B128" s="27" t="s">
        <v>151</v>
      </c>
      <c r="C128" s="29" t="s">
        <v>106</v>
      </c>
      <c r="D128" s="34" t="n">
        <f aca="false">'PL.Khoi luong'!D123</f>
        <v>0.0103</v>
      </c>
      <c r="E128" s="34" t="n">
        <f aca="false">'PL.Khoi luong'!E123</f>
        <v>0</v>
      </c>
      <c r="F128" s="34" t="n">
        <f aca="false">'PL.Khoi luong'!F123</f>
        <v>0</v>
      </c>
      <c r="G128" s="32" t="n">
        <f aca="false">E128+F128</f>
        <v>0</v>
      </c>
      <c r="H128" s="35" t="n">
        <v>8587184.46601942</v>
      </c>
      <c r="I128" s="14" t="n">
        <f aca="false">D128*H128</f>
        <v>88448</v>
      </c>
      <c r="J128" s="14" t="n">
        <f aca="false">E128*H128</f>
        <v>0</v>
      </c>
      <c r="K128" s="14" t="n">
        <f aca="false">F128*H128</f>
        <v>0</v>
      </c>
      <c r="L128" s="14" t="n">
        <f aca="false">G128*H128</f>
        <v>0</v>
      </c>
      <c r="M128" s="27"/>
    </row>
    <row r="129" customFormat="false" ht="15" hidden="false" customHeight="false" outlineLevel="0" collapsed="false">
      <c r="A129" s="12" t="s">
        <v>288</v>
      </c>
      <c r="B129" s="28" t="s">
        <v>289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customFormat="false" ht="15" hidden="false" customHeight="false" outlineLevel="0" collapsed="false">
      <c r="A130" s="29" t="s">
        <v>290</v>
      </c>
      <c r="B130" s="27" t="s">
        <v>255</v>
      </c>
      <c r="C130" s="29" t="s">
        <v>116</v>
      </c>
      <c r="D130" s="34" t="n">
        <f aca="false">'PL.Khoi luong'!D125</f>
        <v>60.297</v>
      </c>
      <c r="E130" s="34" t="n">
        <f aca="false">'PL.Khoi luong'!E125</f>
        <v>0</v>
      </c>
      <c r="F130" s="34" t="n">
        <f aca="false">'PL.Khoi luong'!F125</f>
        <v>0</v>
      </c>
      <c r="G130" s="32" t="n">
        <f aca="false">E130+F130</f>
        <v>0</v>
      </c>
      <c r="H130" s="35" t="n">
        <v>1313706.00527389</v>
      </c>
      <c r="I130" s="14" t="n">
        <f aca="false">D130*H130</f>
        <v>79212530.9999998</v>
      </c>
      <c r="J130" s="14" t="n">
        <f aca="false">E130*H130</f>
        <v>0</v>
      </c>
      <c r="K130" s="14" t="n">
        <f aca="false">F130*H130</f>
        <v>0</v>
      </c>
      <c r="L130" s="14" t="n">
        <f aca="false">G130*H130</f>
        <v>0</v>
      </c>
      <c r="M130" s="27"/>
    </row>
    <row r="131" customFormat="false" ht="15" hidden="false" customHeight="false" outlineLevel="0" collapsed="false">
      <c r="A131" s="29" t="s">
        <v>291</v>
      </c>
      <c r="B131" s="27" t="s">
        <v>275</v>
      </c>
      <c r="C131" s="29" t="s">
        <v>116</v>
      </c>
      <c r="D131" s="34" t="n">
        <f aca="false">'PL.Khoi luong'!D126</f>
        <v>60.297</v>
      </c>
      <c r="E131" s="34" t="n">
        <f aca="false">'PL.Khoi luong'!E126</f>
        <v>0</v>
      </c>
      <c r="F131" s="34" t="n">
        <f aca="false">'PL.Khoi luong'!F126</f>
        <v>0</v>
      </c>
      <c r="G131" s="32" t="n">
        <f aca="false">E131+F131</f>
        <v>0</v>
      </c>
      <c r="H131" s="35" t="n">
        <v>1462107.99873957</v>
      </c>
      <c r="I131" s="14" t="n">
        <f aca="false">D131*H131</f>
        <v>88160725.9999998</v>
      </c>
      <c r="J131" s="14" t="n">
        <f aca="false">E131*H131</f>
        <v>0</v>
      </c>
      <c r="K131" s="14" t="n">
        <f aca="false">F131*H131</f>
        <v>0</v>
      </c>
      <c r="L131" s="14" t="n">
        <f aca="false">G131*H131</f>
        <v>0</v>
      </c>
      <c r="M131" s="27"/>
    </row>
    <row r="132" customFormat="false" ht="15" hidden="false" customHeight="false" outlineLevel="0" collapsed="false">
      <c r="A132" s="29" t="s">
        <v>292</v>
      </c>
      <c r="B132" s="27" t="s">
        <v>183</v>
      </c>
      <c r="C132" s="29" t="s">
        <v>106</v>
      </c>
      <c r="D132" s="34" t="n">
        <f aca="false">'PL.Khoi luong'!D127</f>
        <v>3.7106</v>
      </c>
      <c r="E132" s="34" t="n">
        <f aca="false">'PL.Khoi luong'!E127</f>
        <v>0</v>
      </c>
      <c r="F132" s="34" t="n">
        <f aca="false">'PL.Khoi luong'!F127</f>
        <v>0</v>
      </c>
      <c r="G132" s="32" t="n">
        <f aca="false">E132+F132</f>
        <v>0</v>
      </c>
      <c r="H132" s="35" t="n">
        <v>11213466.0162777</v>
      </c>
      <c r="I132" s="14" t="n">
        <f aca="false">D132*H132</f>
        <v>41608687</v>
      </c>
      <c r="J132" s="14" t="n">
        <f aca="false">E132*H132</f>
        <v>0</v>
      </c>
      <c r="K132" s="14" t="n">
        <f aca="false">F132*H132</f>
        <v>0</v>
      </c>
      <c r="L132" s="14" t="n">
        <f aca="false">G132*H132</f>
        <v>0</v>
      </c>
      <c r="M132" s="27"/>
    </row>
    <row r="133" customFormat="false" ht="15" hidden="false" customHeight="false" outlineLevel="0" collapsed="false">
      <c r="A133" s="29" t="s">
        <v>293</v>
      </c>
      <c r="B133" s="27" t="s">
        <v>142</v>
      </c>
      <c r="C133" s="29" t="s">
        <v>116</v>
      </c>
      <c r="D133" s="34" t="n">
        <f aca="false">'PL.Khoi luong'!D128</f>
        <v>102.042</v>
      </c>
      <c r="E133" s="34" t="n">
        <f aca="false">'PL.Khoi luong'!E128</f>
        <v>0</v>
      </c>
      <c r="F133" s="34" t="n">
        <f aca="false">'PL.Khoi luong'!F128</f>
        <v>0</v>
      </c>
      <c r="G133" s="32" t="n">
        <f aca="false">E133+F133</f>
        <v>0</v>
      </c>
      <c r="H133" s="35" t="n">
        <v>1568219.99764803</v>
      </c>
      <c r="I133" s="14" t="n">
        <f aca="false">D133*H133</f>
        <v>160024305</v>
      </c>
      <c r="J133" s="14" t="n">
        <f aca="false">E133*H133</f>
        <v>0</v>
      </c>
      <c r="K133" s="14" t="n">
        <f aca="false">F133*H133</f>
        <v>0</v>
      </c>
      <c r="L133" s="14" t="n">
        <f aca="false">G133*H133</f>
        <v>0</v>
      </c>
      <c r="M133" s="27"/>
    </row>
    <row r="134" customFormat="false" ht="26.85" hidden="false" customHeight="false" outlineLevel="0" collapsed="false">
      <c r="A134" s="29" t="s">
        <v>294</v>
      </c>
      <c r="B134" s="27" t="s">
        <v>144</v>
      </c>
      <c r="C134" s="29" t="s">
        <v>131</v>
      </c>
      <c r="D134" s="34" t="n">
        <f aca="false">'PL.Khoi luong'!D129</f>
        <v>927.65</v>
      </c>
      <c r="E134" s="34" t="n">
        <f aca="false">'PL.Khoi luong'!E129</f>
        <v>0</v>
      </c>
      <c r="F134" s="34" t="n">
        <f aca="false">'PL.Khoi luong'!F129</f>
        <v>0</v>
      </c>
      <c r="G134" s="32" t="n">
        <f aca="false">E134+F134</f>
        <v>0</v>
      </c>
      <c r="H134" s="35" t="n">
        <v>113552.999514903</v>
      </c>
      <c r="I134" s="14" t="n">
        <f aca="false">D134*H134</f>
        <v>105337440</v>
      </c>
      <c r="J134" s="14" t="n">
        <f aca="false">E134*H134</f>
        <v>0</v>
      </c>
      <c r="K134" s="14" t="n">
        <f aca="false">F134*H134</f>
        <v>0</v>
      </c>
      <c r="L134" s="14" t="n">
        <f aca="false">G134*H134</f>
        <v>0</v>
      </c>
      <c r="M134" s="27"/>
    </row>
    <row r="135" customFormat="false" ht="15" hidden="false" customHeight="false" outlineLevel="0" collapsed="false">
      <c r="A135" s="29" t="s">
        <v>295</v>
      </c>
      <c r="B135" s="27" t="s">
        <v>259</v>
      </c>
      <c r="C135" s="29" t="s">
        <v>131</v>
      </c>
      <c r="D135" s="34" t="n">
        <f aca="false">'PL.Khoi luong'!D130</f>
        <v>231.913</v>
      </c>
      <c r="E135" s="34" t="n">
        <f aca="false">'PL.Khoi luong'!E130</f>
        <v>0</v>
      </c>
      <c r="F135" s="34" t="n">
        <f aca="false">'PL.Khoi luong'!F130</f>
        <v>0</v>
      </c>
      <c r="G135" s="32" t="n">
        <f aca="false">E135+F135</f>
        <v>0</v>
      </c>
      <c r="H135" s="35" t="n">
        <v>46952.9996162354</v>
      </c>
      <c r="I135" s="14" t="n">
        <f aca="false">D135*H135</f>
        <v>10889011</v>
      </c>
      <c r="J135" s="14" t="n">
        <f aca="false">E135*H135</f>
        <v>0</v>
      </c>
      <c r="K135" s="14" t="n">
        <f aca="false">F135*H135</f>
        <v>0</v>
      </c>
      <c r="L135" s="14" t="n">
        <f aca="false">G135*H135</f>
        <v>0</v>
      </c>
      <c r="M135" s="27"/>
    </row>
    <row r="136" customFormat="false" ht="15" hidden="false" customHeight="false" outlineLevel="0" collapsed="false">
      <c r="A136" s="29" t="s">
        <v>296</v>
      </c>
      <c r="B136" s="27" t="s">
        <v>297</v>
      </c>
      <c r="C136" s="29" t="s">
        <v>245</v>
      </c>
      <c r="D136" s="34" t="n">
        <f aca="false">'PL.Khoi luong'!D131</f>
        <v>4.6383</v>
      </c>
      <c r="E136" s="34" t="n">
        <f aca="false">'PL.Khoi luong'!E131</f>
        <v>0</v>
      </c>
      <c r="F136" s="34" t="n">
        <f aca="false">'PL.Khoi luong'!F131</f>
        <v>0</v>
      </c>
      <c r="G136" s="32" t="n">
        <f aca="false">E136+F136</f>
        <v>0</v>
      </c>
      <c r="H136" s="35" t="n">
        <v>5554510.05756419</v>
      </c>
      <c r="I136" s="14" t="n">
        <f aca="false">D136*H136</f>
        <v>25763484</v>
      </c>
      <c r="J136" s="14" t="n">
        <f aca="false">E136*H136</f>
        <v>0</v>
      </c>
      <c r="K136" s="14" t="n">
        <f aca="false">F136*H136</f>
        <v>0</v>
      </c>
      <c r="L136" s="14" t="n">
        <f aca="false">G136*H136</f>
        <v>0</v>
      </c>
      <c r="M136" s="27"/>
    </row>
    <row r="137" customFormat="false" ht="15" hidden="false" customHeight="false" outlineLevel="0" collapsed="false">
      <c r="A137" s="29" t="s">
        <v>298</v>
      </c>
      <c r="B137" s="27" t="s">
        <v>299</v>
      </c>
      <c r="C137" s="29" t="s">
        <v>240</v>
      </c>
      <c r="D137" s="34" t="n">
        <f aca="false">'PL.Khoi luong'!D132</f>
        <v>1855</v>
      </c>
      <c r="E137" s="34" t="n">
        <f aca="false">'PL.Khoi luong'!E132</f>
        <v>0</v>
      </c>
      <c r="F137" s="34" t="n">
        <f aca="false">'PL.Khoi luong'!F132</f>
        <v>0</v>
      </c>
      <c r="G137" s="32" t="n">
        <f aca="false">E137+F137</f>
        <v>0</v>
      </c>
      <c r="H137" s="35" t="n">
        <v>11924</v>
      </c>
      <c r="I137" s="14" t="n">
        <f aca="false">D137*H137</f>
        <v>22119020</v>
      </c>
      <c r="J137" s="14" t="n">
        <f aca="false">E137*H137</f>
        <v>0</v>
      </c>
      <c r="K137" s="14" t="n">
        <f aca="false">F137*H137</f>
        <v>0</v>
      </c>
      <c r="L137" s="14" t="n">
        <f aca="false">G137*H137</f>
        <v>0</v>
      </c>
      <c r="M137" s="27"/>
    </row>
    <row r="138" customFormat="false" ht="15" hidden="false" customHeight="false" outlineLevel="0" collapsed="false">
      <c r="A138" s="29" t="s">
        <v>300</v>
      </c>
      <c r="B138" s="27" t="s">
        <v>301</v>
      </c>
      <c r="C138" s="29" t="s">
        <v>245</v>
      </c>
      <c r="D138" s="34" t="n">
        <f aca="false">'PL.Khoi luong'!D133</f>
        <v>2.3191</v>
      </c>
      <c r="E138" s="34" t="n">
        <f aca="false">'PL.Khoi luong'!E133</f>
        <v>0</v>
      </c>
      <c r="F138" s="34" t="n">
        <f aca="false">'PL.Khoi luong'!F133</f>
        <v>0</v>
      </c>
      <c r="G138" s="32" t="n">
        <f aca="false">E138+F138</f>
        <v>0</v>
      </c>
      <c r="H138" s="35" t="n">
        <v>10772197.8353672</v>
      </c>
      <c r="I138" s="14" t="n">
        <f aca="false">D138*H138</f>
        <v>24981804.0000001</v>
      </c>
      <c r="J138" s="14" t="n">
        <f aca="false">E138*H138</f>
        <v>0</v>
      </c>
      <c r="K138" s="14" t="n">
        <f aca="false">F138*H138</f>
        <v>0</v>
      </c>
      <c r="L138" s="14" t="n">
        <f aca="false">G138*H138</f>
        <v>0</v>
      </c>
      <c r="M138" s="27"/>
    </row>
    <row r="139" customFormat="false" ht="15" hidden="false" customHeight="false" outlineLevel="0" collapsed="false">
      <c r="A139" s="29" t="s">
        <v>302</v>
      </c>
      <c r="B139" s="27" t="s">
        <v>303</v>
      </c>
      <c r="C139" s="29" t="s">
        <v>240</v>
      </c>
      <c r="D139" s="34" t="n">
        <f aca="false">'PL.Khoi luong'!D134</f>
        <v>928</v>
      </c>
      <c r="E139" s="34" t="n">
        <f aca="false">'PL.Khoi luong'!E134</f>
        <v>0</v>
      </c>
      <c r="F139" s="34" t="n">
        <f aca="false">'PL.Khoi luong'!F134</f>
        <v>0</v>
      </c>
      <c r="G139" s="32" t="n">
        <f aca="false">E139+F139</f>
        <v>0</v>
      </c>
      <c r="H139" s="35" t="n">
        <v>29233</v>
      </c>
      <c r="I139" s="14" t="n">
        <f aca="false">D139*H139</f>
        <v>27128224</v>
      </c>
      <c r="J139" s="14" t="n">
        <f aca="false">E139*H139</f>
        <v>0</v>
      </c>
      <c r="K139" s="14" t="n">
        <f aca="false">F139*H139</f>
        <v>0</v>
      </c>
      <c r="L139" s="14" t="n">
        <f aca="false">G139*H139</f>
        <v>0</v>
      </c>
      <c r="M139" s="27"/>
    </row>
    <row r="140" customFormat="false" ht="15" hidden="false" customHeight="false" outlineLevel="0" collapsed="false">
      <c r="A140" s="29" t="s">
        <v>304</v>
      </c>
      <c r="B140" s="27" t="s">
        <v>305</v>
      </c>
      <c r="C140" s="29" t="s">
        <v>149</v>
      </c>
      <c r="D140" s="34" t="n">
        <f aca="false">'PL.Khoi luong'!D135</f>
        <v>0.6772</v>
      </c>
      <c r="E140" s="34" t="n">
        <f aca="false">'PL.Khoi luong'!E135</f>
        <v>0</v>
      </c>
      <c r="F140" s="34" t="n">
        <f aca="false">'PL.Khoi luong'!F135</f>
        <v>0</v>
      </c>
      <c r="G140" s="32" t="n">
        <f aca="false">E140+F140</f>
        <v>0</v>
      </c>
      <c r="H140" s="35" t="n">
        <v>22691076.4914353</v>
      </c>
      <c r="I140" s="14" t="n">
        <f aca="false">D140*H140</f>
        <v>15366397</v>
      </c>
      <c r="J140" s="14" t="n">
        <f aca="false">E140*H140</f>
        <v>0</v>
      </c>
      <c r="K140" s="14" t="n">
        <f aca="false">F140*H140</f>
        <v>0</v>
      </c>
      <c r="L140" s="14" t="n">
        <f aca="false">G140*H140</f>
        <v>0</v>
      </c>
      <c r="M140" s="27"/>
    </row>
    <row r="141" customFormat="false" ht="26.85" hidden="false" customHeight="false" outlineLevel="0" collapsed="false">
      <c r="A141" s="29" t="s">
        <v>306</v>
      </c>
      <c r="B141" s="27" t="s">
        <v>159</v>
      </c>
      <c r="C141" s="29" t="s">
        <v>160</v>
      </c>
      <c r="D141" s="34" t="n">
        <f aca="false">'PL.Khoi luong'!D136</f>
        <v>928</v>
      </c>
      <c r="E141" s="34" t="n">
        <f aca="false">'PL.Khoi luong'!E136</f>
        <v>0</v>
      </c>
      <c r="F141" s="34" t="n">
        <f aca="false">'PL.Khoi luong'!F136</f>
        <v>0</v>
      </c>
      <c r="G141" s="32" t="n">
        <f aca="false">E141+F141</f>
        <v>0</v>
      </c>
      <c r="H141" s="35" t="n">
        <v>71359</v>
      </c>
      <c r="I141" s="14" t="n">
        <f aca="false">D141*H141</f>
        <v>66221152</v>
      </c>
      <c r="J141" s="14" t="n">
        <f aca="false">E141*H141</f>
        <v>0</v>
      </c>
      <c r="K141" s="14" t="n">
        <f aca="false">F141*H141</f>
        <v>0</v>
      </c>
      <c r="L141" s="14" t="n">
        <f aca="false">G141*H141</f>
        <v>0</v>
      </c>
      <c r="M141" s="27"/>
    </row>
    <row r="142" customFormat="false" ht="15" hidden="false" customHeight="false" outlineLevel="0" collapsed="false">
      <c r="A142" s="29" t="s">
        <v>307</v>
      </c>
      <c r="B142" s="27" t="s">
        <v>153</v>
      </c>
      <c r="C142" s="29" t="s">
        <v>116</v>
      </c>
      <c r="D142" s="34" t="n">
        <f aca="false">'PL.Khoi luong'!D137</f>
        <v>60.297</v>
      </c>
      <c r="E142" s="34" t="n">
        <f aca="false">'PL.Khoi luong'!E137</f>
        <v>0</v>
      </c>
      <c r="F142" s="34" t="n">
        <f aca="false">'PL.Khoi luong'!F137</f>
        <v>0</v>
      </c>
      <c r="G142" s="32" t="n">
        <f aca="false">E142+F142</f>
        <v>0</v>
      </c>
      <c r="H142" s="35" t="n">
        <v>1752158.00122726</v>
      </c>
      <c r="I142" s="14" t="n">
        <f aca="false">D142*H142</f>
        <v>105649871</v>
      </c>
      <c r="J142" s="14" t="n">
        <f aca="false">E142*H142</f>
        <v>0</v>
      </c>
      <c r="K142" s="14" t="n">
        <f aca="false">F142*H142</f>
        <v>0</v>
      </c>
      <c r="L142" s="14" t="n">
        <f aca="false">G142*H142</f>
        <v>0</v>
      </c>
      <c r="M142" s="27"/>
    </row>
    <row r="143" customFormat="false" ht="15" hidden="false" customHeight="false" outlineLevel="0" collapsed="false">
      <c r="A143" s="29" t="s">
        <v>308</v>
      </c>
      <c r="B143" s="27" t="s">
        <v>155</v>
      </c>
      <c r="C143" s="29" t="s">
        <v>149</v>
      </c>
      <c r="D143" s="34" t="n">
        <f aca="false">'PL.Khoi luong'!D138</f>
        <v>4.4434</v>
      </c>
      <c r="E143" s="34" t="n">
        <f aca="false">'PL.Khoi luong'!E138</f>
        <v>0</v>
      </c>
      <c r="F143" s="34" t="n">
        <f aca="false">'PL.Khoi luong'!F138</f>
        <v>0</v>
      </c>
      <c r="G143" s="32" t="n">
        <f aca="false">E143+F143</f>
        <v>0</v>
      </c>
      <c r="H143" s="35" t="n">
        <v>25003382.0947923</v>
      </c>
      <c r="I143" s="14" t="n">
        <f aca="false">D143*H143</f>
        <v>111100028</v>
      </c>
      <c r="J143" s="14" t="n">
        <f aca="false">E143*H143</f>
        <v>0</v>
      </c>
      <c r="K143" s="14" t="n">
        <f aca="false">F143*H143</f>
        <v>0</v>
      </c>
      <c r="L143" s="14" t="n">
        <f aca="false">G143*H143</f>
        <v>0</v>
      </c>
      <c r="M143" s="27"/>
    </row>
    <row r="144" customFormat="false" ht="15" hidden="false" customHeight="false" outlineLevel="0" collapsed="false">
      <c r="A144" s="29" t="s">
        <v>309</v>
      </c>
      <c r="B144" s="27" t="s">
        <v>151</v>
      </c>
      <c r="C144" s="29" t="s">
        <v>106</v>
      </c>
      <c r="D144" s="34" t="n">
        <f aca="false">'PL.Khoi luong'!D139</f>
        <v>3.0613</v>
      </c>
      <c r="E144" s="34" t="n">
        <f aca="false">'PL.Khoi luong'!E139</f>
        <v>0</v>
      </c>
      <c r="F144" s="34" t="n">
        <f aca="false">'PL.Khoi luong'!F139</f>
        <v>0</v>
      </c>
      <c r="G144" s="32" t="n">
        <f aca="false">E144+F144</f>
        <v>0</v>
      </c>
      <c r="H144" s="35" t="n">
        <v>8587206.08891647</v>
      </c>
      <c r="I144" s="14" t="n">
        <f aca="false">D144*H144</f>
        <v>26288014</v>
      </c>
      <c r="J144" s="14" t="n">
        <f aca="false">E144*H144</f>
        <v>0</v>
      </c>
      <c r="K144" s="14" t="n">
        <f aca="false">F144*H144</f>
        <v>0</v>
      </c>
      <c r="L144" s="14" t="n">
        <f aca="false">G144*H144</f>
        <v>0</v>
      </c>
      <c r="M144" s="27"/>
    </row>
    <row r="145" customFormat="false" ht="15" hidden="false" customHeight="false" outlineLevel="0" collapsed="false">
      <c r="A145" s="29" t="s">
        <v>310</v>
      </c>
      <c r="B145" s="27" t="s">
        <v>311</v>
      </c>
      <c r="C145" s="29" t="s">
        <v>245</v>
      </c>
      <c r="D145" s="34" t="n">
        <f aca="false">'PL.Khoi luong'!D140</f>
        <v>0.3908</v>
      </c>
      <c r="E145" s="34" t="n">
        <f aca="false">'PL.Khoi luong'!E140</f>
        <v>0</v>
      </c>
      <c r="F145" s="34" t="n">
        <f aca="false">'PL.Khoi luong'!F140</f>
        <v>0</v>
      </c>
      <c r="G145" s="32" t="n">
        <f aca="false">E145+F145</f>
        <v>0</v>
      </c>
      <c r="H145" s="35" t="n">
        <v>52791740.0204708</v>
      </c>
      <c r="I145" s="14" t="n">
        <f aca="false">D145*H145</f>
        <v>20631012</v>
      </c>
      <c r="J145" s="14" t="n">
        <f aca="false">E145*H145</f>
        <v>0</v>
      </c>
      <c r="K145" s="14" t="n">
        <f aca="false">F145*H145</f>
        <v>0</v>
      </c>
      <c r="L145" s="14" t="n">
        <f aca="false">G145*H145</f>
        <v>0</v>
      </c>
      <c r="M145" s="27"/>
    </row>
    <row r="146" customFormat="false" ht="26.85" hidden="false" customHeight="false" outlineLevel="0" collapsed="false">
      <c r="A146" s="12" t="s">
        <v>312</v>
      </c>
      <c r="B146" s="13" t="s">
        <v>313</v>
      </c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customFormat="false" ht="15" hidden="false" customHeight="false" outlineLevel="0" collapsed="false">
      <c r="A147" s="12" t="s">
        <v>314</v>
      </c>
      <c r="B147" s="28" t="s">
        <v>315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customFormat="false" ht="15" hidden="false" customHeight="false" outlineLevel="0" collapsed="false">
      <c r="A148" s="29" t="s">
        <v>316</v>
      </c>
      <c r="B148" s="27" t="s">
        <v>317</v>
      </c>
      <c r="C148" s="29" t="s">
        <v>131</v>
      </c>
      <c r="D148" s="34" t="n">
        <f aca="false">'PL.Khoi luong'!D143</f>
        <v>5144.62</v>
      </c>
      <c r="E148" s="34" t="n">
        <f aca="false">'PL.Khoi luong'!E143</f>
        <v>0</v>
      </c>
      <c r="F148" s="34" t="n">
        <f aca="false">'PL.Khoi luong'!F143</f>
        <v>0</v>
      </c>
      <c r="G148" s="32" t="n">
        <f aca="false">E148+F148</f>
        <v>0</v>
      </c>
      <c r="H148" s="35" t="n">
        <v>3062.99998833733</v>
      </c>
      <c r="I148" s="14" t="n">
        <f aca="false">D148*H148</f>
        <v>15757971</v>
      </c>
      <c r="J148" s="14" t="n">
        <f aca="false">E148*H148</f>
        <v>0</v>
      </c>
      <c r="K148" s="14" t="n">
        <f aca="false">F148*H148</f>
        <v>0</v>
      </c>
      <c r="L148" s="14" t="n">
        <f aca="false">G148*H148</f>
        <v>0</v>
      </c>
      <c r="M148" s="27"/>
    </row>
    <row r="149" customFormat="false" ht="15" hidden="false" customHeight="false" outlineLevel="0" collapsed="false">
      <c r="A149" s="29" t="s">
        <v>318</v>
      </c>
      <c r="B149" s="27" t="s">
        <v>319</v>
      </c>
      <c r="C149" s="29" t="s">
        <v>116</v>
      </c>
      <c r="D149" s="34" t="n">
        <f aca="false">'PL.Khoi luong'!D144</f>
        <v>514.462</v>
      </c>
      <c r="E149" s="34" t="n">
        <f aca="false">'PL.Khoi luong'!E144</f>
        <v>0</v>
      </c>
      <c r="F149" s="34" t="n">
        <f aca="false">'PL.Khoi luong'!F144</f>
        <v>0</v>
      </c>
      <c r="G149" s="32" t="n">
        <f aca="false">E149+F149</f>
        <v>0</v>
      </c>
      <c r="H149" s="35" t="n">
        <v>1462108.00020215</v>
      </c>
      <c r="I149" s="14" t="n">
        <f aca="false">D149*H149</f>
        <v>752199005.999999</v>
      </c>
      <c r="J149" s="14" t="n">
        <f aca="false">E149*H149</f>
        <v>0</v>
      </c>
      <c r="K149" s="14" t="n">
        <f aca="false">F149*H149</f>
        <v>0</v>
      </c>
      <c r="L149" s="14" t="n">
        <f aca="false">G149*H149</f>
        <v>0</v>
      </c>
      <c r="M149" s="27"/>
    </row>
    <row r="150" customFormat="false" ht="15" hidden="false" customHeight="false" outlineLevel="0" collapsed="false">
      <c r="A150" s="29" t="s">
        <v>320</v>
      </c>
      <c r="B150" s="27" t="s">
        <v>321</v>
      </c>
      <c r="C150" s="29" t="s">
        <v>131</v>
      </c>
      <c r="D150" s="34" t="n">
        <f aca="false">'PL.Khoi luong'!D145</f>
        <v>5144.62</v>
      </c>
      <c r="E150" s="34" t="n">
        <f aca="false">'PL.Khoi luong'!E145</f>
        <v>0</v>
      </c>
      <c r="F150" s="34" t="n">
        <f aca="false">'PL.Khoi luong'!F145</f>
        <v>0</v>
      </c>
      <c r="G150" s="32" t="n">
        <f aca="false">E150+F150</f>
        <v>0</v>
      </c>
      <c r="H150" s="35" t="n">
        <v>222943.999945574</v>
      </c>
      <c r="I150" s="14" t="n">
        <f aca="false">D150*H150</f>
        <v>1146962161</v>
      </c>
      <c r="J150" s="14" t="n">
        <f aca="false">E150*H150</f>
        <v>0</v>
      </c>
      <c r="K150" s="14" t="n">
        <f aca="false">F150*H150</f>
        <v>0</v>
      </c>
      <c r="L150" s="14" t="n">
        <f aca="false">G150*H150</f>
        <v>0</v>
      </c>
      <c r="M150" s="27"/>
    </row>
    <row r="151" customFormat="false" ht="15" hidden="false" customHeight="false" outlineLevel="0" collapsed="false">
      <c r="A151" s="12" t="s">
        <v>322</v>
      </c>
      <c r="B151" s="28" t="s">
        <v>323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customFormat="false" ht="15" hidden="false" customHeight="false" outlineLevel="0" collapsed="false">
      <c r="A152" s="29" t="s">
        <v>324</v>
      </c>
      <c r="B152" s="27" t="s">
        <v>325</v>
      </c>
      <c r="C152" s="29" t="s">
        <v>106</v>
      </c>
      <c r="D152" s="34" t="n">
        <f aca="false">'PL.Khoi luong'!D147</f>
        <v>2.5056</v>
      </c>
      <c r="E152" s="34" t="n">
        <f aca="false">'PL.Khoi luong'!E147</f>
        <v>0</v>
      </c>
      <c r="F152" s="34" t="n">
        <f aca="false">'PL.Khoi luong'!F147</f>
        <v>0</v>
      </c>
      <c r="G152" s="32" t="n">
        <f aca="false">E152+F152</f>
        <v>0</v>
      </c>
      <c r="H152" s="35" t="n">
        <v>6286550.12771392</v>
      </c>
      <c r="I152" s="14" t="n">
        <f aca="false">D152*H152</f>
        <v>15751580</v>
      </c>
      <c r="J152" s="14" t="n">
        <f aca="false">E152*H152</f>
        <v>0</v>
      </c>
      <c r="K152" s="14" t="n">
        <f aca="false">F152*H152</f>
        <v>0</v>
      </c>
      <c r="L152" s="14" t="n">
        <f aca="false">G152*H152</f>
        <v>0</v>
      </c>
      <c r="M152" s="27"/>
    </row>
    <row r="153" customFormat="false" ht="15" hidden="false" customHeight="false" outlineLevel="0" collapsed="false">
      <c r="A153" s="29" t="s">
        <v>326</v>
      </c>
      <c r="B153" s="27" t="s">
        <v>327</v>
      </c>
      <c r="C153" s="29" t="s">
        <v>116</v>
      </c>
      <c r="D153" s="34" t="n">
        <f aca="false">'PL.Khoi luong'!D148</f>
        <v>32.57</v>
      </c>
      <c r="E153" s="34" t="n">
        <f aca="false">'PL.Khoi luong'!E148</f>
        <v>0</v>
      </c>
      <c r="F153" s="34" t="n">
        <f aca="false">'PL.Khoi luong'!F148</f>
        <v>0</v>
      </c>
      <c r="G153" s="32" t="n">
        <f aca="false">E153+F153</f>
        <v>0</v>
      </c>
      <c r="H153" s="35" t="n">
        <v>1462108.01350936</v>
      </c>
      <c r="I153" s="14" t="n">
        <f aca="false">D153*H153</f>
        <v>47620857.9999999</v>
      </c>
      <c r="J153" s="14" t="n">
        <f aca="false">E153*H153</f>
        <v>0</v>
      </c>
      <c r="K153" s="14" t="n">
        <f aca="false">F153*H153</f>
        <v>0</v>
      </c>
      <c r="L153" s="14" t="n">
        <f aca="false">G153*H153</f>
        <v>0</v>
      </c>
      <c r="M153" s="27"/>
    </row>
    <row r="154" customFormat="false" ht="15" hidden="false" customHeight="false" outlineLevel="0" collapsed="false">
      <c r="A154" s="29" t="s">
        <v>328</v>
      </c>
      <c r="B154" s="27" t="s">
        <v>329</v>
      </c>
      <c r="C154" s="29" t="s">
        <v>131</v>
      </c>
      <c r="D154" s="34" t="n">
        <f aca="false">'PL.Khoi luong'!D149</f>
        <v>325.73</v>
      </c>
      <c r="E154" s="34" t="n">
        <f aca="false">'PL.Khoi luong'!E149</f>
        <v>0</v>
      </c>
      <c r="F154" s="34" t="n">
        <f aca="false">'PL.Khoi luong'!F149</f>
        <v>0</v>
      </c>
      <c r="G154" s="32" t="n">
        <f aca="false">E154+F154</f>
        <v>0</v>
      </c>
      <c r="H154" s="35" t="n">
        <v>44400</v>
      </c>
      <c r="I154" s="14" t="n">
        <f aca="false">D154*H154</f>
        <v>14462412</v>
      </c>
      <c r="J154" s="14" t="n">
        <f aca="false">E154*H154</f>
        <v>0</v>
      </c>
      <c r="K154" s="14" t="n">
        <f aca="false">F154*H154</f>
        <v>0</v>
      </c>
      <c r="L154" s="14" t="n">
        <f aca="false">G154*H154</f>
        <v>0</v>
      </c>
      <c r="M154" s="27"/>
    </row>
    <row r="155" customFormat="false" ht="15" hidden="false" customHeight="false" outlineLevel="0" collapsed="false">
      <c r="A155" s="29" t="s">
        <v>330</v>
      </c>
      <c r="B155" s="27" t="s">
        <v>331</v>
      </c>
      <c r="C155" s="29" t="s">
        <v>106</v>
      </c>
      <c r="D155" s="34" t="n">
        <f aca="false">'PL.Khoi luong'!D150</f>
        <v>8.2686</v>
      </c>
      <c r="E155" s="34" t="n">
        <f aca="false">'PL.Khoi luong'!E150</f>
        <v>0</v>
      </c>
      <c r="F155" s="34" t="n">
        <f aca="false">'PL.Khoi luong'!F150</f>
        <v>0</v>
      </c>
      <c r="G155" s="32" t="n">
        <f aca="false">E155+F155</f>
        <v>0</v>
      </c>
      <c r="H155" s="35" t="n">
        <v>11534440.0503108</v>
      </c>
      <c r="I155" s="14" t="n">
        <f aca="false">D155*H155</f>
        <v>95373670.9999999</v>
      </c>
      <c r="J155" s="14" t="n">
        <f aca="false">E155*H155</f>
        <v>0</v>
      </c>
      <c r="K155" s="14" t="n">
        <f aca="false">F155*H155</f>
        <v>0</v>
      </c>
      <c r="L155" s="14" t="n">
        <f aca="false">G155*H155</f>
        <v>0</v>
      </c>
      <c r="M155" s="27"/>
    </row>
    <row r="156" customFormat="false" ht="15" hidden="false" customHeight="false" outlineLevel="0" collapsed="false">
      <c r="A156" s="29" t="s">
        <v>332</v>
      </c>
      <c r="B156" s="27" t="s">
        <v>333</v>
      </c>
      <c r="C156" s="29" t="s">
        <v>116</v>
      </c>
      <c r="D156" s="34" t="n">
        <f aca="false">'PL.Khoi luong'!D151</f>
        <v>57.63</v>
      </c>
      <c r="E156" s="34" t="n">
        <f aca="false">'PL.Khoi luong'!E151</f>
        <v>0</v>
      </c>
      <c r="F156" s="34" t="n">
        <f aca="false">'PL.Khoi luong'!F151</f>
        <v>0</v>
      </c>
      <c r="G156" s="32" t="n">
        <f aca="false">E156+F156</f>
        <v>0</v>
      </c>
      <c r="H156" s="35" t="n">
        <v>1721704.008329</v>
      </c>
      <c r="I156" s="14" t="n">
        <f aca="false">D156*H156</f>
        <v>99221802.0000003</v>
      </c>
      <c r="J156" s="14" t="n">
        <f aca="false">E156*H156</f>
        <v>0</v>
      </c>
      <c r="K156" s="14" t="n">
        <f aca="false">F156*H156</f>
        <v>0</v>
      </c>
      <c r="L156" s="14" t="n">
        <f aca="false">G156*H156</f>
        <v>0</v>
      </c>
      <c r="M156" s="27"/>
    </row>
    <row r="157" customFormat="false" ht="26.85" hidden="false" customHeight="false" outlineLevel="0" collapsed="false">
      <c r="A157" s="29" t="s">
        <v>334</v>
      </c>
      <c r="B157" s="27" t="s">
        <v>335</v>
      </c>
      <c r="C157" s="29" t="s">
        <v>160</v>
      </c>
      <c r="D157" s="34" t="n">
        <f aca="false">'PL.Khoi luong'!D152</f>
        <v>1253</v>
      </c>
      <c r="E157" s="34" t="n">
        <f aca="false">'PL.Khoi luong'!E152</f>
        <v>0</v>
      </c>
      <c r="F157" s="34" t="n">
        <f aca="false">'PL.Khoi luong'!F152</f>
        <v>0</v>
      </c>
      <c r="G157" s="32" t="n">
        <f aca="false">E157+F157</f>
        <v>0</v>
      </c>
      <c r="H157" s="35" t="n">
        <v>42993</v>
      </c>
      <c r="I157" s="14" t="n">
        <f aca="false">D157*H157</f>
        <v>53870229</v>
      </c>
      <c r="J157" s="14" t="n">
        <f aca="false">E157*H157</f>
        <v>0</v>
      </c>
      <c r="K157" s="14" t="n">
        <f aca="false">F157*H157</f>
        <v>0</v>
      </c>
      <c r="L157" s="14" t="n">
        <f aca="false">G157*H157</f>
        <v>0</v>
      </c>
      <c r="M157" s="27"/>
    </row>
    <row r="158" customFormat="false" ht="15" hidden="false" customHeight="false" outlineLevel="0" collapsed="false">
      <c r="A158" s="12" t="s">
        <v>336</v>
      </c>
      <c r="B158" s="28" t="s">
        <v>337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customFormat="false" ht="15" hidden="false" customHeight="false" outlineLevel="0" collapsed="false">
      <c r="A159" s="29" t="s">
        <v>338</v>
      </c>
      <c r="B159" s="27" t="s">
        <v>325</v>
      </c>
      <c r="C159" s="29" t="s">
        <v>106</v>
      </c>
      <c r="D159" s="34" t="n">
        <f aca="false">'PL.Khoi luong'!D154</f>
        <v>0.4498</v>
      </c>
      <c r="E159" s="34" t="n">
        <f aca="false">'PL.Khoi luong'!E154</f>
        <v>0</v>
      </c>
      <c r="F159" s="34" t="n">
        <f aca="false">'PL.Khoi luong'!F154</f>
        <v>0</v>
      </c>
      <c r="G159" s="32" t="n">
        <f aca="false">E159+F159</f>
        <v>0</v>
      </c>
      <c r="H159" s="35" t="n">
        <v>6286549.57759004</v>
      </c>
      <c r="I159" s="14" t="n">
        <f aca="false">D159*H159</f>
        <v>2827690</v>
      </c>
      <c r="J159" s="14" t="n">
        <f aca="false">E159*H159</f>
        <v>0</v>
      </c>
      <c r="K159" s="14" t="n">
        <f aca="false">F159*H159</f>
        <v>0</v>
      </c>
      <c r="L159" s="14" t="n">
        <f aca="false">G159*H159</f>
        <v>0</v>
      </c>
      <c r="M159" s="27"/>
    </row>
    <row r="160" customFormat="false" ht="15" hidden="false" customHeight="false" outlineLevel="0" collapsed="false">
      <c r="A160" s="29" t="s">
        <v>339</v>
      </c>
      <c r="B160" s="27" t="s">
        <v>327</v>
      </c>
      <c r="C160" s="29" t="s">
        <v>116</v>
      </c>
      <c r="D160" s="34" t="n">
        <f aca="false">'PL.Khoi luong'!D155</f>
        <v>5.85</v>
      </c>
      <c r="E160" s="34" t="n">
        <f aca="false">'PL.Khoi luong'!E155</f>
        <v>0</v>
      </c>
      <c r="F160" s="34" t="n">
        <f aca="false">'PL.Khoi luong'!F155</f>
        <v>0</v>
      </c>
      <c r="G160" s="32" t="n">
        <f aca="false">E160+F160</f>
        <v>0</v>
      </c>
      <c r="H160" s="35" t="n">
        <v>1462108.03418803</v>
      </c>
      <c r="I160" s="14" t="n">
        <f aca="false">D160*H160</f>
        <v>8553331.99999998</v>
      </c>
      <c r="J160" s="14" t="n">
        <f aca="false">E160*H160</f>
        <v>0</v>
      </c>
      <c r="K160" s="14" t="n">
        <f aca="false">F160*H160</f>
        <v>0</v>
      </c>
      <c r="L160" s="14" t="n">
        <f aca="false">G160*H160</f>
        <v>0</v>
      </c>
      <c r="M160" s="27"/>
    </row>
    <row r="161" customFormat="false" ht="15" hidden="false" customHeight="false" outlineLevel="0" collapsed="false">
      <c r="A161" s="29" t="s">
        <v>340</v>
      </c>
      <c r="B161" s="27" t="s">
        <v>329</v>
      </c>
      <c r="C161" s="29" t="s">
        <v>131</v>
      </c>
      <c r="D161" s="34" t="n">
        <f aca="false">'PL.Khoi luong'!D156</f>
        <v>58.47</v>
      </c>
      <c r="E161" s="34" t="n">
        <f aca="false">'PL.Khoi luong'!E156</f>
        <v>0</v>
      </c>
      <c r="F161" s="34" t="n">
        <f aca="false">'PL.Khoi luong'!F156</f>
        <v>0</v>
      </c>
      <c r="G161" s="32" t="n">
        <f aca="false">E161+F161</f>
        <v>0</v>
      </c>
      <c r="H161" s="35" t="n">
        <v>44400</v>
      </c>
      <c r="I161" s="14" t="n">
        <f aca="false">D161*H161</f>
        <v>2596068</v>
      </c>
      <c r="J161" s="14" t="n">
        <f aca="false">E161*H161</f>
        <v>0</v>
      </c>
      <c r="K161" s="14" t="n">
        <f aca="false">F161*H161</f>
        <v>0</v>
      </c>
      <c r="L161" s="14" t="n">
        <f aca="false">G161*H161</f>
        <v>0</v>
      </c>
      <c r="M161" s="27"/>
    </row>
    <row r="162" customFormat="false" ht="15" hidden="false" customHeight="false" outlineLevel="0" collapsed="false">
      <c r="A162" s="29" t="s">
        <v>341</v>
      </c>
      <c r="B162" s="27" t="s">
        <v>331</v>
      </c>
      <c r="C162" s="29" t="s">
        <v>106</v>
      </c>
      <c r="D162" s="34" t="n">
        <f aca="false">'PL.Khoi luong'!D157</f>
        <v>1.4843</v>
      </c>
      <c r="E162" s="34" t="n">
        <f aca="false">'PL.Khoi luong'!E157</f>
        <v>0</v>
      </c>
      <c r="F162" s="34" t="n">
        <f aca="false">'PL.Khoi luong'!F157</f>
        <v>0</v>
      </c>
      <c r="G162" s="32" t="n">
        <f aca="false">E162+F162</f>
        <v>0</v>
      </c>
      <c r="H162" s="35" t="n">
        <v>11534439.8032743</v>
      </c>
      <c r="I162" s="14" t="n">
        <f aca="false">D162*H162</f>
        <v>17120569</v>
      </c>
      <c r="J162" s="14" t="n">
        <f aca="false">E162*H162</f>
        <v>0</v>
      </c>
      <c r="K162" s="14" t="n">
        <f aca="false">F162*H162</f>
        <v>0</v>
      </c>
      <c r="L162" s="14" t="n">
        <f aca="false">G162*H162</f>
        <v>0</v>
      </c>
      <c r="M162" s="27"/>
    </row>
    <row r="163" customFormat="false" ht="15" hidden="false" customHeight="false" outlineLevel="0" collapsed="false">
      <c r="A163" s="29" t="s">
        <v>342</v>
      </c>
      <c r="B163" s="27" t="s">
        <v>333</v>
      </c>
      <c r="C163" s="29" t="s">
        <v>116</v>
      </c>
      <c r="D163" s="34" t="n">
        <f aca="false">'PL.Khoi luong'!D158</f>
        <v>10.68</v>
      </c>
      <c r="E163" s="34" t="n">
        <f aca="false">'PL.Khoi luong'!E158</f>
        <v>0</v>
      </c>
      <c r="F163" s="34" t="n">
        <f aca="false">'PL.Khoi luong'!F158</f>
        <v>0</v>
      </c>
      <c r="G163" s="32" t="n">
        <f aca="false">E163+F163</f>
        <v>0</v>
      </c>
      <c r="H163" s="35" t="n">
        <v>1721704.02621723</v>
      </c>
      <c r="I163" s="14" t="n">
        <f aca="false">D163*H163</f>
        <v>18387799</v>
      </c>
      <c r="J163" s="14" t="n">
        <f aca="false">E163*H163</f>
        <v>0</v>
      </c>
      <c r="K163" s="14" t="n">
        <f aca="false">F163*H163</f>
        <v>0</v>
      </c>
      <c r="L163" s="14" t="n">
        <f aca="false">G163*H163</f>
        <v>0</v>
      </c>
      <c r="M163" s="27"/>
    </row>
    <row r="164" customFormat="false" ht="26.85" hidden="false" customHeight="false" outlineLevel="0" collapsed="false">
      <c r="A164" s="29" t="s">
        <v>343</v>
      </c>
      <c r="B164" s="27" t="s">
        <v>335</v>
      </c>
      <c r="C164" s="29" t="s">
        <v>160</v>
      </c>
      <c r="D164" s="34" t="n">
        <f aca="false">'PL.Khoi luong'!D159</f>
        <v>562</v>
      </c>
      <c r="E164" s="34" t="n">
        <f aca="false">'PL.Khoi luong'!E159</f>
        <v>0</v>
      </c>
      <c r="F164" s="34" t="n">
        <f aca="false">'PL.Khoi luong'!F159</f>
        <v>0</v>
      </c>
      <c r="G164" s="32" t="n">
        <f aca="false">E164+F164</f>
        <v>0</v>
      </c>
      <c r="H164" s="35" t="n">
        <v>42993</v>
      </c>
      <c r="I164" s="14" t="n">
        <f aca="false">D164*H164</f>
        <v>24162066</v>
      </c>
      <c r="J164" s="14" t="n">
        <f aca="false">E164*H164</f>
        <v>0</v>
      </c>
      <c r="K164" s="14" t="n">
        <f aca="false">F164*H164</f>
        <v>0</v>
      </c>
      <c r="L164" s="14" t="n">
        <f aca="false">G164*H164</f>
        <v>0</v>
      </c>
      <c r="M164" s="27"/>
    </row>
    <row r="165" customFormat="false" ht="15" hidden="false" customHeight="false" outlineLevel="0" collapsed="false">
      <c r="A165" s="12" t="s">
        <v>344</v>
      </c>
      <c r="B165" s="28" t="s">
        <v>345</v>
      </c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customFormat="false" ht="15" hidden="false" customHeight="false" outlineLevel="0" collapsed="false">
      <c r="A166" s="29" t="s">
        <v>346</v>
      </c>
      <c r="B166" s="27" t="s">
        <v>347</v>
      </c>
      <c r="C166" s="29" t="s">
        <v>106</v>
      </c>
      <c r="D166" s="34" t="n">
        <f aca="false">'PL.Khoi luong'!D161</f>
        <v>2.3692</v>
      </c>
      <c r="E166" s="34" t="n">
        <f aca="false">'PL.Khoi luong'!E161</f>
        <v>0</v>
      </c>
      <c r="F166" s="34" t="n">
        <f aca="false">'PL.Khoi luong'!F161</f>
        <v>0</v>
      </c>
      <c r="G166" s="32" t="n">
        <f aca="false">E166+F166</f>
        <v>0</v>
      </c>
      <c r="H166" s="35" t="n">
        <v>6286549.89025831</v>
      </c>
      <c r="I166" s="14" t="n">
        <f aca="false">D166*H166</f>
        <v>14894094</v>
      </c>
      <c r="J166" s="14" t="n">
        <f aca="false">E166*H166</f>
        <v>0</v>
      </c>
      <c r="K166" s="14" t="n">
        <f aca="false">F166*H166</f>
        <v>0</v>
      </c>
      <c r="L166" s="14" t="n">
        <f aca="false">G166*H166</f>
        <v>0</v>
      </c>
      <c r="M166" s="27"/>
    </row>
    <row r="167" customFormat="false" ht="15" hidden="false" customHeight="false" outlineLevel="0" collapsed="false">
      <c r="A167" s="29" t="s">
        <v>348</v>
      </c>
      <c r="B167" s="27" t="s">
        <v>349</v>
      </c>
      <c r="C167" s="29" t="s">
        <v>116</v>
      </c>
      <c r="D167" s="34" t="n">
        <f aca="false">'PL.Khoi luong'!D162</f>
        <v>29.61</v>
      </c>
      <c r="E167" s="34" t="n">
        <f aca="false">'PL.Khoi luong'!E162</f>
        <v>0</v>
      </c>
      <c r="F167" s="34" t="n">
        <f aca="false">'PL.Khoi luong'!F162</f>
        <v>0</v>
      </c>
      <c r="G167" s="32" t="n">
        <f aca="false">E167+F167</f>
        <v>0</v>
      </c>
      <c r="H167" s="35" t="n">
        <v>1462108.00405268</v>
      </c>
      <c r="I167" s="14" t="n">
        <f aca="false">D167*H167</f>
        <v>43293017.9999999</v>
      </c>
      <c r="J167" s="14" t="n">
        <f aca="false">E167*H167</f>
        <v>0</v>
      </c>
      <c r="K167" s="14" t="n">
        <f aca="false">F167*H167</f>
        <v>0</v>
      </c>
      <c r="L167" s="14" t="n">
        <f aca="false">G167*H167</f>
        <v>0</v>
      </c>
      <c r="M167" s="27"/>
    </row>
    <row r="168" customFormat="false" ht="26.85" hidden="false" customHeight="false" outlineLevel="0" collapsed="false">
      <c r="A168" s="29" t="s">
        <v>350</v>
      </c>
      <c r="B168" s="27" t="s">
        <v>351</v>
      </c>
      <c r="C168" s="29" t="s">
        <v>116</v>
      </c>
      <c r="D168" s="34" t="n">
        <f aca="false">'PL.Khoi luong'!D163</f>
        <v>26.06</v>
      </c>
      <c r="E168" s="34" t="n">
        <f aca="false">'PL.Khoi luong'!E163</f>
        <v>0</v>
      </c>
      <c r="F168" s="34" t="n">
        <f aca="false">'PL.Khoi luong'!F163</f>
        <v>0</v>
      </c>
      <c r="G168" s="32" t="n">
        <f aca="false">E168+F168</f>
        <v>0</v>
      </c>
      <c r="H168" s="35" t="n">
        <v>1568219.9923254</v>
      </c>
      <c r="I168" s="14" t="n">
        <f aca="false">D168*H168</f>
        <v>40867812.9999999</v>
      </c>
      <c r="J168" s="14" t="n">
        <f aca="false">E168*H168</f>
        <v>0</v>
      </c>
      <c r="K168" s="14" t="n">
        <f aca="false">F168*H168</f>
        <v>0</v>
      </c>
      <c r="L168" s="14" t="n">
        <f aca="false">G168*H168</f>
        <v>0</v>
      </c>
      <c r="M168" s="27"/>
    </row>
    <row r="169" customFormat="false" ht="15" hidden="false" customHeight="false" outlineLevel="0" collapsed="false">
      <c r="A169" s="29" t="s">
        <v>352</v>
      </c>
      <c r="B169" s="27" t="s">
        <v>353</v>
      </c>
      <c r="C169" s="29" t="s">
        <v>131</v>
      </c>
      <c r="D169" s="34" t="n">
        <f aca="false">'PL.Khoi luong'!D164</f>
        <v>355.38</v>
      </c>
      <c r="E169" s="34" t="n">
        <f aca="false">'PL.Khoi luong'!E164</f>
        <v>0</v>
      </c>
      <c r="F169" s="34" t="n">
        <f aca="false">'PL.Khoi luong'!F164</f>
        <v>0</v>
      </c>
      <c r="G169" s="32" t="n">
        <f aca="false">E169+F169</f>
        <v>0</v>
      </c>
      <c r="H169" s="35" t="n">
        <v>113552.999606056</v>
      </c>
      <c r="I169" s="14" t="n">
        <f aca="false">D169*H169</f>
        <v>40354465.0000002</v>
      </c>
      <c r="J169" s="14" t="n">
        <f aca="false">E169*H169</f>
        <v>0</v>
      </c>
      <c r="K169" s="14" t="n">
        <f aca="false">F169*H169</f>
        <v>0</v>
      </c>
      <c r="L169" s="14" t="n">
        <f aca="false">G169*H169</f>
        <v>0</v>
      </c>
      <c r="M169" s="27"/>
    </row>
    <row r="170" customFormat="false" ht="15" hidden="false" customHeight="false" outlineLevel="0" collapsed="false">
      <c r="A170" s="12" t="s">
        <v>354</v>
      </c>
      <c r="B170" s="28" t="s">
        <v>355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customFormat="false" ht="15" hidden="false" customHeight="false" outlineLevel="0" collapsed="false">
      <c r="A171" s="29" t="s">
        <v>356</v>
      </c>
      <c r="B171" s="27" t="s">
        <v>357</v>
      </c>
      <c r="C171" s="29" t="s">
        <v>106</v>
      </c>
      <c r="D171" s="34" t="n">
        <f aca="false">'PL.Khoi luong'!D166</f>
        <v>0.7008</v>
      </c>
      <c r="E171" s="34" t="n">
        <f aca="false">'PL.Khoi luong'!E166</f>
        <v>0</v>
      </c>
      <c r="F171" s="34" t="n">
        <f aca="false">'PL.Khoi luong'!F166</f>
        <v>0</v>
      </c>
      <c r="G171" s="32" t="n">
        <f aca="false">E171+F171</f>
        <v>0</v>
      </c>
      <c r="H171" s="35" t="n">
        <v>6286549.65753425</v>
      </c>
      <c r="I171" s="14" t="n">
        <f aca="false">D171*H171</f>
        <v>4405614</v>
      </c>
      <c r="J171" s="14" t="n">
        <f aca="false">E171*H171</f>
        <v>0</v>
      </c>
      <c r="K171" s="14" t="n">
        <f aca="false">F171*H171</f>
        <v>0</v>
      </c>
      <c r="L171" s="14" t="n">
        <f aca="false">G171*H171</f>
        <v>0</v>
      </c>
      <c r="M171" s="27"/>
    </row>
    <row r="172" customFormat="false" ht="15" hidden="false" customHeight="false" outlineLevel="0" collapsed="false">
      <c r="A172" s="29" t="s">
        <v>358</v>
      </c>
      <c r="B172" s="27" t="s">
        <v>275</v>
      </c>
      <c r="C172" s="29" t="s">
        <v>116</v>
      </c>
      <c r="D172" s="34" t="n">
        <f aca="false">'PL.Khoi luong'!D167</f>
        <v>1.97</v>
      </c>
      <c r="E172" s="34" t="n">
        <f aca="false">'PL.Khoi luong'!E167</f>
        <v>0</v>
      </c>
      <c r="F172" s="34" t="n">
        <f aca="false">'PL.Khoi luong'!F167</f>
        <v>0</v>
      </c>
      <c r="G172" s="32" t="n">
        <f aca="false">E172+F172</f>
        <v>0</v>
      </c>
      <c r="H172" s="35" t="n">
        <v>1462108.12182741</v>
      </c>
      <c r="I172" s="14" t="n">
        <f aca="false">D172*H172</f>
        <v>2880353</v>
      </c>
      <c r="J172" s="14" t="n">
        <f aca="false">E172*H172</f>
        <v>0</v>
      </c>
      <c r="K172" s="14" t="n">
        <f aca="false">F172*H172</f>
        <v>0</v>
      </c>
      <c r="L172" s="14" t="n">
        <f aca="false">G172*H172</f>
        <v>0</v>
      </c>
      <c r="M172" s="27"/>
    </row>
    <row r="173" customFormat="false" ht="15" hidden="false" customHeight="false" outlineLevel="0" collapsed="false">
      <c r="A173" s="29" t="s">
        <v>359</v>
      </c>
      <c r="B173" s="27" t="s">
        <v>360</v>
      </c>
      <c r="C173" s="29" t="s">
        <v>116</v>
      </c>
      <c r="D173" s="34" t="n">
        <f aca="false">'PL.Khoi luong'!D168</f>
        <v>6.42</v>
      </c>
      <c r="E173" s="34" t="n">
        <f aca="false">'PL.Khoi luong'!E168</f>
        <v>0</v>
      </c>
      <c r="F173" s="34" t="n">
        <f aca="false">'PL.Khoi luong'!F168</f>
        <v>0</v>
      </c>
      <c r="G173" s="32" t="n">
        <f aca="false">E173+F173</f>
        <v>0</v>
      </c>
      <c r="H173" s="35" t="n">
        <v>1516740.96573209</v>
      </c>
      <c r="I173" s="14" t="n">
        <f aca="false">D173*H173</f>
        <v>9737477.00000002</v>
      </c>
      <c r="J173" s="14" t="n">
        <f aca="false">E173*H173</f>
        <v>0</v>
      </c>
      <c r="K173" s="14" t="n">
        <f aca="false">F173*H173</f>
        <v>0</v>
      </c>
      <c r="L173" s="14" t="n">
        <f aca="false">G173*H173</f>
        <v>0</v>
      </c>
      <c r="M173" s="27"/>
    </row>
    <row r="174" customFormat="false" ht="15" hidden="false" customHeight="false" outlineLevel="0" collapsed="false">
      <c r="A174" s="29" t="s">
        <v>361</v>
      </c>
      <c r="B174" s="27" t="s">
        <v>362</v>
      </c>
      <c r="C174" s="29" t="s">
        <v>131</v>
      </c>
      <c r="D174" s="34" t="n">
        <f aca="false">'PL.Khoi luong'!D169</f>
        <v>32.12</v>
      </c>
      <c r="E174" s="34" t="n">
        <f aca="false">'PL.Khoi luong'!E169</f>
        <v>0</v>
      </c>
      <c r="F174" s="34" t="n">
        <f aca="false">'PL.Khoi luong'!F169</f>
        <v>0</v>
      </c>
      <c r="G174" s="32" t="n">
        <f aca="false">E174+F174</f>
        <v>0</v>
      </c>
      <c r="H174" s="35" t="n">
        <v>44400</v>
      </c>
      <c r="I174" s="14" t="n">
        <f aca="false">D174*H174</f>
        <v>1426128</v>
      </c>
      <c r="J174" s="14" t="n">
        <f aca="false">E174*H174</f>
        <v>0</v>
      </c>
      <c r="K174" s="14" t="n">
        <f aca="false">F174*H174</f>
        <v>0</v>
      </c>
      <c r="L174" s="14" t="n">
        <f aca="false">G174*H174</f>
        <v>0</v>
      </c>
      <c r="M174" s="27"/>
    </row>
    <row r="175" customFormat="false" ht="15" hidden="false" customHeight="false" outlineLevel="0" collapsed="false">
      <c r="A175" s="12" t="s">
        <v>363</v>
      </c>
      <c r="B175" s="28" t="s">
        <v>364</v>
      </c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customFormat="false" ht="15" hidden="false" customHeight="false" outlineLevel="0" collapsed="false">
      <c r="A176" s="29" t="s">
        <v>365</v>
      </c>
      <c r="B176" s="27" t="s">
        <v>115</v>
      </c>
      <c r="C176" s="29" t="s">
        <v>116</v>
      </c>
      <c r="D176" s="34" t="n">
        <f aca="false">'PL.Khoi luong'!D171</f>
        <v>149.8904</v>
      </c>
      <c r="E176" s="34" t="n">
        <f aca="false">'PL.Khoi luong'!E171</f>
        <v>0</v>
      </c>
      <c r="F176" s="34" t="n">
        <f aca="false">'PL.Khoi luong'!F171</f>
        <v>0</v>
      </c>
      <c r="G176" s="32" t="n">
        <f aca="false">E176+F176</f>
        <v>0</v>
      </c>
      <c r="H176" s="35" t="n">
        <v>134384.997304697</v>
      </c>
      <c r="I176" s="14" t="n">
        <f aca="false">D176*H176</f>
        <v>20143021</v>
      </c>
      <c r="J176" s="14" t="n">
        <f aca="false">E176*H176</f>
        <v>0</v>
      </c>
      <c r="K176" s="14" t="n">
        <f aca="false">F176*H176</f>
        <v>0</v>
      </c>
      <c r="L176" s="14" t="n">
        <f aca="false">G176*H176</f>
        <v>0</v>
      </c>
      <c r="M176" s="27"/>
    </row>
    <row r="177" customFormat="false" ht="15" hidden="false" customHeight="false" outlineLevel="0" collapsed="false">
      <c r="A177" s="29" t="s">
        <v>366</v>
      </c>
      <c r="B177" s="27" t="s">
        <v>118</v>
      </c>
      <c r="C177" s="29" t="s">
        <v>111</v>
      </c>
      <c r="D177" s="34" t="n">
        <f aca="false">'PL.Khoi luong'!D172</f>
        <v>1.0679</v>
      </c>
      <c r="E177" s="34" t="n">
        <f aca="false">'PL.Khoi luong'!E172</f>
        <v>0</v>
      </c>
      <c r="F177" s="34" t="n">
        <f aca="false">'PL.Khoi luong'!F172</f>
        <v>0</v>
      </c>
      <c r="G177" s="32" t="n">
        <f aca="false">E177+F177</f>
        <v>0</v>
      </c>
      <c r="H177" s="35" t="n">
        <v>2017177.63835565</v>
      </c>
      <c r="I177" s="14" t="n">
        <f aca="false">D177*H177</f>
        <v>2154144</v>
      </c>
      <c r="J177" s="14" t="n">
        <f aca="false">E177*H177</f>
        <v>0</v>
      </c>
      <c r="K177" s="14" t="n">
        <f aca="false">F177*H177</f>
        <v>0</v>
      </c>
      <c r="L177" s="14" t="n">
        <f aca="false">G177*H177</f>
        <v>0</v>
      </c>
      <c r="M177" s="27"/>
    </row>
    <row r="178" customFormat="false" ht="15" hidden="false" customHeight="false" outlineLevel="0" collapsed="false">
      <c r="A178" s="29" t="s">
        <v>367</v>
      </c>
      <c r="B178" s="27" t="s">
        <v>368</v>
      </c>
      <c r="C178" s="29" t="s">
        <v>111</v>
      </c>
      <c r="D178" s="34" t="n">
        <f aca="false">'PL.Khoi luong'!D173</f>
        <v>0.6407</v>
      </c>
      <c r="E178" s="34" t="n">
        <f aca="false">'PL.Khoi luong'!E173</f>
        <v>0</v>
      </c>
      <c r="F178" s="34" t="n">
        <f aca="false">'PL.Khoi luong'!F173</f>
        <v>0</v>
      </c>
      <c r="G178" s="32" t="n">
        <f aca="false">E178+F178</f>
        <v>0</v>
      </c>
      <c r="H178" s="35" t="n">
        <v>48487271.7340409</v>
      </c>
      <c r="I178" s="14" t="n">
        <f aca="false">D178*H178</f>
        <v>31065795</v>
      </c>
      <c r="J178" s="14" t="n">
        <f aca="false">E178*H178</f>
        <v>0</v>
      </c>
      <c r="K178" s="14" t="n">
        <f aca="false">F178*H178</f>
        <v>0</v>
      </c>
      <c r="L178" s="14" t="n">
        <f aca="false">G178*H178</f>
        <v>0</v>
      </c>
      <c r="M178" s="27"/>
    </row>
    <row r="179" customFormat="false" ht="15" hidden="false" customHeight="false" outlineLevel="0" collapsed="false">
      <c r="A179" s="29" t="s">
        <v>369</v>
      </c>
      <c r="B179" s="27" t="s">
        <v>370</v>
      </c>
      <c r="C179" s="29" t="s">
        <v>111</v>
      </c>
      <c r="D179" s="34" t="n">
        <f aca="false">'PL.Khoi luong'!D174</f>
        <v>0.5339</v>
      </c>
      <c r="E179" s="34" t="n">
        <f aca="false">'PL.Khoi luong'!E174</f>
        <v>0</v>
      </c>
      <c r="F179" s="34" t="n">
        <f aca="false">'PL.Khoi luong'!F174</f>
        <v>0</v>
      </c>
      <c r="G179" s="32" t="n">
        <f aca="false">E179+F179</f>
        <v>0</v>
      </c>
      <c r="H179" s="35" t="n">
        <v>53974809.8894924</v>
      </c>
      <c r="I179" s="14" t="n">
        <f aca="false">D179*H179</f>
        <v>28817151</v>
      </c>
      <c r="J179" s="14" t="n">
        <f aca="false">E179*H179</f>
        <v>0</v>
      </c>
      <c r="K179" s="14" t="n">
        <f aca="false">F179*H179</f>
        <v>0</v>
      </c>
      <c r="L179" s="14" t="n">
        <f aca="false">G179*H179</f>
        <v>0</v>
      </c>
      <c r="M179" s="27"/>
    </row>
    <row r="180" customFormat="false" ht="15" hidden="false" customHeight="false" outlineLevel="0" collapsed="false">
      <c r="A180" s="29" t="s">
        <v>371</v>
      </c>
      <c r="B180" s="27" t="s">
        <v>372</v>
      </c>
      <c r="C180" s="29" t="s">
        <v>116</v>
      </c>
      <c r="D180" s="34" t="n">
        <f aca="false">'PL.Khoi luong'!D175</f>
        <v>17.8</v>
      </c>
      <c r="E180" s="34" t="n">
        <f aca="false">'PL.Khoi luong'!E175</f>
        <v>0</v>
      </c>
      <c r="F180" s="34" t="n">
        <f aca="false">'PL.Khoi luong'!F175</f>
        <v>0</v>
      </c>
      <c r="G180" s="32" t="n">
        <f aca="false">E180+F180</f>
        <v>0</v>
      </c>
      <c r="H180" s="35" t="n">
        <v>1558541.01123596</v>
      </c>
      <c r="I180" s="14" t="n">
        <f aca="false">D180*H180</f>
        <v>27742030.0000001</v>
      </c>
      <c r="J180" s="14" t="n">
        <f aca="false">E180*H180</f>
        <v>0</v>
      </c>
      <c r="K180" s="14" t="n">
        <f aca="false">F180*H180</f>
        <v>0</v>
      </c>
      <c r="L180" s="14" t="n">
        <f aca="false">G180*H180</f>
        <v>0</v>
      </c>
      <c r="M180" s="27"/>
    </row>
    <row r="181" customFormat="false" ht="15" hidden="false" customHeight="false" outlineLevel="0" collapsed="false">
      <c r="A181" s="12" t="s">
        <v>373</v>
      </c>
      <c r="B181" s="13" t="s">
        <v>374</v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customFormat="false" ht="15" hidden="false" customHeight="false" outlineLevel="0" collapsed="false">
      <c r="A182" s="12" t="s">
        <v>74</v>
      </c>
      <c r="B182" s="28" t="s">
        <v>375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customFormat="false" ht="15" hidden="false" customHeight="false" outlineLevel="0" collapsed="false">
      <c r="A183" s="29" t="s">
        <v>376</v>
      </c>
      <c r="B183" s="27" t="s">
        <v>377</v>
      </c>
      <c r="C183" s="29" t="s">
        <v>116</v>
      </c>
      <c r="D183" s="34" t="n">
        <f aca="false">'PL.Khoi luong'!D178</f>
        <v>40.16</v>
      </c>
      <c r="E183" s="34" t="n">
        <f aca="false">'PL.Khoi luong'!E178</f>
        <v>0</v>
      </c>
      <c r="F183" s="34" t="n">
        <f aca="false">'PL.Khoi luong'!F178</f>
        <v>0</v>
      </c>
      <c r="G183" s="32" t="n">
        <f aca="false">E183+F183</f>
        <v>0</v>
      </c>
      <c r="H183" s="35" t="n">
        <v>2223293.00298805</v>
      </c>
      <c r="I183" s="14" t="n">
        <f aca="false">D183*H183</f>
        <v>89287447.0000001</v>
      </c>
      <c r="J183" s="14" t="n">
        <f aca="false">E183*H183</f>
        <v>0</v>
      </c>
      <c r="K183" s="14" t="n">
        <f aca="false">F183*H183</f>
        <v>0</v>
      </c>
      <c r="L183" s="14" t="n">
        <f aca="false">G183*H183</f>
        <v>0</v>
      </c>
      <c r="M183" s="27"/>
    </row>
    <row r="184" customFormat="false" ht="15" hidden="false" customHeight="false" outlineLevel="0" collapsed="false">
      <c r="A184" s="29" t="s">
        <v>378</v>
      </c>
      <c r="B184" s="27" t="s">
        <v>379</v>
      </c>
      <c r="C184" s="29" t="s">
        <v>111</v>
      </c>
      <c r="D184" s="34" t="n">
        <f aca="false">'PL.Khoi luong'!D179</f>
        <v>0.4076</v>
      </c>
      <c r="E184" s="34" t="n">
        <f aca="false">'PL.Khoi luong'!E179</f>
        <v>0</v>
      </c>
      <c r="F184" s="34" t="n">
        <f aca="false">'PL.Khoi luong'!F179</f>
        <v>0</v>
      </c>
      <c r="G184" s="32" t="n">
        <f aca="false">E184+F184</f>
        <v>0</v>
      </c>
      <c r="H184" s="35" t="n">
        <v>34573461.7271835</v>
      </c>
      <c r="I184" s="14" t="n">
        <f aca="false">D184*H184</f>
        <v>14092143</v>
      </c>
      <c r="J184" s="14" t="n">
        <f aca="false">E184*H184</f>
        <v>0</v>
      </c>
      <c r="K184" s="14" t="n">
        <f aca="false">F184*H184</f>
        <v>0</v>
      </c>
      <c r="L184" s="14" t="n">
        <f aca="false">G184*H184</f>
        <v>0</v>
      </c>
      <c r="M184" s="27"/>
    </row>
    <row r="185" customFormat="false" ht="15" hidden="false" customHeight="false" outlineLevel="0" collapsed="false">
      <c r="A185" s="29" t="s">
        <v>380</v>
      </c>
      <c r="B185" s="27" t="s">
        <v>381</v>
      </c>
      <c r="C185" s="29" t="s">
        <v>149</v>
      </c>
      <c r="D185" s="34" t="n">
        <f aca="false">'PL.Khoi luong'!D180</f>
        <v>1.8228</v>
      </c>
      <c r="E185" s="34" t="n">
        <f aca="false">'PL.Khoi luong'!E180</f>
        <v>0</v>
      </c>
      <c r="F185" s="34" t="n">
        <f aca="false">'PL.Khoi luong'!F180</f>
        <v>0</v>
      </c>
      <c r="G185" s="32" t="n">
        <f aca="false">E185+F185</f>
        <v>0</v>
      </c>
      <c r="H185" s="35" t="n">
        <v>44423755.2117621</v>
      </c>
      <c r="I185" s="14" t="n">
        <f aca="false">D185*H185</f>
        <v>80975621</v>
      </c>
      <c r="J185" s="14" t="n">
        <f aca="false">E185*H185</f>
        <v>0</v>
      </c>
      <c r="K185" s="14" t="n">
        <f aca="false">F185*H185</f>
        <v>0</v>
      </c>
      <c r="L185" s="14" t="n">
        <f aca="false">G185*H185</f>
        <v>0</v>
      </c>
      <c r="M185" s="27"/>
    </row>
    <row r="186" customFormat="false" ht="15" hidden="false" customHeight="false" outlineLevel="0" collapsed="false">
      <c r="A186" s="29" t="s">
        <v>382</v>
      </c>
      <c r="B186" s="27" t="s">
        <v>383</v>
      </c>
      <c r="C186" s="29" t="s">
        <v>245</v>
      </c>
      <c r="D186" s="34" t="n">
        <f aca="false">'PL.Khoi luong'!D181</f>
        <v>1.792</v>
      </c>
      <c r="E186" s="34" t="n">
        <f aca="false">'PL.Khoi luong'!E181</f>
        <v>0</v>
      </c>
      <c r="F186" s="34" t="n">
        <f aca="false">'PL.Khoi luong'!F181</f>
        <v>0</v>
      </c>
      <c r="G186" s="32" t="n">
        <f aca="false">E186+F186</f>
        <v>0</v>
      </c>
      <c r="H186" s="35" t="n">
        <v>2377500</v>
      </c>
      <c r="I186" s="14" t="n">
        <f aca="false">D186*H186</f>
        <v>4260480</v>
      </c>
      <c r="J186" s="14" t="n">
        <f aca="false">E186*H186</f>
        <v>0</v>
      </c>
      <c r="K186" s="14" t="n">
        <f aca="false">F186*H186</f>
        <v>0</v>
      </c>
      <c r="L186" s="14" t="n">
        <f aca="false">G186*H186</f>
        <v>0</v>
      </c>
      <c r="M186" s="27"/>
    </row>
    <row r="187" customFormat="false" ht="15" hidden="false" customHeight="false" outlineLevel="0" collapsed="false">
      <c r="A187" s="29" t="s">
        <v>384</v>
      </c>
      <c r="B187" s="27" t="s">
        <v>385</v>
      </c>
      <c r="C187" s="29" t="s">
        <v>149</v>
      </c>
      <c r="D187" s="34" t="n">
        <f aca="false">'PL.Khoi luong'!D182</f>
        <v>1.751</v>
      </c>
      <c r="E187" s="34" t="n">
        <f aca="false">'PL.Khoi luong'!E182</f>
        <v>0</v>
      </c>
      <c r="F187" s="34" t="n">
        <f aca="false">'PL.Khoi luong'!F182</f>
        <v>0</v>
      </c>
      <c r="G187" s="32" t="n">
        <f aca="false">E187+F187</f>
        <v>0</v>
      </c>
      <c r="H187" s="35" t="n">
        <v>31129888.0639635</v>
      </c>
      <c r="I187" s="14" t="n">
        <f aca="false">D187*H187</f>
        <v>54508434.0000001</v>
      </c>
      <c r="J187" s="14" t="n">
        <f aca="false">E187*H187</f>
        <v>0</v>
      </c>
      <c r="K187" s="14" t="n">
        <f aca="false">F187*H187</f>
        <v>0</v>
      </c>
      <c r="L187" s="14" t="n">
        <f aca="false">G187*H187</f>
        <v>0</v>
      </c>
      <c r="M187" s="27"/>
    </row>
    <row r="188" customFormat="false" ht="15" hidden="false" customHeight="false" outlineLevel="0" collapsed="false">
      <c r="A188" s="29" t="s">
        <v>386</v>
      </c>
      <c r="B188" s="27" t="s">
        <v>387</v>
      </c>
      <c r="C188" s="29" t="s">
        <v>149</v>
      </c>
      <c r="D188" s="34" t="n">
        <f aca="false">'PL.Khoi luong'!D183</f>
        <v>1.751</v>
      </c>
      <c r="E188" s="34" t="n">
        <f aca="false">'PL.Khoi luong'!E183</f>
        <v>0</v>
      </c>
      <c r="F188" s="34" t="n">
        <f aca="false">'PL.Khoi luong'!F183</f>
        <v>0</v>
      </c>
      <c r="G188" s="32" t="n">
        <f aca="false">E188+F188</f>
        <v>0</v>
      </c>
      <c r="H188" s="35" t="n">
        <v>3745533.98058252</v>
      </c>
      <c r="I188" s="14" t="n">
        <f aca="false">D188*H188</f>
        <v>6558429.99999999</v>
      </c>
      <c r="J188" s="14" t="n">
        <f aca="false">E188*H188</f>
        <v>0</v>
      </c>
      <c r="K188" s="14" t="n">
        <f aca="false">F188*H188</f>
        <v>0</v>
      </c>
      <c r="L188" s="14" t="n">
        <f aca="false">G188*H188</f>
        <v>0</v>
      </c>
      <c r="M188" s="27"/>
    </row>
    <row r="189" customFormat="false" ht="15" hidden="false" customHeight="false" outlineLevel="0" collapsed="false">
      <c r="A189" s="29" t="s">
        <v>388</v>
      </c>
      <c r="B189" s="27" t="s">
        <v>389</v>
      </c>
      <c r="C189" s="29" t="s">
        <v>131</v>
      </c>
      <c r="D189" s="34" t="n">
        <f aca="false">'PL.Khoi luong'!D184</f>
        <v>7.68</v>
      </c>
      <c r="E189" s="34" t="n">
        <f aca="false">'PL.Khoi luong'!E184</f>
        <v>0</v>
      </c>
      <c r="F189" s="34" t="n">
        <f aca="false">'PL.Khoi luong'!F184</f>
        <v>0</v>
      </c>
      <c r="G189" s="32" t="n">
        <f aca="false">E189+F189</f>
        <v>0</v>
      </c>
      <c r="H189" s="35" t="n">
        <v>596544.010416667</v>
      </c>
      <c r="I189" s="14" t="n">
        <f aca="false">D189*H189</f>
        <v>4581458</v>
      </c>
      <c r="J189" s="14" t="n">
        <f aca="false">E189*H189</f>
        <v>0</v>
      </c>
      <c r="K189" s="14" t="n">
        <f aca="false">F189*H189</f>
        <v>0</v>
      </c>
      <c r="L189" s="14" t="n">
        <f aca="false">G189*H189</f>
        <v>0</v>
      </c>
      <c r="M189" s="27"/>
    </row>
    <row r="190" customFormat="false" ht="15" hidden="false" customHeight="false" outlineLevel="0" collapsed="false">
      <c r="A190" s="29" t="s">
        <v>390</v>
      </c>
      <c r="B190" s="27" t="s">
        <v>391</v>
      </c>
      <c r="C190" s="29" t="s">
        <v>149</v>
      </c>
      <c r="D190" s="34" t="n">
        <f aca="false">'PL.Khoi luong'!D185</f>
        <v>5.5448</v>
      </c>
      <c r="E190" s="34" t="n">
        <f aca="false">'PL.Khoi luong'!E185</f>
        <v>0</v>
      </c>
      <c r="F190" s="34" t="n">
        <f aca="false">'PL.Khoi luong'!F185</f>
        <v>0</v>
      </c>
      <c r="G190" s="32" t="n">
        <f aca="false">E190+F190</f>
        <v>0</v>
      </c>
      <c r="H190" s="35" t="n">
        <v>22841108.0652143</v>
      </c>
      <c r="I190" s="14" t="n">
        <f aca="false">D190*H190</f>
        <v>126649376</v>
      </c>
      <c r="J190" s="14" t="n">
        <f aca="false">E190*H190</f>
        <v>0</v>
      </c>
      <c r="K190" s="14" t="n">
        <f aca="false">F190*H190</f>
        <v>0</v>
      </c>
      <c r="L190" s="14" t="n">
        <f aca="false">G190*H190</f>
        <v>0</v>
      </c>
      <c r="M190" s="27"/>
    </row>
    <row r="191" customFormat="false" ht="15" hidden="false" customHeight="false" outlineLevel="0" collapsed="false">
      <c r="A191" s="29" t="s">
        <v>392</v>
      </c>
      <c r="B191" s="27" t="s">
        <v>393</v>
      </c>
      <c r="C191" s="29" t="s">
        <v>149</v>
      </c>
      <c r="D191" s="34" t="n">
        <f aca="false">'PL.Khoi luong'!D186</f>
        <v>0.1295</v>
      </c>
      <c r="E191" s="34" t="n">
        <f aca="false">'PL.Khoi luong'!E186</f>
        <v>0</v>
      </c>
      <c r="F191" s="34" t="n">
        <f aca="false">'PL.Khoi luong'!F186</f>
        <v>0</v>
      </c>
      <c r="G191" s="32" t="n">
        <f aca="false">E191+F191</f>
        <v>0</v>
      </c>
      <c r="H191" s="35" t="n">
        <v>21898648.6486487</v>
      </c>
      <c r="I191" s="14" t="n">
        <f aca="false">D191*H191</f>
        <v>2835875.00000001</v>
      </c>
      <c r="J191" s="14" t="n">
        <f aca="false">E191*H191</f>
        <v>0</v>
      </c>
      <c r="K191" s="14" t="n">
        <f aca="false">F191*H191</f>
        <v>0</v>
      </c>
      <c r="L191" s="14" t="n">
        <f aca="false">G191*H191</f>
        <v>0</v>
      </c>
      <c r="M191" s="27"/>
    </row>
    <row r="192" customFormat="false" ht="15" hidden="false" customHeight="false" outlineLevel="0" collapsed="false">
      <c r="A192" s="29" t="s">
        <v>394</v>
      </c>
      <c r="B192" s="27" t="s">
        <v>395</v>
      </c>
      <c r="C192" s="29" t="s">
        <v>240</v>
      </c>
      <c r="D192" s="34" t="n">
        <f aca="false">'PL.Khoi luong'!D187</f>
        <v>32</v>
      </c>
      <c r="E192" s="34" t="n">
        <f aca="false">'PL.Khoi luong'!E187</f>
        <v>0</v>
      </c>
      <c r="F192" s="34" t="n">
        <f aca="false">'PL.Khoi luong'!F187</f>
        <v>0</v>
      </c>
      <c r="G192" s="32" t="n">
        <f aca="false">E192+F192</f>
        <v>0</v>
      </c>
      <c r="H192" s="35" t="n">
        <v>1983735</v>
      </c>
      <c r="I192" s="14" t="n">
        <f aca="false">D192*H192</f>
        <v>63479520</v>
      </c>
      <c r="J192" s="14" t="n">
        <f aca="false">E192*H192</f>
        <v>0</v>
      </c>
      <c r="K192" s="14" t="n">
        <f aca="false">F192*H192</f>
        <v>0</v>
      </c>
      <c r="L192" s="14" t="n">
        <f aca="false">G192*H192</f>
        <v>0</v>
      </c>
      <c r="M192" s="27"/>
    </row>
    <row r="193" customFormat="false" ht="15" hidden="false" customHeight="false" outlineLevel="0" collapsed="false">
      <c r="A193" s="29" t="s">
        <v>396</v>
      </c>
      <c r="B193" s="27" t="s">
        <v>397</v>
      </c>
      <c r="C193" s="29" t="s">
        <v>131</v>
      </c>
      <c r="D193" s="34" t="n">
        <f aca="false">'PL.Khoi luong'!D188</f>
        <v>205.19</v>
      </c>
      <c r="E193" s="34" t="n">
        <f aca="false">'PL.Khoi luong'!E188</f>
        <v>0</v>
      </c>
      <c r="F193" s="34" t="n">
        <f aca="false">'PL.Khoi luong'!F188</f>
        <v>0</v>
      </c>
      <c r="G193" s="32" t="n">
        <f aca="false">E193+F193</f>
        <v>0</v>
      </c>
      <c r="H193" s="35" t="n">
        <v>189673.999707588</v>
      </c>
      <c r="I193" s="14" t="n">
        <f aca="false">D193*H193</f>
        <v>38919208</v>
      </c>
      <c r="J193" s="14" t="n">
        <f aca="false">E193*H193</f>
        <v>0</v>
      </c>
      <c r="K193" s="14" t="n">
        <f aca="false">F193*H193</f>
        <v>0</v>
      </c>
      <c r="L193" s="14" t="n">
        <f aca="false">G193*H193</f>
        <v>0</v>
      </c>
      <c r="M193" s="27"/>
    </row>
    <row r="194" customFormat="false" ht="15" hidden="false" customHeight="false" outlineLevel="0" collapsed="false">
      <c r="A194" s="29" t="s">
        <v>398</v>
      </c>
      <c r="B194" s="27" t="s">
        <v>399</v>
      </c>
      <c r="C194" s="29" t="s">
        <v>240</v>
      </c>
      <c r="D194" s="34" t="n">
        <f aca="false">'PL.Khoi luong'!D189</f>
        <v>42</v>
      </c>
      <c r="E194" s="34" t="n">
        <f aca="false">'PL.Khoi luong'!E189</f>
        <v>0</v>
      </c>
      <c r="F194" s="34" t="n">
        <f aca="false">'PL.Khoi luong'!F189</f>
        <v>0</v>
      </c>
      <c r="G194" s="32" t="n">
        <f aca="false">E194+F194</f>
        <v>0</v>
      </c>
      <c r="H194" s="35" t="n">
        <v>309668</v>
      </c>
      <c r="I194" s="14" t="n">
        <f aca="false">D194*H194</f>
        <v>13006056</v>
      </c>
      <c r="J194" s="14" t="n">
        <f aca="false">E194*H194</f>
        <v>0</v>
      </c>
      <c r="K194" s="14" t="n">
        <f aca="false">F194*H194</f>
        <v>0</v>
      </c>
      <c r="L194" s="14" t="n">
        <f aca="false">G194*H194</f>
        <v>0</v>
      </c>
      <c r="M194" s="27"/>
    </row>
    <row r="195" customFormat="false" ht="15" hidden="false" customHeight="false" outlineLevel="0" collapsed="false">
      <c r="A195" s="29" t="s">
        <v>400</v>
      </c>
      <c r="B195" s="27" t="s">
        <v>401</v>
      </c>
      <c r="C195" s="29" t="s">
        <v>402</v>
      </c>
      <c r="D195" s="34" t="n">
        <f aca="false">'PL.Khoi luong'!D190</f>
        <v>336</v>
      </c>
      <c r="E195" s="34" t="n">
        <f aca="false">'PL.Khoi luong'!E190</f>
        <v>0</v>
      </c>
      <c r="F195" s="34" t="n">
        <f aca="false">'PL.Khoi luong'!F190</f>
        <v>0</v>
      </c>
      <c r="G195" s="32" t="n">
        <f aca="false">E195+F195</f>
        <v>0</v>
      </c>
      <c r="H195" s="35" t="n">
        <v>100914</v>
      </c>
      <c r="I195" s="14" t="n">
        <f aca="false">D195*H195</f>
        <v>33907104</v>
      </c>
      <c r="J195" s="14" t="n">
        <f aca="false">E195*H195</f>
        <v>0</v>
      </c>
      <c r="K195" s="14" t="n">
        <f aca="false">F195*H195</f>
        <v>0</v>
      </c>
      <c r="L195" s="14" t="n">
        <f aca="false">G195*H195</f>
        <v>0</v>
      </c>
      <c r="M195" s="27"/>
    </row>
    <row r="196" customFormat="false" ht="15" hidden="false" customHeight="false" outlineLevel="0" collapsed="false">
      <c r="A196" s="12" t="s">
        <v>75</v>
      </c>
      <c r="B196" s="28" t="s">
        <v>403</v>
      </c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customFormat="false" ht="15" hidden="false" customHeight="false" outlineLevel="0" collapsed="false">
      <c r="A197" s="29" t="s">
        <v>404</v>
      </c>
      <c r="B197" s="27" t="s">
        <v>405</v>
      </c>
      <c r="C197" s="29" t="s">
        <v>116</v>
      </c>
      <c r="D197" s="34" t="n">
        <f aca="false">'PL.Khoi luong'!D192</f>
        <v>18.65</v>
      </c>
      <c r="E197" s="34" t="n">
        <f aca="false">'PL.Khoi luong'!E192</f>
        <v>0</v>
      </c>
      <c r="F197" s="34" t="n">
        <f aca="false">'PL.Khoi luong'!F192</f>
        <v>0</v>
      </c>
      <c r="G197" s="32" t="n">
        <f aca="false">E197+F197</f>
        <v>0</v>
      </c>
      <c r="H197" s="35" t="n">
        <v>1649952.97587131</v>
      </c>
      <c r="I197" s="14" t="n">
        <f aca="false">D197*H197</f>
        <v>30771622.9999999</v>
      </c>
      <c r="J197" s="14" t="n">
        <f aca="false">E197*H197</f>
        <v>0</v>
      </c>
      <c r="K197" s="14" t="n">
        <f aca="false">F197*H197</f>
        <v>0</v>
      </c>
      <c r="L197" s="14" t="n">
        <f aca="false">G197*H197</f>
        <v>0</v>
      </c>
      <c r="M197" s="27"/>
    </row>
    <row r="198" customFormat="false" ht="15" hidden="false" customHeight="false" outlineLevel="0" collapsed="false">
      <c r="A198" s="29" t="s">
        <v>406</v>
      </c>
      <c r="B198" s="27" t="s">
        <v>379</v>
      </c>
      <c r="C198" s="29" t="s">
        <v>111</v>
      </c>
      <c r="D198" s="34" t="n">
        <f aca="false">'PL.Khoi luong'!D193</f>
        <v>0.1893</v>
      </c>
      <c r="E198" s="34" t="n">
        <f aca="false">'PL.Khoi luong'!E193</f>
        <v>0</v>
      </c>
      <c r="F198" s="34" t="n">
        <f aca="false">'PL.Khoi luong'!F193</f>
        <v>0</v>
      </c>
      <c r="G198" s="32" t="n">
        <f aca="false">E198+F198</f>
        <v>0</v>
      </c>
      <c r="H198" s="35" t="n">
        <v>34573460.1162176</v>
      </c>
      <c r="I198" s="14" t="n">
        <f aca="false">D198*H198</f>
        <v>6544755.99999999</v>
      </c>
      <c r="J198" s="14" t="n">
        <f aca="false">E198*H198</f>
        <v>0</v>
      </c>
      <c r="K198" s="14" t="n">
        <f aca="false">F198*H198</f>
        <v>0</v>
      </c>
      <c r="L198" s="14" t="n">
        <f aca="false">G198*H198</f>
        <v>0</v>
      </c>
      <c r="M198" s="27"/>
    </row>
    <row r="199" customFormat="false" ht="15" hidden="false" customHeight="false" outlineLevel="0" collapsed="false">
      <c r="A199" s="29" t="s">
        <v>407</v>
      </c>
      <c r="B199" s="27" t="s">
        <v>408</v>
      </c>
      <c r="C199" s="29" t="s">
        <v>149</v>
      </c>
      <c r="D199" s="34" t="n">
        <f aca="false">'PL.Khoi luong'!D194</f>
        <v>0.1073</v>
      </c>
      <c r="E199" s="34" t="n">
        <f aca="false">'PL.Khoi luong'!E194</f>
        <v>0</v>
      </c>
      <c r="F199" s="34" t="n">
        <f aca="false">'PL.Khoi luong'!F194</f>
        <v>0</v>
      </c>
      <c r="G199" s="32" t="n">
        <f aca="false">E199+F199</f>
        <v>0</v>
      </c>
      <c r="H199" s="35" t="n">
        <v>23266328.0521901</v>
      </c>
      <c r="I199" s="14" t="n">
        <f aca="false">D199*H199</f>
        <v>2496477</v>
      </c>
      <c r="J199" s="14" t="n">
        <f aca="false">E199*H199</f>
        <v>0</v>
      </c>
      <c r="K199" s="14" t="n">
        <f aca="false">F199*H199</f>
        <v>0</v>
      </c>
      <c r="L199" s="14" t="n">
        <f aca="false">G199*H199</f>
        <v>0</v>
      </c>
      <c r="M199" s="27"/>
    </row>
    <row r="200" customFormat="false" ht="15" hidden="false" customHeight="false" outlineLevel="0" collapsed="false">
      <c r="A200" s="29" t="s">
        <v>409</v>
      </c>
      <c r="B200" s="27" t="s">
        <v>410</v>
      </c>
      <c r="C200" s="29" t="s">
        <v>149</v>
      </c>
      <c r="D200" s="34" t="n">
        <f aca="false">'PL.Khoi luong'!D195</f>
        <v>3.2046</v>
      </c>
      <c r="E200" s="34" t="n">
        <f aca="false">'PL.Khoi luong'!E195</f>
        <v>0</v>
      </c>
      <c r="F200" s="34" t="n">
        <f aca="false">'PL.Khoi luong'!F195</f>
        <v>0</v>
      </c>
      <c r="G200" s="32" t="n">
        <f aca="false">E200+F200</f>
        <v>0</v>
      </c>
      <c r="H200" s="35" t="n">
        <v>23199002.9956937</v>
      </c>
      <c r="I200" s="14" t="n">
        <f aca="false">D200*H200</f>
        <v>74343525</v>
      </c>
      <c r="J200" s="14" t="n">
        <f aca="false">E200*H200</f>
        <v>0</v>
      </c>
      <c r="K200" s="14" t="n">
        <f aca="false">F200*H200</f>
        <v>0</v>
      </c>
      <c r="L200" s="14" t="n">
        <f aca="false">G200*H200</f>
        <v>0</v>
      </c>
      <c r="M200" s="27"/>
    </row>
    <row r="201" customFormat="false" ht="15" hidden="false" customHeight="false" outlineLevel="0" collapsed="false">
      <c r="A201" s="29" t="s">
        <v>411</v>
      </c>
      <c r="B201" s="27" t="s">
        <v>412</v>
      </c>
      <c r="C201" s="29" t="s">
        <v>106</v>
      </c>
      <c r="D201" s="34" t="n">
        <f aca="false">'PL.Khoi luong'!D196</f>
        <v>0.0738</v>
      </c>
      <c r="E201" s="34" t="n">
        <f aca="false">'PL.Khoi luong'!E196</f>
        <v>0</v>
      </c>
      <c r="F201" s="34" t="n">
        <f aca="false">'PL.Khoi luong'!F196</f>
        <v>0</v>
      </c>
      <c r="G201" s="32" t="n">
        <f aca="false">E201+F201</f>
        <v>0</v>
      </c>
      <c r="H201" s="35" t="n">
        <v>4768008.1300813</v>
      </c>
      <c r="I201" s="14" t="n">
        <f aca="false">D201*H201</f>
        <v>351879</v>
      </c>
      <c r="J201" s="14" t="n">
        <f aca="false">E201*H201</f>
        <v>0</v>
      </c>
      <c r="K201" s="14" t="n">
        <f aca="false">F201*H201</f>
        <v>0</v>
      </c>
      <c r="L201" s="14" t="n">
        <f aca="false">G201*H201</f>
        <v>0</v>
      </c>
      <c r="M201" s="27"/>
    </row>
    <row r="202" customFormat="false" ht="15" hidden="false" customHeight="false" outlineLevel="0" collapsed="false">
      <c r="A202" s="12" t="s">
        <v>413</v>
      </c>
      <c r="B202" s="28" t="s">
        <v>414</v>
      </c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customFormat="false" ht="15" hidden="false" customHeight="false" outlineLevel="0" collapsed="false">
      <c r="A203" s="29" t="s">
        <v>415</v>
      </c>
      <c r="B203" s="27" t="s">
        <v>416</v>
      </c>
      <c r="C203" s="29" t="s">
        <v>149</v>
      </c>
      <c r="D203" s="34" t="n">
        <f aca="false">'PL.Khoi luong'!D198</f>
        <v>3.5</v>
      </c>
      <c r="E203" s="34" t="n">
        <f aca="false">'PL.Khoi luong'!E198</f>
        <v>0</v>
      </c>
      <c r="F203" s="34" t="n">
        <f aca="false">'PL.Khoi luong'!F198</f>
        <v>0</v>
      </c>
      <c r="G203" s="32" t="n">
        <f aca="false">E203+F203</f>
        <v>0</v>
      </c>
      <c r="H203" s="35" t="n">
        <v>1598274</v>
      </c>
      <c r="I203" s="14" t="n">
        <f aca="false">D203*H203</f>
        <v>5593959</v>
      </c>
      <c r="J203" s="14" t="n">
        <f aca="false">E203*H203</f>
        <v>0</v>
      </c>
      <c r="K203" s="14" t="n">
        <f aca="false">F203*H203</f>
        <v>0</v>
      </c>
      <c r="L203" s="14" t="n">
        <f aca="false">G203*H203</f>
        <v>0</v>
      </c>
      <c r="M203" s="27"/>
    </row>
    <row r="204" customFormat="false" ht="15" hidden="false" customHeight="false" outlineLevel="0" collapsed="false">
      <c r="A204" s="29" t="s">
        <v>417</v>
      </c>
      <c r="B204" s="27" t="s">
        <v>418</v>
      </c>
      <c r="C204" s="29" t="s">
        <v>149</v>
      </c>
      <c r="D204" s="34" t="n">
        <f aca="false">'PL.Khoi luong'!D199</f>
        <v>3.5</v>
      </c>
      <c r="E204" s="34" t="n">
        <f aca="false">'PL.Khoi luong'!E199</f>
        <v>0</v>
      </c>
      <c r="F204" s="34" t="n">
        <f aca="false">'PL.Khoi luong'!F199</f>
        <v>0</v>
      </c>
      <c r="G204" s="32" t="n">
        <f aca="false">E204+F204</f>
        <v>0</v>
      </c>
      <c r="H204" s="35" t="n">
        <v>11308914</v>
      </c>
      <c r="I204" s="14" t="n">
        <f aca="false">D204*H204</f>
        <v>39581199</v>
      </c>
      <c r="J204" s="14" t="n">
        <f aca="false">E204*H204</f>
        <v>0</v>
      </c>
      <c r="K204" s="14" t="n">
        <f aca="false">F204*H204</f>
        <v>0</v>
      </c>
      <c r="L204" s="14" t="n">
        <f aca="false">G204*H204</f>
        <v>0</v>
      </c>
      <c r="M204" s="27"/>
    </row>
    <row r="205" customFormat="false" ht="15" hidden="false" customHeight="false" outlineLevel="0" collapsed="false">
      <c r="A205" s="29" t="s">
        <v>419</v>
      </c>
      <c r="B205" s="27" t="s">
        <v>420</v>
      </c>
      <c r="C205" s="29" t="s">
        <v>149</v>
      </c>
      <c r="D205" s="34" t="n">
        <f aca="false">'PL.Khoi luong'!D200</f>
        <v>3.5</v>
      </c>
      <c r="E205" s="34" t="n">
        <f aca="false">'PL.Khoi luong'!E200</f>
        <v>0</v>
      </c>
      <c r="F205" s="34" t="n">
        <f aca="false">'PL.Khoi luong'!F200</f>
        <v>0</v>
      </c>
      <c r="G205" s="32" t="n">
        <f aca="false">E205+F205</f>
        <v>0</v>
      </c>
      <c r="H205" s="35" t="n">
        <v>6138048</v>
      </c>
      <c r="I205" s="14" t="n">
        <f aca="false">D205*H205</f>
        <v>21483168</v>
      </c>
      <c r="J205" s="14" t="n">
        <f aca="false">E205*H205</f>
        <v>0</v>
      </c>
      <c r="K205" s="14" t="n">
        <f aca="false">F205*H205</f>
        <v>0</v>
      </c>
      <c r="L205" s="14" t="n">
        <f aca="false">G205*H205</f>
        <v>0</v>
      </c>
      <c r="M205" s="27"/>
    </row>
    <row r="206" customFormat="false" ht="15" hidden="false" customHeight="false" outlineLevel="0" collapsed="false">
      <c r="A206" s="29" t="s">
        <v>421</v>
      </c>
      <c r="B206" s="27" t="s">
        <v>422</v>
      </c>
      <c r="C206" s="29" t="s">
        <v>149</v>
      </c>
      <c r="D206" s="34" t="n">
        <f aca="false">'PL.Khoi luong'!D201</f>
        <v>3.5</v>
      </c>
      <c r="E206" s="34" t="n">
        <f aca="false">'PL.Khoi luong'!E201</f>
        <v>0</v>
      </c>
      <c r="F206" s="34" t="n">
        <f aca="false">'PL.Khoi luong'!F201</f>
        <v>0</v>
      </c>
      <c r="G206" s="32" t="n">
        <f aca="false">E206+F206</f>
        <v>0</v>
      </c>
      <c r="H206" s="35" t="n">
        <v>2639748</v>
      </c>
      <c r="I206" s="14" t="n">
        <f aca="false">D206*H206</f>
        <v>9239118</v>
      </c>
      <c r="J206" s="14" t="n">
        <f aca="false">E206*H206</f>
        <v>0</v>
      </c>
      <c r="K206" s="14" t="n">
        <f aca="false">F206*H206</f>
        <v>0</v>
      </c>
      <c r="L206" s="14" t="n">
        <f aca="false">G206*H206</f>
        <v>0</v>
      </c>
      <c r="M206" s="27"/>
    </row>
    <row r="207" customFormat="false" ht="15" hidden="false" customHeight="false" outlineLevel="0" collapsed="false">
      <c r="A207" s="12" t="s">
        <v>423</v>
      </c>
      <c r="B207" s="28" t="s">
        <v>424</v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</row>
    <row r="208" customFormat="false" ht="15" hidden="false" customHeight="false" outlineLevel="0" collapsed="false">
      <c r="A208" s="29" t="s">
        <v>425</v>
      </c>
      <c r="B208" s="27" t="s">
        <v>426</v>
      </c>
      <c r="C208" s="29" t="s">
        <v>116</v>
      </c>
      <c r="D208" s="34" t="n">
        <f aca="false">'PL.Khoi luong'!D203</f>
        <v>4.4</v>
      </c>
      <c r="E208" s="34" t="n">
        <f aca="false">'PL.Khoi luong'!E203</f>
        <v>0</v>
      </c>
      <c r="F208" s="34" t="n">
        <f aca="false">'PL.Khoi luong'!F203</f>
        <v>0</v>
      </c>
      <c r="G208" s="32" t="n">
        <f aca="false">E208+F208</f>
        <v>0</v>
      </c>
      <c r="H208" s="35" t="n">
        <v>2261360</v>
      </c>
      <c r="I208" s="14" t="n">
        <f aca="false">D208*H208</f>
        <v>9949984</v>
      </c>
      <c r="J208" s="14" t="n">
        <f aca="false">E208*H208</f>
        <v>0</v>
      </c>
      <c r="K208" s="14" t="n">
        <f aca="false">F208*H208</f>
        <v>0</v>
      </c>
      <c r="L208" s="14" t="n">
        <f aca="false">G208*H208</f>
        <v>0</v>
      </c>
      <c r="M208" s="27"/>
    </row>
    <row r="209" customFormat="false" ht="15" hidden="false" customHeight="false" outlineLevel="0" collapsed="false">
      <c r="A209" s="29" t="s">
        <v>427</v>
      </c>
      <c r="B209" s="27" t="s">
        <v>428</v>
      </c>
      <c r="C209" s="29" t="s">
        <v>149</v>
      </c>
      <c r="D209" s="34" t="n">
        <f aca="false">'PL.Khoi luong'!D204</f>
        <v>0.6649</v>
      </c>
      <c r="E209" s="34" t="n">
        <f aca="false">'PL.Khoi luong'!E204</f>
        <v>0</v>
      </c>
      <c r="F209" s="34" t="n">
        <f aca="false">'PL.Khoi luong'!F204</f>
        <v>0</v>
      </c>
      <c r="G209" s="32" t="n">
        <f aca="false">E209+F209</f>
        <v>0</v>
      </c>
      <c r="H209" s="35" t="n">
        <v>23816446.0821176</v>
      </c>
      <c r="I209" s="14" t="n">
        <f aca="false">D209*H209</f>
        <v>15835555</v>
      </c>
      <c r="J209" s="14" t="n">
        <f aca="false">E209*H209</f>
        <v>0</v>
      </c>
      <c r="K209" s="14" t="n">
        <f aca="false">F209*H209</f>
        <v>0</v>
      </c>
      <c r="L209" s="14" t="n">
        <f aca="false">G209*H209</f>
        <v>0</v>
      </c>
      <c r="M209" s="27"/>
    </row>
    <row r="210" customFormat="false" ht="15" hidden="false" customHeight="false" outlineLevel="0" collapsed="false">
      <c r="A210" s="29" t="s">
        <v>429</v>
      </c>
      <c r="B210" s="27" t="s">
        <v>430</v>
      </c>
      <c r="C210" s="29" t="s">
        <v>106</v>
      </c>
      <c r="D210" s="34" t="n">
        <f aca="false">'PL.Khoi luong'!D205</f>
        <v>0.2623</v>
      </c>
      <c r="E210" s="34" t="n">
        <f aca="false">'PL.Khoi luong'!E205</f>
        <v>0</v>
      </c>
      <c r="F210" s="34" t="n">
        <f aca="false">'PL.Khoi luong'!F205</f>
        <v>0</v>
      </c>
      <c r="G210" s="32" t="n">
        <f aca="false">E210+F210</f>
        <v>0</v>
      </c>
      <c r="H210" s="35" t="n">
        <v>6357148.30346931</v>
      </c>
      <c r="I210" s="14" t="n">
        <f aca="false">D210*H210</f>
        <v>1667480</v>
      </c>
      <c r="J210" s="14" t="n">
        <f aca="false">E210*H210</f>
        <v>0</v>
      </c>
      <c r="K210" s="14" t="n">
        <f aca="false">F210*H210</f>
        <v>0</v>
      </c>
      <c r="L210" s="14" t="n">
        <f aca="false">G210*H210</f>
        <v>0</v>
      </c>
      <c r="M210" s="27"/>
    </row>
    <row r="211" customFormat="false" ht="15" hidden="false" customHeight="false" outlineLevel="0" collapsed="false">
      <c r="A211" s="29" t="s">
        <v>431</v>
      </c>
      <c r="B211" s="27" t="s">
        <v>432</v>
      </c>
      <c r="C211" s="29" t="s">
        <v>149</v>
      </c>
      <c r="D211" s="34" t="n">
        <f aca="false">'PL.Khoi luong'!D206</f>
        <v>0.6976</v>
      </c>
      <c r="E211" s="34" t="n">
        <f aca="false">'PL.Khoi luong'!E206</f>
        <v>0</v>
      </c>
      <c r="F211" s="34" t="n">
        <f aca="false">'PL.Khoi luong'!F206</f>
        <v>0</v>
      </c>
      <c r="G211" s="32" t="n">
        <f aca="false">E211+F211</f>
        <v>0</v>
      </c>
      <c r="H211" s="35" t="n">
        <v>28604184.3463303</v>
      </c>
      <c r="I211" s="14" t="n">
        <f aca="false">D211*H211</f>
        <v>19954279</v>
      </c>
      <c r="J211" s="14" t="n">
        <f aca="false">E211*H211</f>
        <v>0</v>
      </c>
      <c r="K211" s="14" t="n">
        <f aca="false">F211*H211</f>
        <v>0</v>
      </c>
      <c r="L211" s="14" t="n">
        <f aca="false">G211*H211</f>
        <v>0</v>
      </c>
      <c r="M211" s="27"/>
    </row>
    <row r="212" customFormat="false" ht="15" hidden="false" customHeight="false" outlineLevel="0" collapsed="false">
      <c r="A212" s="29" t="s">
        <v>433</v>
      </c>
      <c r="B212" s="27" t="s">
        <v>434</v>
      </c>
      <c r="C212" s="29" t="s">
        <v>149</v>
      </c>
      <c r="D212" s="34" t="n">
        <f aca="false">'PL.Khoi luong'!D207</f>
        <v>0.6976</v>
      </c>
      <c r="E212" s="34" t="n">
        <f aca="false">'PL.Khoi luong'!E207</f>
        <v>0</v>
      </c>
      <c r="F212" s="34" t="n">
        <f aca="false">'PL.Khoi luong'!F207</f>
        <v>0</v>
      </c>
      <c r="G212" s="32" t="n">
        <f aca="false">E212+F212</f>
        <v>0</v>
      </c>
      <c r="H212" s="35" t="n">
        <v>12087035.5504587</v>
      </c>
      <c r="I212" s="14" t="n">
        <f aca="false">D212*H212</f>
        <v>8431915.99999999</v>
      </c>
      <c r="J212" s="14" t="n">
        <f aca="false">E212*H212</f>
        <v>0</v>
      </c>
      <c r="K212" s="14" t="n">
        <f aca="false">F212*H212</f>
        <v>0</v>
      </c>
      <c r="L212" s="14" t="n">
        <f aca="false">G212*H212</f>
        <v>0</v>
      </c>
      <c r="M212" s="27"/>
    </row>
    <row r="213" customFormat="false" ht="15" hidden="false" customHeight="false" outlineLevel="0" collapsed="false">
      <c r="A213" s="29" t="s">
        <v>435</v>
      </c>
      <c r="B213" s="27" t="s">
        <v>436</v>
      </c>
      <c r="C213" s="29" t="s">
        <v>193</v>
      </c>
      <c r="D213" s="34" t="n">
        <f aca="false">'PL.Khoi luong'!D208</f>
        <v>28</v>
      </c>
      <c r="E213" s="34" t="n">
        <f aca="false">'PL.Khoi luong'!E208</f>
        <v>0</v>
      </c>
      <c r="F213" s="34" t="n">
        <f aca="false">'PL.Khoi luong'!F208</f>
        <v>0</v>
      </c>
      <c r="G213" s="32" t="n">
        <f aca="false">E213+F213</f>
        <v>0</v>
      </c>
      <c r="H213" s="35" t="n">
        <v>18880</v>
      </c>
      <c r="I213" s="14" t="n">
        <f aca="false">D213*H213</f>
        <v>528640</v>
      </c>
      <c r="J213" s="14" t="n">
        <f aca="false">E213*H213</f>
        <v>0</v>
      </c>
      <c r="K213" s="14" t="n">
        <f aca="false">F213*H213</f>
        <v>0</v>
      </c>
      <c r="L213" s="14" t="n">
        <f aca="false">G213*H213</f>
        <v>0</v>
      </c>
      <c r="M213" s="27"/>
    </row>
    <row r="214" customFormat="false" ht="15" hidden="false" customHeight="false" outlineLevel="0" collapsed="false">
      <c r="A214" s="29" t="s">
        <v>437</v>
      </c>
      <c r="B214" s="27" t="s">
        <v>438</v>
      </c>
      <c r="C214" s="29" t="s">
        <v>245</v>
      </c>
      <c r="D214" s="34" t="n">
        <f aca="false">'PL.Khoi luong'!D209</f>
        <v>0.24</v>
      </c>
      <c r="E214" s="34" t="n">
        <f aca="false">'PL.Khoi luong'!E209</f>
        <v>0</v>
      </c>
      <c r="F214" s="34" t="n">
        <f aca="false">'PL.Khoi luong'!F209</f>
        <v>0</v>
      </c>
      <c r="G214" s="32" t="n">
        <f aca="false">E214+F214</f>
        <v>0</v>
      </c>
      <c r="H214" s="35" t="n">
        <v>22211854.1666667</v>
      </c>
      <c r="I214" s="14" t="n">
        <f aca="false">D214*H214</f>
        <v>5330845.00000001</v>
      </c>
      <c r="J214" s="14" t="n">
        <f aca="false">E214*H214</f>
        <v>0</v>
      </c>
      <c r="K214" s="14" t="n">
        <f aca="false">F214*H214</f>
        <v>0</v>
      </c>
      <c r="L214" s="14" t="n">
        <f aca="false">G214*H214</f>
        <v>0</v>
      </c>
      <c r="M214" s="27"/>
    </row>
    <row r="215" customFormat="false" ht="15" hidden="false" customHeight="false" outlineLevel="0" collapsed="false">
      <c r="A215" s="12" t="s">
        <v>439</v>
      </c>
      <c r="B215" s="28" t="s">
        <v>440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</row>
    <row r="216" customFormat="false" ht="15" hidden="false" customHeight="false" outlineLevel="0" collapsed="false">
      <c r="A216" s="29" t="s">
        <v>441</v>
      </c>
      <c r="B216" s="27" t="s">
        <v>98</v>
      </c>
      <c r="C216" s="29" t="s">
        <v>99</v>
      </c>
      <c r="D216" s="34" t="n">
        <f aca="false">'PL.Khoi luong'!D211</f>
        <v>0.1553</v>
      </c>
      <c r="E216" s="34" t="n">
        <f aca="false">'PL.Khoi luong'!E211</f>
        <v>0</v>
      </c>
      <c r="F216" s="34" t="n">
        <f aca="false">'PL.Khoi luong'!F211</f>
        <v>0</v>
      </c>
      <c r="G216" s="32" t="n">
        <f aca="false">E216+F216</f>
        <v>0</v>
      </c>
      <c r="H216" s="35" t="n">
        <v>137463000.643915</v>
      </c>
      <c r="I216" s="14" t="n">
        <f aca="false">D216*H216</f>
        <v>21348004</v>
      </c>
      <c r="J216" s="14" t="n">
        <f aca="false">E216*H216</f>
        <v>0</v>
      </c>
      <c r="K216" s="14" t="n">
        <f aca="false">F216*H216</f>
        <v>0</v>
      </c>
      <c r="L216" s="14" t="n">
        <f aca="false">G216*H216</f>
        <v>0</v>
      </c>
      <c r="M216" s="27"/>
    </row>
    <row r="217" customFormat="false" ht="15" hidden="false" customHeight="false" outlineLevel="0" collapsed="false">
      <c r="A217" s="29" t="s">
        <v>442</v>
      </c>
      <c r="B217" s="27" t="s">
        <v>101</v>
      </c>
      <c r="C217" s="29" t="s">
        <v>99</v>
      </c>
      <c r="D217" s="34" t="n">
        <f aca="false">'PL.Khoi luong'!D212</f>
        <v>0.1553</v>
      </c>
      <c r="E217" s="34" t="n">
        <f aca="false">'PL.Khoi luong'!E212</f>
        <v>0</v>
      </c>
      <c r="F217" s="34" t="n">
        <f aca="false">'PL.Khoi luong'!F212</f>
        <v>0</v>
      </c>
      <c r="G217" s="32" t="n">
        <f aca="false">E217+F217</f>
        <v>0</v>
      </c>
      <c r="H217" s="35" t="n">
        <v>32475402.446877</v>
      </c>
      <c r="I217" s="14" t="n">
        <f aca="false">D217*H217</f>
        <v>5043430</v>
      </c>
      <c r="J217" s="14" t="n">
        <f aca="false">E217*H217</f>
        <v>0</v>
      </c>
      <c r="K217" s="14" t="n">
        <f aca="false">F217*H217</f>
        <v>0</v>
      </c>
      <c r="L217" s="14" t="n">
        <f aca="false">G217*H217</f>
        <v>0</v>
      </c>
      <c r="M217" s="27"/>
    </row>
    <row r="218" customFormat="false" ht="26.85" hidden="false" customHeight="false" outlineLevel="0" collapsed="false">
      <c r="A218" s="29" t="s">
        <v>443</v>
      </c>
      <c r="B218" s="27" t="s">
        <v>103</v>
      </c>
      <c r="C218" s="29" t="s">
        <v>99</v>
      </c>
      <c r="D218" s="34" t="n">
        <f aca="false">'PL.Khoi luong'!D213</f>
        <v>0.1553</v>
      </c>
      <c r="E218" s="34" t="n">
        <f aca="false">'PL.Khoi luong'!E213</f>
        <v>0</v>
      </c>
      <c r="F218" s="34" t="n">
        <f aca="false">'PL.Khoi luong'!F213</f>
        <v>0</v>
      </c>
      <c r="G218" s="32" t="n">
        <f aca="false">E218+F218</f>
        <v>0</v>
      </c>
      <c r="H218" s="35" t="n">
        <v>9790218.9311011</v>
      </c>
      <c r="I218" s="14" t="n">
        <f aca="false">D218*H218</f>
        <v>1520421</v>
      </c>
      <c r="J218" s="14" t="n">
        <f aca="false">E218*H218</f>
        <v>0</v>
      </c>
      <c r="K218" s="14" t="n">
        <f aca="false">F218*H218</f>
        <v>0</v>
      </c>
      <c r="L218" s="14" t="n">
        <f aca="false">G218*H218</f>
        <v>0</v>
      </c>
      <c r="M218" s="27"/>
    </row>
    <row r="219" customFormat="false" ht="26.85" hidden="false" customHeight="false" outlineLevel="0" collapsed="false">
      <c r="A219" s="29" t="s">
        <v>444</v>
      </c>
      <c r="B219" s="27" t="s">
        <v>105</v>
      </c>
      <c r="C219" s="29" t="s">
        <v>106</v>
      </c>
      <c r="D219" s="34" t="n">
        <f aca="false">'PL.Khoi luong'!D214</f>
        <v>0.9</v>
      </c>
      <c r="E219" s="34" t="n">
        <f aca="false">'PL.Khoi luong'!E214</f>
        <v>0</v>
      </c>
      <c r="F219" s="34" t="n">
        <f aca="false">'PL.Khoi luong'!F214</f>
        <v>0</v>
      </c>
      <c r="G219" s="32" t="n">
        <f aca="false">E219+F219</f>
        <v>0</v>
      </c>
      <c r="H219" s="35" t="n">
        <v>1613087.77777778</v>
      </c>
      <c r="I219" s="14" t="n">
        <f aca="false">D219*H219</f>
        <v>1451779</v>
      </c>
      <c r="J219" s="14" t="n">
        <f aca="false">E219*H219</f>
        <v>0</v>
      </c>
      <c r="K219" s="14" t="n">
        <f aca="false">F219*H219</f>
        <v>0</v>
      </c>
      <c r="L219" s="14" t="n">
        <f aca="false">G219*H219</f>
        <v>0</v>
      </c>
      <c r="M219" s="27"/>
    </row>
    <row r="220" customFormat="false" ht="15" hidden="false" customHeight="false" outlineLevel="0" collapsed="false">
      <c r="A220" s="29" t="s">
        <v>445</v>
      </c>
      <c r="B220" s="27" t="s">
        <v>108</v>
      </c>
      <c r="C220" s="29" t="s">
        <v>106</v>
      </c>
      <c r="D220" s="34" t="n">
        <f aca="false">'PL.Khoi luong'!D215</f>
        <v>0.9</v>
      </c>
      <c r="E220" s="34" t="n">
        <f aca="false">'PL.Khoi luong'!E215</f>
        <v>0</v>
      </c>
      <c r="F220" s="34" t="n">
        <f aca="false">'PL.Khoi luong'!F215</f>
        <v>0</v>
      </c>
      <c r="G220" s="32" t="n">
        <f aca="false">E220+F220</f>
        <v>0</v>
      </c>
      <c r="H220" s="35" t="n">
        <v>2852495.55555556</v>
      </c>
      <c r="I220" s="14" t="n">
        <f aca="false">D220*H220</f>
        <v>2567246</v>
      </c>
      <c r="J220" s="14" t="n">
        <f aca="false">E220*H220</f>
        <v>0</v>
      </c>
      <c r="K220" s="14" t="n">
        <f aca="false">F220*H220</f>
        <v>0</v>
      </c>
      <c r="L220" s="14" t="n">
        <f aca="false">G220*H220</f>
        <v>0</v>
      </c>
      <c r="M220" s="27"/>
    </row>
    <row r="221" customFormat="false" ht="15" hidden="false" customHeight="false" outlineLevel="0" collapsed="false">
      <c r="A221" s="29" t="s">
        <v>446</v>
      </c>
      <c r="B221" s="27" t="s">
        <v>447</v>
      </c>
      <c r="C221" s="29" t="s">
        <v>448</v>
      </c>
      <c r="D221" s="34" t="n">
        <f aca="false">'PL.Khoi luong'!D216</f>
        <v>90</v>
      </c>
      <c r="E221" s="34" t="n">
        <f aca="false">'PL.Khoi luong'!E216</f>
        <v>0</v>
      </c>
      <c r="F221" s="34" t="n">
        <f aca="false">'PL.Khoi luong'!F216</f>
        <v>0</v>
      </c>
      <c r="G221" s="32" t="n">
        <f aca="false">E221+F221</f>
        <v>0</v>
      </c>
      <c r="H221" s="35" t="n">
        <v>39775</v>
      </c>
      <c r="I221" s="14" t="n">
        <f aca="false">D221*H221</f>
        <v>3579750</v>
      </c>
      <c r="J221" s="14" t="n">
        <f aca="false">E221*H221</f>
        <v>0</v>
      </c>
      <c r="K221" s="14" t="n">
        <f aca="false">F221*H221</f>
        <v>0</v>
      </c>
      <c r="L221" s="14" t="n">
        <f aca="false">G221*H221</f>
        <v>0</v>
      </c>
      <c r="M221" s="27"/>
    </row>
    <row r="222" customFormat="false" ht="15" hidden="false" customHeight="false" outlineLevel="0" collapsed="false">
      <c r="A222" s="12" t="s">
        <v>449</v>
      </c>
      <c r="B222" s="28" t="s">
        <v>450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customFormat="false" ht="15" hidden="false" customHeight="false" outlineLevel="0" collapsed="false">
      <c r="A223" s="29" t="s">
        <v>451</v>
      </c>
      <c r="B223" s="27" t="s">
        <v>452</v>
      </c>
      <c r="C223" s="29" t="s">
        <v>224</v>
      </c>
      <c r="D223" s="34" t="n">
        <f aca="false">'PL.Khoi luong'!D218</f>
        <v>15.48</v>
      </c>
      <c r="E223" s="34" t="n">
        <f aca="false">'PL.Khoi luong'!E218</f>
        <v>0</v>
      </c>
      <c r="F223" s="34" t="n">
        <f aca="false">'PL.Khoi luong'!F218</f>
        <v>0</v>
      </c>
      <c r="G223" s="32" t="n">
        <f aca="false">E223+F223</f>
        <v>0</v>
      </c>
      <c r="H223" s="35" t="n">
        <v>4675374.03100775</v>
      </c>
      <c r="I223" s="14" t="n">
        <f aca="false">D223*H223</f>
        <v>72374790</v>
      </c>
      <c r="J223" s="14" t="n">
        <f aca="false">E223*H223</f>
        <v>0</v>
      </c>
      <c r="K223" s="14" t="n">
        <f aca="false">F223*H223</f>
        <v>0</v>
      </c>
      <c r="L223" s="14" t="n">
        <f aca="false">G223*H223</f>
        <v>0</v>
      </c>
      <c r="M223" s="27"/>
    </row>
    <row r="224" customFormat="false" ht="15" hidden="false" customHeight="false" outlineLevel="0" collapsed="false">
      <c r="A224" s="29" t="s">
        <v>453</v>
      </c>
      <c r="B224" s="27" t="s">
        <v>454</v>
      </c>
      <c r="C224" s="29" t="s">
        <v>149</v>
      </c>
      <c r="D224" s="34" t="n">
        <f aca="false">'PL.Khoi luong'!D219</f>
        <v>0.3935</v>
      </c>
      <c r="E224" s="34" t="n">
        <f aca="false">'PL.Khoi luong'!E219</f>
        <v>0</v>
      </c>
      <c r="F224" s="34" t="n">
        <f aca="false">'PL.Khoi luong'!F219</f>
        <v>0</v>
      </c>
      <c r="G224" s="32" t="n">
        <f aca="false">E224+F224</f>
        <v>0</v>
      </c>
      <c r="H224" s="35" t="n">
        <v>23199003.8119441</v>
      </c>
      <c r="I224" s="14" t="n">
        <f aca="false">D224*H224</f>
        <v>9128808</v>
      </c>
      <c r="J224" s="14" t="n">
        <f aca="false">E224*H224</f>
        <v>0</v>
      </c>
      <c r="K224" s="14" t="n">
        <f aca="false">F224*H224</f>
        <v>0</v>
      </c>
      <c r="L224" s="14" t="n">
        <f aca="false">G224*H224</f>
        <v>0</v>
      </c>
      <c r="M224" s="27"/>
    </row>
    <row r="225" customFormat="false" ht="15" hidden="false" customHeight="false" outlineLevel="0" collapsed="false">
      <c r="A225" s="29" t="s">
        <v>455</v>
      </c>
      <c r="B225" s="27" t="s">
        <v>456</v>
      </c>
      <c r="C225" s="29" t="s">
        <v>149</v>
      </c>
      <c r="D225" s="34" t="n">
        <f aca="false">'PL.Khoi luong'!D220</f>
        <v>0.3126</v>
      </c>
      <c r="E225" s="34" t="n">
        <f aca="false">'PL.Khoi luong'!E220</f>
        <v>0</v>
      </c>
      <c r="F225" s="34" t="n">
        <f aca="false">'PL.Khoi luong'!F220</f>
        <v>0</v>
      </c>
      <c r="G225" s="32" t="n">
        <f aca="false">E225+F225</f>
        <v>0</v>
      </c>
      <c r="H225" s="35" t="n">
        <v>32518314.1394754</v>
      </c>
      <c r="I225" s="14" t="n">
        <f aca="false">D225*H225</f>
        <v>10165225</v>
      </c>
      <c r="J225" s="14" t="n">
        <f aca="false">E225*H225</f>
        <v>0</v>
      </c>
      <c r="K225" s="14" t="n">
        <f aca="false">F225*H225</f>
        <v>0</v>
      </c>
      <c r="L225" s="14" t="n">
        <f aca="false">G225*H225</f>
        <v>0</v>
      </c>
      <c r="M225" s="27"/>
    </row>
    <row r="226" customFormat="false" ht="15" hidden="false" customHeight="false" outlineLevel="0" collapsed="false">
      <c r="A226" s="29" t="s">
        <v>457</v>
      </c>
      <c r="B226" s="27" t="s">
        <v>458</v>
      </c>
      <c r="C226" s="29" t="s">
        <v>149</v>
      </c>
      <c r="D226" s="34" t="n">
        <f aca="false">'PL.Khoi luong'!D221</f>
        <v>0.3126</v>
      </c>
      <c r="E226" s="34" t="n">
        <f aca="false">'PL.Khoi luong'!E221</f>
        <v>0</v>
      </c>
      <c r="F226" s="34" t="n">
        <f aca="false">'PL.Khoi luong'!F221</f>
        <v>0</v>
      </c>
      <c r="G226" s="32" t="n">
        <f aca="false">E226+F226</f>
        <v>0</v>
      </c>
      <c r="H226" s="35" t="n">
        <v>7338989.12348049</v>
      </c>
      <c r="I226" s="14" t="n">
        <f aca="false">D226*H226</f>
        <v>2294168</v>
      </c>
      <c r="J226" s="14" t="n">
        <f aca="false">E226*H226</f>
        <v>0</v>
      </c>
      <c r="K226" s="14" t="n">
        <f aca="false">F226*H226</f>
        <v>0</v>
      </c>
      <c r="L226" s="14" t="n">
        <f aca="false">G226*H226</f>
        <v>0</v>
      </c>
      <c r="M226" s="27"/>
    </row>
    <row r="227" customFormat="false" ht="15" hidden="false" customHeight="false" outlineLevel="0" collapsed="false">
      <c r="A227" s="29" t="s">
        <v>459</v>
      </c>
      <c r="B227" s="27" t="s">
        <v>460</v>
      </c>
      <c r="C227" s="29" t="s">
        <v>193</v>
      </c>
      <c r="D227" s="34" t="n">
        <f aca="false">'PL.Khoi luong'!D222</f>
        <v>80</v>
      </c>
      <c r="E227" s="34" t="n">
        <f aca="false">'PL.Khoi luong'!E222</f>
        <v>0</v>
      </c>
      <c r="F227" s="34" t="n">
        <f aca="false">'PL.Khoi luong'!F222</f>
        <v>0</v>
      </c>
      <c r="G227" s="32" t="n">
        <f aca="false">E227+F227</f>
        <v>0</v>
      </c>
      <c r="H227" s="35" t="n">
        <v>18880</v>
      </c>
      <c r="I227" s="14" t="n">
        <f aca="false">D227*H227</f>
        <v>1510400</v>
      </c>
      <c r="J227" s="14" t="n">
        <f aca="false">E227*H227</f>
        <v>0</v>
      </c>
      <c r="K227" s="14" t="n">
        <f aca="false">F227*H227</f>
        <v>0</v>
      </c>
      <c r="L227" s="14" t="n">
        <f aca="false">G227*H227</f>
        <v>0</v>
      </c>
      <c r="M227" s="27"/>
    </row>
    <row r="228" customFormat="false" ht="15" hidden="false" customHeight="false" outlineLevel="0" collapsed="false">
      <c r="A228" s="29" t="s">
        <v>461</v>
      </c>
      <c r="B228" s="27" t="s">
        <v>462</v>
      </c>
      <c r="C228" s="29" t="s">
        <v>116</v>
      </c>
      <c r="D228" s="34" t="n">
        <f aca="false">'PL.Khoi luong'!D223</f>
        <v>2.22</v>
      </c>
      <c r="E228" s="34" t="n">
        <f aca="false">'PL.Khoi luong'!E223</f>
        <v>0</v>
      </c>
      <c r="F228" s="34" t="n">
        <f aca="false">'PL.Khoi luong'!F223</f>
        <v>0</v>
      </c>
      <c r="G228" s="32" t="n">
        <f aca="false">E228+F228</f>
        <v>0</v>
      </c>
      <c r="H228" s="35" t="n">
        <v>25648518.9189189</v>
      </c>
      <c r="I228" s="14" t="n">
        <f aca="false">D228*H228</f>
        <v>56939712</v>
      </c>
      <c r="J228" s="14" t="n">
        <f aca="false">E228*H228</f>
        <v>0</v>
      </c>
      <c r="K228" s="14" t="n">
        <f aca="false">F228*H228</f>
        <v>0</v>
      </c>
      <c r="L228" s="14" t="n">
        <f aca="false">G228*H228</f>
        <v>0</v>
      </c>
      <c r="M228" s="27"/>
    </row>
    <row r="229" customFormat="false" ht="15" hidden="false" customHeight="false" outlineLevel="0" collapsed="false">
      <c r="A229" s="12" t="s">
        <v>463</v>
      </c>
      <c r="B229" s="28" t="s">
        <v>464</v>
      </c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</row>
    <row r="230" customFormat="false" ht="15" hidden="false" customHeight="false" outlineLevel="0" collapsed="false">
      <c r="A230" s="29" t="s">
        <v>465</v>
      </c>
      <c r="B230" s="27" t="s">
        <v>466</v>
      </c>
      <c r="C230" s="29" t="s">
        <v>193</v>
      </c>
      <c r="D230" s="34" t="n">
        <f aca="false">'PL.Khoi luong'!D225</f>
        <v>4</v>
      </c>
      <c r="E230" s="34" t="n">
        <f aca="false">'PL.Khoi luong'!E225</f>
        <v>0</v>
      </c>
      <c r="F230" s="34" t="n">
        <f aca="false">'PL.Khoi luong'!F225</f>
        <v>0</v>
      </c>
      <c r="G230" s="32" t="n">
        <f aca="false">E230+F230</f>
        <v>0</v>
      </c>
      <c r="H230" s="35" t="n">
        <v>818138</v>
      </c>
      <c r="I230" s="14" t="n">
        <f aca="false">D230*H230</f>
        <v>3272552</v>
      </c>
      <c r="J230" s="14" t="n">
        <f aca="false">E230*H230</f>
        <v>0</v>
      </c>
      <c r="K230" s="14" t="n">
        <f aca="false">F230*H230</f>
        <v>0</v>
      </c>
      <c r="L230" s="14" t="n">
        <f aca="false">G230*H230</f>
        <v>0</v>
      </c>
      <c r="M230" s="27"/>
    </row>
    <row r="231" customFormat="false" ht="26.85" hidden="false" customHeight="false" outlineLevel="0" collapsed="false">
      <c r="A231" s="29" t="s">
        <v>467</v>
      </c>
      <c r="B231" s="27" t="s">
        <v>468</v>
      </c>
      <c r="C231" s="29" t="s">
        <v>160</v>
      </c>
      <c r="D231" s="34" t="n">
        <f aca="false">'PL.Khoi luong'!D226</f>
        <v>4</v>
      </c>
      <c r="E231" s="34" t="n">
        <f aca="false">'PL.Khoi luong'!E226</f>
        <v>0</v>
      </c>
      <c r="F231" s="34" t="n">
        <f aca="false">'PL.Khoi luong'!F226</f>
        <v>0</v>
      </c>
      <c r="G231" s="32" t="n">
        <f aca="false">E231+F231</f>
        <v>0</v>
      </c>
      <c r="H231" s="35" t="n">
        <v>43478</v>
      </c>
      <c r="I231" s="14" t="n">
        <f aca="false">D231*H231</f>
        <v>173912</v>
      </c>
      <c r="J231" s="14" t="n">
        <f aca="false">E231*H231</f>
        <v>0</v>
      </c>
      <c r="K231" s="14" t="n">
        <f aca="false">F231*H231</f>
        <v>0</v>
      </c>
      <c r="L231" s="14" t="n">
        <f aca="false">G231*H231</f>
        <v>0</v>
      </c>
      <c r="M231" s="27"/>
    </row>
    <row r="232" customFormat="false" ht="15" hidden="false" customHeight="false" outlineLevel="0" collapsed="false">
      <c r="A232" s="29" t="s">
        <v>469</v>
      </c>
      <c r="B232" s="27" t="s">
        <v>470</v>
      </c>
      <c r="C232" s="29" t="s">
        <v>240</v>
      </c>
      <c r="D232" s="34" t="n">
        <f aca="false">'PL.Khoi luong'!D227</f>
        <v>4</v>
      </c>
      <c r="E232" s="34" t="n">
        <f aca="false">'PL.Khoi luong'!E227</f>
        <v>0</v>
      </c>
      <c r="F232" s="34" t="n">
        <f aca="false">'PL.Khoi luong'!F227</f>
        <v>0</v>
      </c>
      <c r="G232" s="32" t="n">
        <f aca="false">E232+F232</f>
        <v>0</v>
      </c>
      <c r="H232" s="35" t="n">
        <v>247735</v>
      </c>
      <c r="I232" s="14" t="n">
        <f aca="false">D232*H232</f>
        <v>990940</v>
      </c>
      <c r="J232" s="14" t="n">
        <f aca="false">E232*H232</f>
        <v>0</v>
      </c>
      <c r="K232" s="14" t="n">
        <f aca="false">F232*H232</f>
        <v>0</v>
      </c>
      <c r="L232" s="14" t="n">
        <f aca="false">G232*H232</f>
        <v>0</v>
      </c>
      <c r="M232" s="27"/>
    </row>
    <row r="233" customFormat="false" ht="15" hidden="false" customHeight="false" outlineLevel="0" collapsed="false">
      <c r="A233" s="29" t="s">
        <v>471</v>
      </c>
      <c r="B233" s="27" t="s">
        <v>472</v>
      </c>
      <c r="C233" s="29" t="s">
        <v>149</v>
      </c>
      <c r="D233" s="34" t="n">
        <f aca="false">'PL.Khoi luong'!D228</f>
        <v>0.0322</v>
      </c>
      <c r="E233" s="34" t="n">
        <f aca="false">'PL.Khoi luong'!E228</f>
        <v>0</v>
      </c>
      <c r="F233" s="34" t="n">
        <f aca="false">'PL.Khoi luong'!F228</f>
        <v>0</v>
      </c>
      <c r="G233" s="32" t="n">
        <f aca="false">E233+F233</f>
        <v>0</v>
      </c>
      <c r="H233" s="35" t="n">
        <v>32518322.9813665</v>
      </c>
      <c r="I233" s="14" t="n">
        <f aca="false">D233*H233</f>
        <v>1047090</v>
      </c>
      <c r="J233" s="14" t="n">
        <f aca="false">E233*H233</f>
        <v>0</v>
      </c>
      <c r="K233" s="14" t="n">
        <f aca="false">F233*H233</f>
        <v>0</v>
      </c>
      <c r="L233" s="14" t="n">
        <f aca="false">G233*H233</f>
        <v>0</v>
      </c>
      <c r="M233" s="27"/>
    </row>
    <row r="234" customFormat="false" ht="15" hidden="false" customHeight="false" outlineLevel="0" collapsed="false">
      <c r="A234" s="29" t="s">
        <v>473</v>
      </c>
      <c r="B234" s="27" t="s">
        <v>460</v>
      </c>
      <c r="C234" s="29" t="s">
        <v>193</v>
      </c>
      <c r="D234" s="34" t="n">
        <f aca="false">'PL.Khoi luong'!D229</f>
        <v>4</v>
      </c>
      <c r="E234" s="34" t="n">
        <f aca="false">'PL.Khoi luong'!E229</f>
        <v>0</v>
      </c>
      <c r="F234" s="34" t="n">
        <f aca="false">'PL.Khoi luong'!F229</f>
        <v>0</v>
      </c>
      <c r="G234" s="32" t="n">
        <f aca="false">E234+F234</f>
        <v>0</v>
      </c>
      <c r="H234" s="35" t="n">
        <v>18880</v>
      </c>
      <c r="I234" s="14" t="n">
        <f aca="false">D234*H234</f>
        <v>75520</v>
      </c>
      <c r="J234" s="14" t="n">
        <f aca="false">E234*H234</f>
        <v>0</v>
      </c>
      <c r="K234" s="14" t="n">
        <f aca="false">F234*H234</f>
        <v>0</v>
      </c>
      <c r="L234" s="14" t="n">
        <f aca="false">G234*H234</f>
        <v>0</v>
      </c>
      <c r="M234" s="27"/>
    </row>
    <row r="235" customFormat="false" ht="15" hidden="false" customHeight="false" outlineLevel="0" collapsed="false">
      <c r="A235" s="12" t="s">
        <v>474</v>
      </c>
      <c r="B235" s="28" t="s">
        <v>475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</row>
    <row r="236" customFormat="false" ht="15" hidden="false" customHeight="false" outlineLevel="0" collapsed="false">
      <c r="A236" s="29" t="s">
        <v>476</v>
      </c>
      <c r="B236" s="27" t="s">
        <v>477</v>
      </c>
      <c r="C236" s="29" t="s">
        <v>116</v>
      </c>
      <c r="D236" s="34" t="n">
        <f aca="false">'PL.Khoi luong'!D231</f>
        <v>3.95</v>
      </c>
      <c r="E236" s="34" t="n">
        <f aca="false">'PL.Khoi luong'!E231</f>
        <v>0</v>
      </c>
      <c r="F236" s="34" t="n">
        <f aca="false">'PL.Khoi luong'!F231</f>
        <v>0</v>
      </c>
      <c r="G236" s="32" t="n">
        <f aca="false">E236+F236</f>
        <v>0</v>
      </c>
      <c r="H236" s="35" t="n">
        <v>1283903.03797468</v>
      </c>
      <c r="I236" s="14" t="n">
        <f aca="false">D236*H236</f>
        <v>5071416.99999999</v>
      </c>
      <c r="J236" s="14" t="n">
        <f aca="false">E236*H236</f>
        <v>0</v>
      </c>
      <c r="K236" s="14" t="n">
        <f aca="false">F236*H236</f>
        <v>0</v>
      </c>
      <c r="L236" s="14" t="n">
        <f aca="false">G236*H236</f>
        <v>0</v>
      </c>
      <c r="M236" s="27"/>
    </row>
    <row r="237" customFormat="false" ht="15" hidden="false" customHeight="false" outlineLevel="0" collapsed="false">
      <c r="A237" s="29" t="s">
        <v>478</v>
      </c>
      <c r="B237" s="27" t="s">
        <v>479</v>
      </c>
      <c r="C237" s="29" t="s">
        <v>116</v>
      </c>
      <c r="D237" s="34" t="n">
        <f aca="false">'PL.Khoi luong'!D232</f>
        <v>77.53</v>
      </c>
      <c r="E237" s="34" t="n">
        <f aca="false">'PL.Khoi luong'!E232</f>
        <v>0</v>
      </c>
      <c r="F237" s="34" t="n">
        <f aca="false">'PL.Khoi luong'!F232</f>
        <v>0</v>
      </c>
      <c r="G237" s="32" t="n">
        <f aca="false">E237+F237</f>
        <v>0</v>
      </c>
      <c r="H237" s="35" t="n">
        <v>2015020.00515929</v>
      </c>
      <c r="I237" s="14" t="n">
        <f aca="false">D237*H237</f>
        <v>156224501</v>
      </c>
      <c r="J237" s="14" t="n">
        <f aca="false">E237*H237</f>
        <v>0</v>
      </c>
      <c r="K237" s="14" t="n">
        <f aca="false">F237*H237</f>
        <v>0</v>
      </c>
      <c r="L237" s="14" t="n">
        <f aca="false">G237*H237</f>
        <v>0</v>
      </c>
      <c r="M237" s="27"/>
    </row>
    <row r="238" customFormat="false" ht="15" hidden="false" customHeight="false" outlineLevel="0" collapsed="false">
      <c r="A238" s="29" t="s">
        <v>480</v>
      </c>
      <c r="B238" s="27" t="s">
        <v>379</v>
      </c>
      <c r="C238" s="29" t="s">
        <v>111</v>
      </c>
      <c r="D238" s="34" t="n">
        <f aca="false">'PL.Khoi luong'!D233</f>
        <v>0.7869</v>
      </c>
      <c r="E238" s="34" t="n">
        <f aca="false">'PL.Khoi luong'!E233</f>
        <v>0</v>
      </c>
      <c r="F238" s="34" t="n">
        <f aca="false">'PL.Khoi luong'!F233</f>
        <v>0</v>
      </c>
      <c r="G238" s="32" t="n">
        <f aca="false">E238+F238</f>
        <v>0</v>
      </c>
      <c r="H238" s="35" t="n">
        <v>34573460.4142839</v>
      </c>
      <c r="I238" s="14" t="n">
        <f aca="false">D238*H238</f>
        <v>27205856</v>
      </c>
      <c r="J238" s="14" t="n">
        <f aca="false">E238*H238</f>
        <v>0</v>
      </c>
      <c r="K238" s="14" t="n">
        <f aca="false">F238*H238</f>
        <v>0</v>
      </c>
      <c r="L238" s="14" t="n">
        <f aca="false">G238*H238</f>
        <v>0</v>
      </c>
      <c r="M238" s="27"/>
    </row>
    <row r="239" customFormat="false" ht="15" hidden="false" customHeight="false" outlineLevel="0" collapsed="false">
      <c r="A239" s="29" t="s">
        <v>481</v>
      </c>
      <c r="B239" s="27" t="s">
        <v>482</v>
      </c>
      <c r="C239" s="29" t="s">
        <v>149</v>
      </c>
      <c r="D239" s="34" t="n">
        <f aca="false">'PL.Khoi luong'!D234</f>
        <v>0.0227</v>
      </c>
      <c r="E239" s="34" t="n">
        <f aca="false">'PL.Khoi luong'!E234</f>
        <v>0</v>
      </c>
      <c r="F239" s="34" t="n">
        <f aca="false">'PL.Khoi luong'!F234</f>
        <v>0</v>
      </c>
      <c r="G239" s="32" t="n">
        <f aca="false">E239+F239</f>
        <v>0</v>
      </c>
      <c r="H239" s="35" t="n">
        <v>25243348.0176211</v>
      </c>
      <c r="I239" s="14" t="n">
        <f aca="false">D239*H239</f>
        <v>573023.999999999</v>
      </c>
      <c r="J239" s="14" t="n">
        <f aca="false">E239*H239</f>
        <v>0</v>
      </c>
      <c r="K239" s="14" t="n">
        <f aca="false">F239*H239</f>
        <v>0</v>
      </c>
      <c r="L239" s="14" t="n">
        <f aca="false">G239*H239</f>
        <v>0</v>
      </c>
      <c r="M239" s="27"/>
    </row>
    <row r="240" customFormat="false" ht="15" hidden="false" customHeight="false" outlineLevel="0" collapsed="false">
      <c r="A240" s="29" t="s">
        <v>483</v>
      </c>
      <c r="B240" s="27" t="s">
        <v>484</v>
      </c>
      <c r="C240" s="29" t="s">
        <v>149</v>
      </c>
      <c r="D240" s="34" t="n">
        <f aca="false">'PL.Khoi luong'!D235</f>
        <v>2.962</v>
      </c>
      <c r="E240" s="34" t="n">
        <f aca="false">'PL.Khoi luong'!E235</f>
        <v>0</v>
      </c>
      <c r="F240" s="34" t="n">
        <f aca="false">'PL.Khoi luong'!F235</f>
        <v>0</v>
      </c>
      <c r="G240" s="32" t="n">
        <f aca="false">E240+F240</f>
        <v>0</v>
      </c>
      <c r="H240" s="35" t="n">
        <v>24556998.9871708</v>
      </c>
      <c r="I240" s="14" t="n">
        <f aca="false">D240*H240</f>
        <v>72737830.9999999</v>
      </c>
      <c r="J240" s="14" t="n">
        <f aca="false">E240*H240</f>
        <v>0</v>
      </c>
      <c r="K240" s="14" t="n">
        <f aca="false">F240*H240</f>
        <v>0</v>
      </c>
      <c r="L240" s="14" t="n">
        <f aca="false">G240*H240</f>
        <v>0</v>
      </c>
      <c r="M240" s="27"/>
    </row>
    <row r="241" customFormat="false" ht="15" hidden="false" customHeight="false" outlineLevel="0" collapsed="false">
      <c r="A241" s="29" t="s">
        <v>485</v>
      </c>
      <c r="B241" s="27" t="s">
        <v>486</v>
      </c>
      <c r="C241" s="29" t="s">
        <v>149</v>
      </c>
      <c r="D241" s="34" t="n">
        <f aca="false">'PL.Khoi luong'!D236</f>
        <v>0.8283</v>
      </c>
      <c r="E241" s="34" t="n">
        <f aca="false">'PL.Khoi luong'!E236</f>
        <v>0</v>
      </c>
      <c r="F241" s="34" t="n">
        <f aca="false">'PL.Khoi luong'!F236</f>
        <v>0</v>
      </c>
      <c r="G241" s="32" t="n">
        <f aca="false">E241+F241</f>
        <v>0</v>
      </c>
      <c r="H241" s="35" t="n">
        <v>23902088.615236</v>
      </c>
      <c r="I241" s="14" t="n">
        <f aca="false">D241*H241</f>
        <v>19798100</v>
      </c>
      <c r="J241" s="14" t="n">
        <f aca="false">E241*H241</f>
        <v>0</v>
      </c>
      <c r="K241" s="14" t="n">
        <f aca="false">F241*H241</f>
        <v>0</v>
      </c>
      <c r="L241" s="14" t="n">
        <f aca="false">G241*H241</f>
        <v>0</v>
      </c>
      <c r="M241" s="27"/>
    </row>
    <row r="242" customFormat="false" ht="15" hidden="false" customHeight="false" outlineLevel="0" collapsed="false">
      <c r="A242" s="29" t="s">
        <v>487</v>
      </c>
      <c r="B242" s="27" t="s">
        <v>488</v>
      </c>
      <c r="C242" s="29" t="s">
        <v>106</v>
      </c>
      <c r="D242" s="34" t="n">
        <f aca="false">'PL.Khoi luong'!D237</f>
        <v>1.3969</v>
      </c>
      <c r="E242" s="34" t="n">
        <f aca="false">'PL.Khoi luong'!E237</f>
        <v>0</v>
      </c>
      <c r="F242" s="34" t="n">
        <f aca="false">'PL.Khoi luong'!F237</f>
        <v>0</v>
      </c>
      <c r="G242" s="32" t="n">
        <f aca="false">E242+F242</f>
        <v>0</v>
      </c>
      <c r="H242" s="35" t="n">
        <v>18714689.6699835</v>
      </c>
      <c r="I242" s="14" t="n">
        <f aca="false">D242*H242</f>
        <v>26142550</v>
      </c>
      <c r="J242" s="14" t="n">
        <f aca="false">E242*H242</f>
        <v>0</v>
      </c>
      <c r="K242" s="14" t="n">
        <f aca="false">F242*H242</f>
        <v>0</v>
      </c>
      <c r="L242" s="14" t="n">
        <f aca="false">G242*H242</f>
        <v>0</v>
      </c>
      <c r="M242" s="27"/>
    </row>
    <row r="243" customFormat="false" ht="15" hidden="false" customHeight="false" outlineLevel="0" collapsed="false">
      <c r="A243" s="29" t="s">
        <v>489</v>
      </c>
      <c r="B243" s="27" t="s">
        <v>490</v>
      </c>
      <c r="C243" s="29" t="s">
        <v>116</v>
      </c>
      <c r="D243" s="34" t="n">
        <f aca="false">'PL.Khoi luong'!D238</f>
        <v>0.25</v>
      </c>
      <c r="E243" s="34" t="n">
        <f aca="false">'PL.Khoi luong'!E238</f>
        <v>0</v>
      </c>
      <c r="F243" s="34" t="n">
        <f aca="false">'PL.Khoi luong'!F238</f>
        <v>0</v>
      </c>
      <c r="G243" s="32" t="n">
        <f aca="false">E243+F243</f>
        <v>0</v>
      </c>
      <c r="H243" s="35" t="n">
        <v>25644740</v>
      </c>
      <c r="I243" s="14" t="n">
        <f aca="false">D243*H243</f>
        <v>6411185</v>
      </c>
      <c r="J243" s="14" t="n">
        <f aca="false">E243*H243</f>
        <v>0</v>
      </c>
      <c r="K243" s="14" t="n">
        <f aca="false">F243*H243</f>
        <v>0</v>
      </c>
      <c r="L243" s="14" t="n">
        <f aca="false">G243*H243</f>
        <v>0</v>
      </c>
      <c r="M243" s="27"/>
    </row>
    <row r="244" customFormat="false" ht="15" hidden="false" customHeight="false" outlineLevel="0" collapsed="false">
      <c r="A244" s="29" t="s">
        <v>491</v>
      </c>
      <c r="B244" s="27" t="s">
        <v>492</v>
      </c>
      <c r="C244" s="29" t="s">
        <v>131</v>
      </c>
      <c r="D244" s="34" t="n">
        <f aca="false">'PL.Khoi luong'!D239</f>
        <v>33.09</v>
      </c>
      <c r="E244" s="34" t="n">
        <f aca="false">'PL.Khoi luong'!E239</f>
        <v>0</v>
      </c>
      <c r="F244" s="34" t="n">
        <f aca="false">'PL.Khoi luong'!F239</f>
        <v>0</v>
      </c>
      <c r="G244" s="32" t="n">
        <f aca="false">E244+F244</f>
        <v>0</v>
      </c>
      <c r="H244" s="35" t="n">
        <v>80833.9981867634</v>
      </c>
      <c r="I244" s="14" t="n">
        <f aca="false">D244*H244</f>
        <v>2674797</v>
      </c>
      <c r="J244" s="14" t="n">
        <f aca="false">E244*H244</f>
        <v>0</v>
      </c>
      <c r="K244" s="14" t="n">
        <f aca="false">F244*H244</f>
        <v>0</v>
      </c>
      <c r="L244" s="14" t="n">
        <f aca="false">G244*H244</f>
        <v>0</v>
      </c>
      <c r="M244" s="27"/>
    </row>
    <row r="245" customFormat="false" ht="15" hidden="false" customHeight="false" outlineLevel="0" collapsed="false">
      <c r="A245" s="12" t="s">
        <v>493</v>
      </c>
      <c r="B245" s="28" t="s">
        <v>494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</row>
    <row r="246" customFormat="false" ht="15" hidden="false" customHeight="false" outlineLevel="0" collapsed="false">
      <c r="A246" s="29" t="s">
        <v>495</v>
      </c>
      <c r="B246" s="27" t="s">
        <v>98</v>
      </c>
      <c r="C246" s="29" t="s">
        <v>99</v>
      </c>
      <c r="D246" s="34" t="n">
        <f aca="false">'PL.Khoi luong'!D241</f>
        <v>0.0427</v>
      </c>
      <c r="E246" s="34" t="n">
        <f aca="false">'PL.Khoi luong'!E241</f>
        <v>0</v>
      </c>
      <c r="F246" s="34" t="n">
        <f aca="false">'PL.Khoi luong'!F241</f>
        <v>0</v>
      </c>
      <c r="G246" s="32" t="n">
        <f aca="false">E246+F246</f>
        <v>0</v>
      </c>
      <c r="H246" s="35" t="n">
        <v>137462997.65808</v>
      </c>
      <c r="I246" s="14" t="n">
        <f aca="false">D246*H246</f>
        <v>5869670.00000002</v>
      </c>
      <c r="J246" s="14" t="n">
        <f aca="false">E246*H246</f>
        <v>0</v>
      </c>
      <c r="K246" s="14" t="n">
        <f aca="false">F246*H246</f>
        <v>0</v>
      </c>
      <c r="L246" s="14" t="n">
        <f aca="false">G246*H246</f>
        <v>0</v>
      </c>
      <c r="M246" s="27"/>
    </row>
    <row r="247" customFormat="false" ht="15" hidden="false" customHeight="false" outlineLevel="0" collapsed="false">
      <c r="A247" s="29" t="s">
        <v>496</v>
      </c>
      <c r="B247" s="27" t="s">
        <v>101</v>
      </c>
      <c r="C247" s="29" t="s">
        <v>99</v>
      </c>
      <c r="D247" s="34" t="n">
        <f aca="false">'PL.Khoi luong'!D242</f>
        <v>0.0427</v>
      </c>
      <c r="E247" s="34" t="n">
        <f aca="false">'PL.Khoi luong'!E242</f>
        <v>0</v>
      </c>
      <c r="F247" s="34" t="n">
        <f aca="false">'PL.Khoi luong'!F242</f>
        <v>0</v>
      </c>
      <c r="G247" s="32" t="n">
        <f aca="false">E247+F247</f>
        <v>0</v>
      </c>
      <c r="H247" s="35" t="n">
        <v>32475409.8360656</v>
      </c>
      <c r="I247" s="14" t="n">
        <f aca="false">D247*H247</f>
        <v>1386700</v>
      </c>
      <c r="J247" s="14" t="n">
        <f aca="false">E247*H247</f>
        <v>0</v>
      </c>
      <c r="K247" s="14" t="n">
        <f aca="false">F247*H247</f>
        <v>0</v>
      </c>
      <c r="L247" s="14" t="n">
        <f aca="false">G247*H247</f>
        <v>0</v>
      </c>
      <c r="M247" s="27"/>
    </row>
    <row r="248" customFormat="false" ht="26.85" hidden="false" customHeight="false" outlineLevel="0" collapsed="false">
      <c r="A248" s="29" t="s">
        <v>497</v>
      </c>
      <c r="B248" s="27" t="s">
        <v>103</v>
      </c>
      <c r="C248" s="29" t="s">
        <v>99</v>
      </c>
      <c r="D248" s="34" t="n">
        <f aca="false">'PL.Khoi luong'!D243</f>
        <v>0.0427</v>
      </c>
      <c r="E248" s="34" t="n">
        <f aca="false">'PL.Khoi luong'!E243</f>
        <v>0</v>
      </c>
      <c r="F248" s="34" t="n">
        <f aca="false">'PL.Khoi luong'!F243</f>
        <v>0</v>
      </c>
      <c r="G248" s="32" t="n">
        <f aca="false">E248+F248</f>
        <v>0</v>
      </c>
      <c r="H248" s="35" t="n">
        <v>9790210.77283372</v>
      </c>
      <c r="I248" s="14" t="n">
        <f aca="false">D248*H248</f>
        <v>418042</v>
      </c>
      <c r="J248" s="14" t="n">
        <f aca="false">E248*H248</f>
        <v>0</v>
      </c>
      <c r="K248" s="14" t="n">
        <f aca="false">F248*H248</f>
        <v>0</v>
      </c>
      <c r="L248" s="14" t="n">
        <f aca="false">G248*H248</f>
        <v>0</v>
      </c>
      <c r="M248" s="27"/>
    </row>
    <row r="249" customFormat="false" ht="26.85" hidden="false" customHeight="false" outlineLevel="0" collapsed="false">
      <c r="A249" s="29" t="s">
        <v>498</v>
      </c>
      <c r="B249" s="27" t="s">
        <v>105</v>
      </c>
      <c r="C249" s="29" t="s">
        <v>106</v>
      </c>
      <c r="D249" s="34" t="n">
        <f aca="false">'PL.Khoi luong'!D244</f>
        <v>0.2477</v>
      </c>
      <c r="E249" s="34" t="n">
        <f aca="false">'PL.Khoi luong'!E244</f>
        <v>0</v>
      </c>
      <c r="F249" s="34" t="n">
        <f aca="false">'PL.Khoi luong'!F244</f>
        <v>0</v>
      </c>
      <c r="G249" s="32" t="n">
        <f aca="false">E249+F249</f>
        <v>0</v>
      </c>
      <c r="H249" s="35" t="n">
        <v>1613088.41340331</v>
      </c>
      <c r="I249" s="14" t="n">
        <f aca="false">D249*H249</f>
        <v>399562</v>
      </c>
      <c r="J249" s="14" t="n">
        <f aca="false">E249*H249</f>
        <v>0</v>
      </c>
      <c r="K249" s="14" t="n">
        <f aca="false">F249*H249</f>
        <v>0</v>
      </c>
      <c r="L249" s="14" t="n">
        <f aca="false">G249*H249</f>
        <v>0</v>
      </c>
      <c r="M249" s="27"/>
    </row>
    <row r="250" customFormat="false" ht="15" hidden="false" customHeight="false" outlineLevel="0" collapsed="false">
      <c r="A250" s="29" t="s">
        <v>499</v>
      </c>
      <c r="B250" s="27" t="s">
        <v>108</v>
      </c>
      <c r="C250" s="29" t="s">
        <v>106</v>
      </c>
      <c r="D250" s="34" t="n">
        <f aca="false">'PL.Khoi luong'!D245</f>
        <v>0.2477</v>
      </c>
      <c r="E250" s="34" t="n">
        <f aca="false">'PL.Khoi luong'!E245</f>
        <v>0</v>
      </c>
      <c r="F250" s="34" t="n">
        <f aca="false">'PL.Khoi luong'!F245</f>
        <v>0</v>
      </c>
      <c r="G250" s="32" t="n">
        <f aca="false">E250+F250</f>
        <v>0</v>
      </c>
      <c r="H250" s="35" t="n">
        <v>1669176.42309245</v>
      </c>
      <c r="I250" s="14" t="n">
        <f aca="false">D250*H250</f>
        <v>413455</v>
      </c>
      <c r="J250" s="14" t="n">
        <f aca="false">E250*H250</f>
        <v>0</v>
      </c>
      <c r="K250" s="14" t="n">
        <f aca="false">F250*H250</f>
        <v>0</v>
      </c>
      <c r="L250" s="14" t="n">
        <f aca="false">G250*H250</f>
        <v>0</v>
      </c>
      <c r="M250" s="27"/>
    </row>
    <row r="251" customFormat="false" ht="15" hidden="false" customHeight="false" outlineLevel="0" collapsed="false">
      <c r="A251" s="29" t="s">
        <v>500</v>
      </c>
      <c r="B251" s="27" t="s">
        <v>110</v>
      </c>
      <c r="C251" s="29" t="s">
        <v>111</v>
      </c>
      <c r="D251" s="34" t="n">
        <f aca="false">'PL.Khoi luong'!D246</f>
        <v>0.2477</v>
      </c>
      <c r="E251" s="34" t="n">
        <f aca="false">'PL.Khoi luong'!E246</f>
        <v>0</v>
      </c>
      <c r="F251" s="34" t="n">
        <f aca="false">'PL.Khoi luong'!F246</f>
        <v>0</v>
      </c>
      <c r="G251" s="32" t="n">
        <f aca="false">E251+F251</f>
        <v>0</v>
      </c>
      <c r="H251" s="35" t="n">
        <v>54574743.6415018</v>
      </c>
      <c r="I251" s="14" t="n">
        <f aca="false">D251*H251</f>
        <v>13518164</v>
      </c>
      <c r="J251" s="14" t="n">
        <f aca="false">E251*H251</f>
        <v>0</v>
      </c>
      <c r="K251" s="14" t="n">
        <f aca="false">F251*H251</f>
        <v>0</v>
      </c>
      <c r="L251" s="14" t="n">
        <f aca="false">G251*H251</f>
        <v>0</v>
      </c>
      <c r="M251" s="27"/>
    </row>
    <row r="252" customFormat="false" ht="15" hidden="false" customHeight="false" outlineLevel="0" collapsed="false">
      <c r="A252" s="29" t="s">
        <v>501</v>
      </c>
      <c r="B252" s="27" t="s">
        <v>113</v>
      </c>
      <c r="C252" s="29" t="s">
        <v>111</v>
      </c>
      <c r="D252" s="34" t="n">
        <f aca="false">'PL.Khoi luong'!D247</f>
        <v>0.2477</v>
      </c>
      <c r="E252" s="34" t="n">
        <f aca="false">'PL.Khoi luong'!E247</f>
        <v>0</v>
      </c>
      <c r="F252" s="34" t="n">
        <f aca="false">'PL.Khoi luong'!F247</f>
        <v>0</v>
      </c>
      <c r="G252" s="32" t="n">
        <f aca="false">E252+F252</f>
        <v>0</v>
      </c>
      <c r="H252" s="35" t="n">
        <v>49026257.5696407</v>
      </c>
      <c r="I252" s="14" t="n">
        <f aca="false">D252*H252</f>
        <v>12143804</v>
      </c>
      <c r="J252" s="14" t="n">
        <f aca="false">E252*H252</f>
        <v>0</v>
      </c>
      <c r="K252" s="14" t="n">
        <f aca="false">F252*H252</f>
        <v>0</v>
      </c>
      <c r="L252" s="14" t="n">
        <f aca="false">G252*H252</f>
        <v>0</v>
      </c>
      <c r="M252" s="27"/>
    </row>
    <row r="253" customFormat="false" ht="15" hidden="false" customHeight="false" outlineLevel="0" collapsed="false">
      <c r="A253" s="29" t="s">
        <v>502</v>
      </c>
      <c r="B253" s="27" t="s">
        <v>503</v>
      </c>
      <c r="C253" s="29" t="s">
        <v>240</v>
      </c>
      <c r="D253" s="34" t="n">
        <f aca="false">'PL.Khoi luong'!D248</f>
        <v>2</v>
      </c>
      <c r="E253" s="34" t="n">
        <f aca="false">'PL.Khoi luong'!E248</f>
        <v>0</v>
      </c>
      <c r="F253" s="34" t="n">
        <f aca="false">'PL.Khoi luong'!F248</f>
        <v>0</v>
      </c>
      <c r="G253" s="32" t="n">
        <f aca="false">E253+F253</f>
        <v>0</v>
      </c>
      <c r="H253" s="35" t="n">
        <v>305595</v>
      </c>
      <c r="I253" s="14" t="n">
        <f aca="false">D253*H253</f>
        <v>611190</v>
      </c>
      <c r="J253" s="14" t="n">
        <f aca="false">E253*H253</f>
        <v>0</v>
      </c>
      <c r="K253" s="14" t="n">
        <f aca="false">F253*H253</f>
        <v>0</v>
      </c>
      <c r="L253" s="14" t="n">
        <f aca="false">G253*H253</f>
        <v>0</v>
      </c>
      <c r="M253" s="27"/>
    </row>
    <row r="254" customFormat="false" ht="15" hidden="false" customHeight="false" outlineLevel="0" collapsed="false">
      <c r="A254" s="29" t="s">
        <v>504</v>
      </c>
      <c r="B254" s="27" t="s">
        <v>505</v>
      </c>
      <c r="C254" s="29" t="s">
        <v>111</v>
      </c>
      <c r="D254" s="34" t="n">
        <f aca="false">'PL.Khoi luong'!D249</f>
        <v>0.3715</v>
      </c>
      <c r="E254" s="34" t="n">
        <f aca="false">'PL.Khoi luong'!E249</f>
        <v>0</v>
      </c>
      <c r="F254" s="34" t="n">
        <f aca="false">'PL.Khoi luong'!F249</f>
        <v>0</v>
      </c>
      <c r="G254" s="32" t="n">
        <f aca="false">E254+F254</f>
        <v>0</v>
      </c>
      <c r="H254" s="35" t="n">
        <v>4370532.97442799</v>
      </c>
      <c r="I254" s="14" t="n">
        <f aca="false">D254*H254</f>
        <v>1623653</v>
      </c>
      <c r="J254" s="14" t="n">
        <f aca="false">E254*H254</f>
        <v>0</v>
      </c>
      <c r="K254" s="14" t="n">
        <f aca="false">F254*H254</f>
        <v>0</v>
      </c>
      <c r="L254" s="14" t="n">
        <f aca="false">G254*H254</f>
        <v>0</v>
      </c>
      <c r="M254" s="27"/>
    </row>
    <row r="255" customFormat="false" ht="15" hidden="false" customHeight="false" outlineLevel="0" collapsed="false">
      <c r="A255" s="12" t="s">
        <v>506</v>
      </c>
      <c r="B255" s="28" t="s">
        <v>507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</row>
    <row r="256" customFormat="false" ht="15" hidden="false" customHeight="false" outlineLevel="0" collapsed="false">
      <c r="A256" s="29" t="s">
        <v>508</v>
      </c>
      <c r="B256" s="27" t="s">
        <v>509</v>
      </c>
      <c r="C256" s="29" t="s">
        <v>116</v>
      </c>
      <c r="D256" s="34" t="n">
        <f aca="false">'PL.Khoi luong'!D251</f>
        <v>9.88</v>
      </c>
      <c r="E256" s="34" t="n">
        <f aca="false">'PL.Khoi luong'!E251</f>
        <v>0</v>
      </c>
      <c r="F256" s="34" t="n">
        <f aca="false">'PL.Khoi luong'!F251</f>
        <v>0</v>
      </c>
      <c r="G256" s="32" t="n">
        <f aca="false">E256+F256</f>
        <v>0</v>
      </c>
      <c r="H256" s="35" t="n">
        <v>1643551.01214575</v>
      </c>
      <c r="I256" s="14" t="n">
        <f aca="false">D256*H256</f>
        <v>16238284</v>
      </c>
      <c r="J256" s="14" t="n">
        <f aca="false">E256*H256</f>
        <v>0</v>
      </c>
      <c r="K256" s="14" t="n">
        <f aca="false">F256*H256</f>
        <v>0</v>
      </c>
      <c r="L256" s="14" t="n">
        <f aca="false">G256*H256</f>
        <v>0</v>
      </c>
      <c r="M256" s="27"/>
    </row>
    <row r="257" customFormat="false" ht="15" hidden="false" customHeight="false" outlineLevel="0" collapsed="false">
      <c r="A257" s="29" t="s">
        <v>510</v>
      </c>
      <c r="B257" s="27" t="s">
        <v>379</v>
      </c>
      <c r="C257" s="29" t="s">
        <v>111</v>
      </c>
      <c r="D257" s="34" t="n">
        <f aca="false">'PL.Khoi luong'!D252</f>
        <v>0.1003</v>
      </c>
      <c r="E257" s="34" t="n">
        <f aca="false">'PL.Khoi luong'!E252</f>
        <v>0</v>
      </c>
      <c r="F257" s="34" t="n">
        <f aca="false">'PL.Khoi luong'!F252</f>
        <v>0</v>
      </c>
      <c r="G257" s="32" t="n">
        <f aca="false">E257+F257</f>
        <v>0</v>
      </c>
      <c r="H257" s="35" t="n">
        <v>34573459.6211366</v>
      </c>
      <c r="I257" s="14" t="n">
        <f aca="false">D257*H257</f>
        <v>3467718</v>
      </c>
      <c r="J257" s="14" t="n">
        <f aca="false">E257*H257</f>
        <v>0</v>
      </c>
      <c r="K257" s="14" t="n">
        <f aca="false">F257*H257</f>
        <v>0</v>
      </c>
      <c r="L257" s="14" t="n">
        <f aca="false">G257*H257</f>
        <v>0</v>
      </c>
      <c r="M257" s="27"/>
    </row>
    <row r="258" customFormat="false" ht="15" hidden="false" customHeight="false" outlineLevel="0" collapsed="false">
      <c r="A258" s="29" t="s">
        <v>511</v>
      </c>
      <c r="B258" s="27" t="s">
        <v>512</v>
      </c>
      <c r="C258" s="29" t="s">
        <v>149</v>
      </c>
      <c r="D258" s="34" t="n">
        <f aca="false">'PL.Khoi luong'!D253</f>
        <v>0.0096</v>
      </c>
      <c r="E258" s="34" t="n">
        <f aca="false">'PL.Khoi luong'!E253</f>
        <v>0</v>
      </c>
      <c r="F258" s="34" t="n">
        <f aca="false">'PL.Khoi luong'!F253</f>
        <v>0</v>
      </c>
      <c r="G258" s="32" t="n">
        <f aca="false">E258+F258</f>
        <v>0</v>
      </c>
      <c r="H258" s="35" t="n">
        <v>23159270.8333333</v>
      </c>
      <c r="I258" s="14" t="n">
        <f aca="false">D258*H258</f>
        <v>222329</v>
      </c>
      <c r="J258" s="14" t="n">
        <f aca="false">E258*H258</f>
        <v>0</v>
      </c>
      <c r="K258" s="14" t="n">
        <f aca="false">F258*H258</f>
        <v>0</v>
      </c>
      <c r="L258" s="14" t="n">
        <f aca="false">G258*H258</f>
        <v>0</v>
      </c>
      <c r="M258" s="27"/>
    </row>
    <row r="259" customFormat="false" ht="15" hidden="false" customHeight="false" outlineLevel="0" collapsed="false">
      <c r="A259" s="29" t="s">
        <v>513</v>
      </c>
      <c r="B259" s="27" t="s">
        <v>514</v>
      </c>
      <c r="C259" s="29" t="s">
        <v>149</v>
      </c>
      <c r="D259" s="34" t="n">
        <f aca="false">'PL.Khoi luong'!D254</f>
        <v>1.0783</v>
      </c>
      <c r="E259" s="34" t="n">
        <f aca="false">'PL.Khoi luong'!E254</f>
        <v>0</v>
      </c>
      <c r="F259" s="34" t="n">
        <f aca="false">'PL.Khoi luong'!F254</f>
        <v>0</v>
      </c>
      <c r="G259" s="32" t="n">
        <f aca="false">E259+F259</f>
        <v>0</v>
      </c>
      <c r="H259" s="35" t="n">
        <v>22943551.8872299</v>
      </c>
      <c r="I259" s="14" t="n">
        <f aca="false">D259*H259</f>
        <v>24740032</v>
      </c>
      <c r="J259" s="14" t="n">
        <f aca="false">E259*H259</f>
        <v>0</v>
      </c>
      <c r="K259" s="14" t="n">
        <f aca="false">F259*H259</f>
        <v>0</v>
      </c>
      <c r="L259" s="14" t="n">
        <f aca="false">G259*H259</f>
        <v>0</v>
      </c>
      <c r="M259" s="27"/>
    </row>
    <row r="260" customFormat="false" ht="15" hidden="false" customHeight="false" outlineLevel="0" collapsed="false">
      <c r="A260" s="29" t="s">
        <v>515</v>
      </c>
      <c r="B260" s="27" t="s">
        <v>516</v>
      </c>
      <c r="C260" s="29" t="s">
        <v>149</v>
      </c>
      <c r="D260" s="34" t="n">
        <f aca="false">'PL.Khoi luong'!D255</f>
        <v>0.6958</v>
      </c>
      <c r="E260" s="34" t="n">
        <f aca="false">'PL.Khoi luong'!E255</f>
        <v>0</v>
      </c>
      <c r="F260" s="34" t="n">
        <f aca="false">'PL.Khoi luong'!F255</f>
        <v>0</v>
      </c>
      <c r="G260" s="32" t="n">
        <f aca="false">E260+F260</f>
        <v>0</v>
      </c>
      <c r="H260" s="35" t="n">
        <v>22244998.5628054</v>
      </c>
      <c r="I260" s="14" t="n">
        <f aca="false">D260*H260</f>
        <v>15478070</v>
      </c>
      <c r="J260" s="14" t="n">
        <f aca="false">E260*H260</f>
        <v>0</v>
      </c>
      <c r="K260" s="14" t="n">
        <f aca="false">F260*H260</f>
        <v>0</v>
      </c>
      <c r="L260" s="14" t="n">
        <f aca="false">G260*H260</f>
        <v>0</v>
      </c>
      <c r="M260" s="27"/>
    </row>
    <row r="261" customFormat="false" ht="15" hidden="false" customHeight="false" outlineLevel="0" collapsed="false">
      <c r="A261" s="29" t="s">
        <v>517</v>
      </c>
      <c r="B261" s="27" t="s">
        <v>518</v>
      </c>
      <c r="C261" s="29" t="s">
        <v>106</v>
      </c>
      <c r="D261" s="34" t="n">
        <f aca="false">'PL.Khoi luong'!D256</f>
        <v>0.0642</v>
      </c>
      <c r="E261" s="34" t="n">
        <f aca="false">'PL.Khoi luong'!E256</f>
        <v>0</v>
      </c>
      <c r="F261" s="34" t="n">
        <f aca="false">'PL.Khoi luong'!F256</f>
        <v>0</v>
      </c>
      <c r="G261" s="32" t="n">
        <f aca="false">E261+F261</f>
        <v>0</v>
      </c>
      <c r="H261" s="35" t="n">
        <v>4768006.2305296</v>
      </c>
      <c r="I261" s="14" t="n">
        <f aca="false">D261*H261</f>
        <v>306106</v>
      </c>
      <c r="J261" s="14" t="n">
        <f aca="false">E261*H261</f>
        <v>0</v>
      </c>
      <c r="K261" s="14" t="n">
        <f aca="false">F261*H261</f>
        <v>0</v>
      </c>
      <c r="L261" s="14" t="n">
        <f aca="false">G261*H261</f>
        <v>0</v>
      </c>
      <c r="M261" s="27"/>
    </row>
    <row r="262" customFormat="false" ht="15" hidden="false" customHeight="false" outlineLevel="0" collapsed="false">
      <c r="A262" s="29" t="s">
        <v>519</v>
      </c>
      <c r="B262" s="27" t="s">
        <v>136</v>
      </c>
      <c r="C262" s="29" t="s">
        <v>116</v>
      </c>
      <c r="D262" s="34" t="n">
        <f aca="false">'PL.Khoi luong'!D257</f>
        <v>3.09</v>
      </c>
      <c r="E262" s="34" t="n">
        <f aca="false">'PL.Khoi luong'!E257</f>
        <v>0</v>
      </c>
      <c r="F262" s="34" t="n">
        <f aca="false">'PL.Khoi luong'!F257</f>
        <v>0</v>
      </c>
      <c r="G262" s="32" t="n">
        <f aca="false">E262+F262</f>
        <v>0</v>
      </c>
      <c r="H262" s="35" t="n">
        <v>1010702.91262136</v>
      </c>
      <c r="I262" s="14" t="n">
        <f aca="false">D262*H262</f>
        <v>3123072</v>
      </c>
      <c r="J262" s="14" t="n">
        <f aca="false">E262*H262</f>
        <v>0</v>
      </c>
      <c r="K262" s="14" t="n">
        <f aca="false">F262*H262</f>
        <v>0</v>
      </c>
      <c r="L262" s="14" t="n">
        <f aca="false">G262*H262</f>
        <v>0</v>
      </c>
      <c r="M262" s="27"/>
    </row>
    <row r="263" customFormat="false" ht="15" hidden="false" customHeight="false" outlineLevel="0" collapsed="false">
      <c r="A263" s="29" t="s">
        <v>520</v>
      </c>
      <c r="B263" s="27" t="s">
        <v>521</v>
      </c>
      <c r="C263" s="29" t="s">
        <v>522</v>
      </c>
      <c r="D263" s="34" t="n">
        <f aca="false">'PL.Khoi luong'!D258</f>
        <v>47.5</v>
      </c>
      <c r="E263" s="34" t="n">
        <f aca="false">'PL.Khoi luong'!E258</f>
        <v>0</v>
      </c>
      <c r="F263" s="34" t="n">
        <f aca="false">'PL.Khoi luong'!F258</f>
        <v>0</v>
      </c>
      <c r="G263" s="32" t="n">
        <f aca="false">E263+F263</f>
        <v>0</v>
      </c>
      <c r="H263" s="35" t="n">
        <v>25355.0105263158</v>
      </c>
      <c r="I263" s="14" t="n">
        <f aca="false">D263*H263</f>
        <v>1204363</v>
      </c>
      <c r="J263" s="14" t="n">
        <f aca="false">E263*H263</f>
        <v>0</v>
      </c>
      <c r="K263" s="14" t="n">
        <f aca="false">F263*H263</f>
        <v>0</v>
      </c>
      <c r="L263" s="14" t="n">
        <f aca="false">G263*H263</f>
        <v>0</v>
      </c>
      <c r="M263" s="27"/>
    </row>
    <row r="264" customFormat="false" ht="15" hidden="false" customHeight="false" outlineLevel="0" collapsed="false">
      <c r="A264" s="29" t="s">
        <v>523</v>
      </c>
      <c r="B264" s="27" t="s">
        <v>524</v>
      </c>
      <c r="C264" s="29" t="s">
        <v>245</v>
      </c>
      <c r="D264" s="34" t="n">
        <f aca="false">'PL.Khoi luong'!D259</f>
        <v>0.03</v>
      </c>
      <c r="E264" s="34" t="n">
        <f aca="false">'PL.Khoi luong'!E259</f>
        <v>0</v>
      </c>
      <c r="F264" s="34" t="n">
        <f aca="false">'PL.Khoi luong'!F259</f>
        <v>0</v>
      </c>
      <c r="G264" s="32" t="n">
        <f aca="false">E264+F264</f>
        <v>0</v>
      </c>
      <c r="H264" s="35" t="n">
        <v>3077166.66666667</v>
      </c>
      <c r="I264" s="14" t="n">
        <f aca="false">D264*H264</f>
        <v>92315.0000000001</v>
      </c>
      <c r="J264" s="14" t="n">
        <f aca="false">E264*H264</f>
        <v>0</v>
      </c>
      <c r="K264" s="14" t="n">
        <f aca="false">F264*H264</f>
        <v>0</v>
      </c>
      <c r="L264" s="14" t="n">
        <f aca="false">G264*H264</f>
        <v>0</v>
      </c>
      <c r="M264" s="27"/>
    </row>
    <row r="265" customFormat="false" ht="15" hidden="false" customHeight="false" outlineLevel="0" collapsed="false">
      <c r="A265" s="12" t="s">
        <v>525</v>
      </c>
      <c r="B265" s="28" t="s">
        <v>526</v>
      </c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</row>
    <row r="266" customFormat="false" ht="15" hidden="false" customHeight="false" outlineLevel="0" collapsed="false">
      <c r="A266" s="29" t="s">
        <v>527</v>
      </c>
      <c r="B266" s="27" t="s">
        <v>528</v>
      </c>
      <c r="C266" s="29" t="s">
        <v>116</v>
      </c>
      <c r="D266" s="34" t="n">
        <f aca="false">'PL.Khoi luong'!D261</f>
        <v>101.52</v>
      </c>
      <c r="E266" s="34" t="n">
        <f aca="false">'PL.Khoi luong'!E261</f>
        <v>0</v>
      </c>
      <c r="F266" s="34" t="n">
        <f aca="false">'PL.Khoi luong'!F261</f>
        <v>0</v>
      </c>
      <c r="G266" s="32" t="n">
        <f aca="false">E266+F266</f>
        <v>0</v>
      </c>
      <c r="H266" s="35" t="n">
        <v>1483163.99724192</v>
      </c>
      <c r="I266" s="14" t="n">
        <f aca="false">D266*H266</f>
        <v>150570809</v>
      </c>
      <c r="J266" s="14" t="n">
        <f aca="false">E266*H266</f>
        <v>0</v>
      </c>
      <c r="K266" s="14" t="n">
        <f aca="false">F266*H266</f>
        <v>0</v>
      </c>
      <c r="L266" s="14" t="n">
        <f aca="false">G266*H266</f>
        <v>0</v>
      </c>
      <c r="M266" s="27"/>
    </row>
    <row r="267" customFormat="false" ht="15" hidden="false" customHeight="false" outlineLevel="0" collapsed="false">
      <c r="A267" s="29" t="s">
        <v>529</v>
      </c>
      <c r="B267" s="27" t="s">
        <v>379</v>
      </c>
      <c r="C267" s="29" t="s">
        <v>111</v>
      </c>
      <c r="D267" s="34" t="n">
        <f aca="false">'PL.Khoi luong'!D262</f>
        <v>1.0304</v>
      </c>
      <c r="E267" s="34" t="n">
        <f aca="false">'PL.Khoi luong'!E262</f>
        <v>0</v>
      </c>
      <c r="F267" s="34" t="n">
        <f aca="false">'PL.Khoi luong'!F262</f>
        <v>0</v>
      </c>
      <c r="G267" s="32" t="n">
        <f aca="false">E267+F267</f>
        <v>0</v>
      </c>
      <c r="H267" s="35" t="n">
        <v>34573460.7919255</v>
      </c>
      <c r="I267" s="14" t="n">
        <f aca="false">D267*H267</f>
        <v>35624494</v>
      </c>
      <c r="J267" s="14" t="n">
        <f aca="false">E267*H267</f>
        <v>0</v>
      </c>
      <c r="K267" s="14" t="n">
        <f aca="false">F267*H267</f>
        <v>0</v>
      </c>
      <c r="L267" s="14" t="n">
        <f aca="false">G267*H267</f>
        <v>0</v>
      </c>
      <c r="M267" s="27"/>
    </row>
    <row r="268" customFormat="false" ht="15" hidden="false" customHeight="false" outlineLevel="0" collapsed="false">
      <c r="A268" s="29" t="s">
        <v>530</v>
      </c>
      <c r="B268" s="27" t="s">
        <v>531</v>
      </c>
      <c r="C268" s="29" t="s">
        <v>149</v>
      </c>
      <c r="D268" s="34" t="n">
        <f aca="false">'PL.Khoi luong'!D263</f>
        <v>3.5325</v>
      </c>
      <c r="E268" s="34" t="n">
        <f aca="false">'PL.Khoi luong'!E263</f>
        <v>0</v>
      </c>
      <c r="F268" s="34" t="n">
        <f aca="false">'PL.Khoi luong'!F263</f>
        <v>0</v>
      </c>
      <c r="G268" s="32" t="n">
        <f aca="false">E268+F268</f>
        <v>0</v>
      </c>
      <c r="H268" s="35" t="n">
        <v>32518315.07431</v>
      </c>
      <c r="I268" s="14" t="n">
        <f aca="false">D268*H268</f>
        <v>114870948</v>
      </c>
      <c r="J268" s="14" t="n">
        <f aca="false">E268*H268</f>
        <v>0</v>
      </c>
      <c r="K268" s="14" t="n">
        <f aca="false">F268*H268</f>
        <v>0</v>
      </c>
      <c r="L268" s="14" t="n">
        <f aca="false">G268*H268</f>
        <v>0</v>
      </c>
      <c r="M268" s="27"/>
    </row>
    <row r="269" customFormat="false" ht="15" hidden="false" customHeight="false" outlineLevel="0" collapsed="false">
      <c r="A269" s="29" t="s">
        <v>532</v>
      </c>
      <c r="B269" s="27" t="s">
        <v>533</v>
      </c>
      <c r="C269" s="29" t="s">
        <v>149</v>
      </c>
      <c r="D269" s="34" t="n">
        <f aca="false">'PL.Khoi luong'!D264</f>
        <v>3.5325</v>
      </c>
      <c r="E269" s="34" t="n">
        <f aca="false">'PL.Khoi luong'!E264</f>
        <v>0</v>
      </c>
      <c r="F269" s="34" t="n">
        <f aca="false">'PL.Khoi luong'!F264</f>
        <v>0</v>
      </c>
      <c r="G269" s="32" t="n">
        <f aca="false">E269+F269</f>
        <v>0</v>
      </c>
      <c r="H269" s="35" t="n">
        <v>7338987.96886058</v>
      </c>
      <c r="I269" s="14" t="n">
        <f aca="false">D269*H269</f>
        <v>25924975</v>
      </c>
      <c r="J269" s="14" t="n">
        <f aca="false">E269*H269</f>
        <v>0</v>
      </c>
      <c r="K269" s="14" t="n">
        <f aca="false">F269*H269</f>
        <v>0</v>
      </c>
      <c r="L269" s="14" t="n">
        <f aca="false">G269*H269</f>
        <v>0</v>
      </c>
      <c r="M269" s="27"/>
    </row>
    <row r="270" customFormat="false" ht="15" hidden="false" customHeight="false" outlineLevel="0" collapsed="false">
      <c r="A270" s="29" t="s">
        <v>534</v>
      </c>
      <c r="B270" s="27" t="s">
        <v>535</v>
      </c>
      <c r="C270" s="29" t="s">
        <v>149</v>
      </c>
      <c r="D270" s="34" t="n">
        <f aca="false">'PL.Khoi luong'!D265</f>
        <v>4.6256</v>
      </c>
      <c r="E270" s="34" t="n">
        <f aca="false">'PL.Khoi luong'!E265</f>
        <v>0</v>
      </c>
      <c r="F270" s="34" t="n">
        <f aca="false">'PL.Khoi luong'!F265</f>
        <v>0</v>
      </c>
      <c r="G270" s="32" t="n">
        <f aca="false">E270+F270</f>
        <v>0</v>
      </c>
      <c r="H270" s="35" t="n">
        <v>24092399.0401245</v>
      </c>
      <c r="I270" s="14" t="n">
        <f aca="false">D270*H270</f>
        <v>111441801</v>
      </c>
      <c r="J270" s="14" t="n">
        <f aca="false">E270*H270</f>
        <v>0</v>
      </c>
      <c r="K270" s="14" t="n">
        <f aca="false">F270*H270</f>
        <v>0</v>
      </c>
      <c r="L270" s="14" t="n">
        <f aca="false">G270*H270</f>
        <v>0</v>
      </c>
      <c r="M270" s="27"/>
    </row>
    <row r="271" customFormat="false" ht="15" hidden="false" customHeight="false" outlineLevel="0" collapsed="false">
      <c r="A271" s="29" t="s">
        <v>536</v>
      </c>
      <c r="B271" s="27" t="s">
        <v>537</v>
      </c>
      <c r="C271" s="29" t="s">
        <v>149</v>
      </c>
      <c r="D271" s="34" t="n">
        <f aca="false">'PL.Khoi luong'!D266</f>
        <v>18.6851</v>
      </c>
      <c r="E271" s="34" t="n">
        <f aca="false">'PL.Khoi luong'!E266</f>
        <v>0</v>
      </c>
      <c r="F271" s="34" t="n">
        <f aca="false">'PL.Khoi luong'!F266</f>
        <v>0</v>
      </c>
      <c r="G271" s="32" t="n">
        <f aca="false">E271+F271</f>
        <v>0</v>
      </c>
      <c r="H271" s="35" t="n">
        <v>22791843.0193042</v>
      </c>
      <c r="I271" s="14" t="n">
        <f aca="false">D271*H271</f>
        <v>425867866.000001</v>
      </c>
      <c r="J271" s="14" t="n">
        <f aca="false">E271*H271</f>
        <v>0</v>
      </c>
      <c r="K271" s="14" t="n">
        <f aca="false">F271*H271</f>
        <v>0</v>
      </c>
      <c r="L271" s="14" t="n">
        <f aca="false">G271*H271</f>
        <v>0</v>
      </c>
      <c r="M271" s="27"/>
    </row>
    <row r="272" customFormat="false" ht="15" hidden="false" customHeight="false" outlineLevel="0" collapsed="false">
      <c r="A272" s="29" t="s">
        <v>538</v>
      </c>
      <c r="B272" s="27" t="s">
        <v>539</v>
      </c>
      <c r="C272" s="29" t="s">
        <v>149</v>
      </c>
      <c r="D272" s="34" t="n">
        <f aca="false">'PL.Khoi luong'!D267</f>
        <v>1.7208</v>
      </c>
      <c r="E272" s="34" t="n">
        <f aca="false">'PL.Khoi luong'!E267</f>
        <v>0</v>
      </c>
      <c r="F272" s="34" t="n">
        <f aca="false">'PL.Khoi luong'!F267</f>
        <v>0</v>
      </c>
      <c r="G272" s="32" t="n">
        <f aca="false">E272+F272</f>
        <v>0</v>
      </c>
      <c r="H272" s="35" t="n">
        <v>22466123.8958624</v>
      </c>
      <c r="I272" s="14" t="n">
        <f aca="false">D272*H272</f>
        <v>38659706</v>
      </c>
      <c r="J272" s="14" t="n">
        <f aca="false">E272*H272</f>
        <v>0</v>
      </c>
      <c r="K272" s="14" t="n">
        <f aca="false">F272*H272</f>
        <v>0</v>
      </c>
      <c r="L272" s="14" t="n">
        <f aca="false">G272*H272</f>
        <v>0</v>
      </c>
      <c r="M272" s="27"/>
    </row>
    <row r="273" customFormat="false" ht="26.85" hidden="false" customHeight="false" outlineLevel="0" collapsed="false">
      <c r="A273" s="29" t="s">
        <v>540</v>
      </c>
      <c r="B273" s="27" t="s">
        <v>541</v>
      </c>
      <c r="C273" s="29" t="s">
        <v>106</v>
      </c>
      <c r="D273" s="34" t="n">
        <f aca="false">'PL.Khoi luong'!D268</f>
        <v>10.2492</v>
      </c>
      <c r="E273" s="34" t="n">
        <f aca="false">'PL.Khoi luong'!E268</f>
        <v>0</v>
      </c>
      <c r="F273" s="34" t="n">
        <f aca="false">'PL.Khoi luong'!F268</f>
        <v>0</v>
      </c>
      <c r="G273" s="32" t="n">
        <f aca="false">E273+F273</f>
        <v>0</v>
      </c>
      <c r="H273" s="35" t="n">
        <v>9859727.00308317</v>
      </c>
      <c r="I273" s="14" t="n">
        <f aca="false">D273*H273</f>
        <v>101054314</v>
      </c>
      <c r="J273" s="14" t="n">
        <f aca="false">E273*H273</f>
        <v>0</v>
      </c>
      <c r="K273" s="14" t="n">
        <f aca="false">F273*H273</f>
        <v>0</v>
      </c>
      <c r="L273" s="14" t="n">
        <f aca="false">G273*H273</f>
        <v>0</v>
      </c>
      <c r="M273" s="27"/>
    </row>
    <row r="274" customFormat="false" ht="15" hidden="false" customHeight="false" outlineLevel="0" collapsed="false">
      <c r="A274" s="29" t="s">
        <v>542</v>
      </c>
      <c r="B274" s="27" t="s">
        <v>543</v>
      </c>
      <c r="C274" s="29" t="s">
        <v>245</v>
      </c>
      <c r="D274" s="34" t="n">
        <f aca="false">'PL.Khoi luong'!D269</f>
        <v>10.8208</v>
      </c>
      <c r="E274" s="34" t="n">
        <f aca="false">'PL.Khoi luong'!E269</f>
        <v>0</v>
      </c>
      <c r="F274" s="34" t="n">
        <f aca="false">'PL.Khoi luong'!F269</f>
        <v>0</v>
      </c>
      <c r="G274" s="32" t="n">
        <f aca="false">E274+F274</f>
        <v>0</v>
      </c>
      <c r="H274" s="35" t="n">
        <v>13408620.989206</v>
      </c>
      <c r="I274" s="14" t="n">
        <f aca="false">D274*H274</f>
        <v>145092006</v>
      </c>
      <c r="J274" s="14" t="n">
        <f aca="false">E274*H274</f>
        <v>0</v>
      </c>
      <c r="K274" s="14" t="n">
        <f aca="false">F274*H274</f>
        <v>0</v>
      </c>
      <c r="L274" s="14" t="n">
        <f aca="false">G274*H274</f>
        <v>0</v>
      </c>
      <c r="M274" s="27"/>
    </row>
    <row r="275" customFormat="false" ht="26.85" hidden="false" customHeight="false" outlineLevel="0" collapsed="false">
      <c r="A275" s="29" t="s">
        <v>544</v>
      </c>
      <c r="B275" s="27" t="s">
        <v>545</v>
      </c>
      <c r="C275" s="29" t="s">
        <v>546</v>
      </c>
      <c r="D275" s="34" t="n">
        <f aca="false">'PL.Khoi luong'!D270</f>
        <v>72</v>
      </c>
      <c r="E275" s="34" t="n">
        <f aca="false">'PL.Khoi luong'!E270</f>
        <v>0</v>
      </c>
      <c r="F275" s="34" t="n">
        <f aca="false">'PL.Khoi luong'!F270</f>
        <v>0</v>
      </c>
      <c r="G275" s="32" t="n">
        <f aca="false">E275+F275</f>
        <v>0</v>
      </c>
      <c r="H275" s="35" t="n">
        <v>805645</v>
      </c>
      <c r="I275" s="14" t="n">
        <f aca="false">D275*H275</f>
        <v>58006440</v>
      </c>
      <c r="J275" s="14" t="n">
        <f aca="false">E275*H275</f>
        <v>0</v>
      </c>
      <c r="K275" s="14" t="n">
        <f aca="false">F275*H275</f>
        <v>0</v>
      </c>
      <c r="L275" s="14" t="n">
        <f aca="false">G275*H275</f>
        <v>0</v>
      </c>
      <c r="M275" s="27"/>
    </row>
    <row r="276" customFormat="false" ht="15" hidden="false" customHeight="false" outlineLevel="0" collapsed="false">
      <c r="A276" s="12" t="s">
        <v>547</v>
      </c>
      <c r="B276" s="28" t="s">
        <v>548</v>
      </c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</row>
    <row r="277" customFormat="false" ht="26.85" hidden="false" customHeight="false" outlineLevel="0" collapsed="false">
      <c r="A277" s="29" t="s">
        <v>549</v>
      </c>
      <c r="B277" s="27" t="s">
        <v>550</v>
      </c>
      <c r="C277" s="29" t="s">
        <v>551</v>
      </c>
      <c r="D277" s="34" t="n">
        <f aca="false">'PL.Khoi luong'!D272</f>
        <v>2</v>
      </c>
      <c r="E277" s="34" t="n">
        <f aca="false">'PL.Khoi luong'!E272</f>
        <v>0</v>
      </c>
      <c r="F277" s="34" t="n">
        <f aca="false">'PL.Khoi luong'!F272</f>
        <v>0</v>
      </c>
      <c r="G277" s="32" t="n">
        <f aca="false">E277+F277</f>
        <v>0</v>
      </c>
      <c r="H277" s="35" t="n">
        <v>26666706</v>
      </c>
      <c r="I277" s="14" t="n">
        <f aca="false">D277*H277</f>
        <v>53333412</v>
      </c>
      <c r="J277" s="14" t="n">
        <f aca="false">E277*H277</f>
        <v>0</v>
      </c>
      <c r="K277" s="14" t="n">
        <f aca="false">F277*H277</f>
        <v>0</v>
      </c>
      <c r="L277" s="14" t="n">
        <f aca="false">G277*H277</f>
        <v>0</v>
      </c>
      <c r="M277" s="27"/>
    </row>
    <row r="278" customFormat="false" ht="15" hidden="false" customHeight="false" outlineLevel="0" collapsed="false">
      <c r="A278" s="12" t="s">
        <v>552</v>
      </c>
      <c r="B278" s="28" t="s">
        <v>553</v>
      </c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</row>
    <row r="279" customFormat="false" ht="15" hidden="false" customHeight="false" outlineLevel="0" collapsed="false">
      <c r="A279" s="29" t="s">
        <v>554</v>
      </c>
      <c r="B279" s="27" t="s">
        <v>555</v>
      </c>
      <c r="C279" s="29" t="s">
        <v>149</v>
      </c>
      <c r="D279" s="34" t="n">
        <f aca="false">'PL.Khoi luong'!D274</f>
        <v>0.0148</v>
      </c>
      <c r="E279" s="34" t="n">
        <f aca="false">'PL.Khoi luong'!E274</f>
        <v>0</v>
      </c>
      <c r="F279" s="34" t="n">
        <f aca="false">'PL.Khoi luong'!F274</f>
        <v>0</v>
      </c>
      <c r="G279" s="32" t="n">
        <f aca="false">E279+F279</f>
        <v>0</v>
      </c>
      <c r="H279" s="35" t="n">
        <v>24711148.6486486</v>
      </c>
      <c r="I279" s="14" t="n">
        <f aca="false">D279*H279</f>
        <v>365724.999999999</v>
      </c>
      <c r="J279" s="14" t="n">
        <f aca="false">E279*H279</f>
        <v>0</v>
      </c>
      <c r="K279" s="14" t="n">
        <f aca="false">F279*H279</f>
        <v>0</v>
      </c>
      <c r="L279" s="14" t="n">
        <f aca="false">G279*H279</f>
        <v>0</v>
      </c>
      <c r="M279" s="27"/>
    </row>
    <row r="280" customFormat="false" ht="15" hidden="false" customHeight="false" outlineLevel="0" collapsed="false">
      <c r="A280" s="29" t="s">
        <v>556</v>
      </c>
      <c r="B280" s="27" t="s">
        <v>557</v>
      </c>
      <c r="C280" s="29" t="s">
        <v>149</v>
      </c>
      <c r="D280" s="34" t="n">
        <f aca="false">'PL.Khoi luong'!D275</f>
        <v>0.0354</v>
      </c>
      <c r="E280" s="34" t="n">
        <f aca="false">'PL.Khoi luong'!E275</f>
        <v>0</v>
      </c>
      <c r="F280" s="34" t="n">
        <f aca="false">'PL.Khoi luong'!F275</f>
        <v>0</v>
      </c>
      <c r="G280" s="32" t="n">
        <f aca="false">E280+F280</f>
        <v>0</v>
      </c>
      <c r="H280" s="35" t="n">
        <v>23176864.4067797</v>
      </c>
      <c r="I280" s="14" t="n">
        <f aca="false">D280*H280</f>
        <v>820461.000000001</v>
      </c>
      <c r="J280" s="14" t="n">
        <f aca="false">E280*H280</f>
        <v>0</v>
      </c>
      <c r="K280" s="14" t="n">
        <f aca="false">F280*H280</f>
        <v>0</v>
      </c>
      <c r="L280" s="14" t="n">
        <f aca="false">G280*H280</f>
        <v>0</v>
      </c>
      <c r="M280" s="27"/>
    </row>
    <row r="281" customFormat="false" ht="15" hidden="false" customHeight="false" outlineLevel="0" collapsed="false">
      <c r="A281" s="29" t="s">
        <v>558</v>
      </c>
      <c r="B281" s="27" t="s">
        <v>559</v>
      </c>
      <c r="C281" s="29" t="s">
        <v>149</v>
      </c>
      <c r="D281" s="34" t="n">
        <f aca="false">'PL.Khoi luong'!D276</f>
        <v>0.0966</v>
      </c>
      <c r="E281" s="34" t="n">
        <f aca="false">'PL.Khoi luong'!E276</f>
        <v>0</v>
      </c>
      <c r="F281" s="34" t="n">
        <f aca="false">'PL.Khoi luong'!F276</f>
        <v>0</v>
      </c>
      <c r="G281" s="32" t="n">
        <f aca="false">E281+F281</f>
        <v>0</v>
      </c>
      <c r="H281" s="35" t="n">
        <v>30778229.8136646</v>
      </c>
      <c r="I281" s="14" t="n">
        <f aca="false">D281*H281</f>
        <v>2973177</v>
      </c>
      <c r="J281" s="14" t="n">
        <f aca="false">E281*H281</f>
        <v>0</v>
      </c>
      <c r="K281" s="14" t="n">
        <f aca="false">F281*H281</f>
        <v>0</v>
      </c>
      <c r="L281" s="14" t="n">
        <f aca="false">G281*H281</f>
        <v>0</v>
      </c>
      <c r="M281" s="27"/>
    </row>
    <row r="282" customFormat="false" ht="15" hidden="false" customHeight="false" outlineLevel="0" collapsed="false">
      <c r="A282" s="29" t="s">
        <v>560</v>
      </c>
      <c r="B282" s="27" t="s">
        <v>561</v>
      </c>
      <c r="C282" s="29" t="s">
        <v>149</v>
      </c>
      <c r="D282" s="34" t="n">
        <f aca="false">'PL.Khoi luong'!D277</f>
        <v>0.0966</v>
      </c>
      <c r="E282" s="34" t="n">
        <f aca="false">'PL.Khoi luong'!E277</f>
        <v>0</v>
      </c>
      <c r="F282" s="34" t="n">
        <f aca="false">'PL.Khoi luong'!F277</f>
        <v>0</v>
      </c>
      <c r="G282" s="32" t="n">
        <f aca="false">E282+F282</f>
        <v>0</v>
      </c>
      <c r="H282" s="35" t="n">
        <v>6280548.65424431</v>
      </c>
      <c r="I282" s="14" t="n">
        <f aca="false">D282*H282</f>
        <v>606701</v>
      </c>
      <c r="J282" s="14" t="n">
        <f aca="false">E282*H282</f>
        <v>0</v>
      </c>
      <c r="K282" s="14" t="n">
        <f aca="false">F282*H282</f>
        <v>0</v>
      </c>
      <c r="L282" s="14" t="n">
        <f aca="false">G282*H282</f>
        <v>0</v>
      </c>
      <c r="M282" s="27"/>
    </row>
    <row r="283" customFormat="false" ht="15" hidden="false" customHeight="false" outlineLevel="0" collapsed="false">
      <c r="A283" s="29" t="s">
        <v>562</v>
      </c>
      <c r="B283" s="27" t="s">
        <v>490</v>
      </c>
      <c r="C283" s="29" t="s">
        <v>116</v>
      </c>
      <c r="D283" s="34" t="n">
        <f aca="false">'PL.Khoi luong'!D278</f>
        <v>0.02</v>
      </c>
      <c r="E283" s="34" t="n">
        <f aca="false">'PL.Khoi luong'!E278</f>
        <v>0</v>
      </c>
      <c r="F283" s="34" t="n">
        <f aca="false">'PL.Khoi luong'!F278</f>
        <v>0</v>
      </c>
      <c r="G283" s="32" t="n">
        <f aca="false">E283+F283</f>
        <v>0</v>
      </c>
      <c r="H283" s="35" t="n">
        <v>25644750</v>
      </c>
      <c r="I283" s="14" t="n">
        <f aca="false">D283*H283</f>
        <v>512895</v>
      </c>
      <c r="J283" s="14" t="n">
        <f aca="false">E283*H283</f>
        <v>0</v>
      </c>
      <c r="K283" s="14" t="n">
        <f aca="false">F283*H283</f>
        <v>0</v>
      </c>
      <c r="L283" s="14" t="n">
        <f aca="false">G283*H283</f>
        <v>0</v>
      </c>
      <c r="M283" s="27"/>
    </row>
    <row r="284" customFormat="false" ht="15" hidden="false" customHeight="false" outlineLevel="0" collapsed="false">
      <c r="A284" s="29" t="s">
        <v>563</v>
      </c>
      <c r="B284" s="27" t="s">
        <v>521</v>
      </c>
      <c r="C284" s="29" t="s">
        <v>522</v>
      </c>
      <c r="D284" s="34" t="n">
        <f aca="false">'PL.Khoi luong'!D279</f>
        <v>0.1</v>
      </c>
      <c r="E284" s="34" t="n">
        <f aca="false">'PL.Khoi luong'!E279</f>
        <v>0</v>
      </c>
      <c r="F284" s="34" t="n">
        <f aca="false">'PL.Khoi luong'!F279</f>
        <v>0</v>
      </c>
      <c r="G284" s="32" t="n">
        <f aca="false">E284+F284</f>
        <v>0</v>
      </c>
      <c r="H284" s="35" t="n">
        <v>25360</v>
      </c>
      <c r="I284" s="14" t="n">
        <f aca="false">D284*H284</f>
        <v>2536</v>
      </c>
      <c r="J284" s="14" t="n">
        <f aca="false">E284*H284</f>
        <v>0</v>
      </c>
      <c r="K284" s="14" t="n">
        <f aca="false">F284*H284</f>
        <v>0</v>
      </c>
      <c r="L284" s="14" t="n">
        <f aca="false">G284*H284</f>
        <v>0</v>
      </c>
      <c r="M284" s="27"/>
    </row>
    <row r="285" customFormat="false" ht="15" hidden="false" customHeight="false" outlineLevel="0" collapsed="false">
      <c r="A285" s="12" t="s">
        <v>564</v>
      </c>
      <c r="B285" s="28" t="s">
        <v>565</v>
      </c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</row>
    <row r="286" customFormat="false" ht="15" hidden="false" customHeight="false" outlineLevel="0" collapsed="false">
      <c r="A286" s="29" t="s">
        <v>566</v>
      </c>
      <c r="B286" s="27" t="s">
        <v>567</v>
      </c>
      <c r="C286" s="29" t="s">
        <v>111</v>
      </c>
      <c r="D286" s="34" t="n">
        <f aca="false">'PL.Khoi luong'!D281</f>
        <v>4.078</v>
      </c>
      <c r="E286" s="34" t="n">
        <f aca="false">'PL.Khoi luong'!E281</f>
        <v>0</v>
      </c>
      <c r="F286" s="34" t="n">
        <f aca="false">'PL.Khoi luong'!F281</f>
        <v>0</v>
      </c>
      <c r="G286" s="32" t="n">
        <f aca="false">E286+F286</f>
        <v>0</v>
      </c>
      <c r="H286" s="35" t="n">
        <v>1662931.09367337</v>
      </c>
      <c r="I286" s="14" t="n">
        <f aca="false">D286*H286</f>
        <v>6781433</v>
      </c>
      <c r="J286" s="14" t="n">
        <f aca="false">E286*H286</f>
        <v>0</v>
      </c>
      <c r="K286" s="14" t="n">
        <f aca="false">F286*H286</f>
        <v>0</v>
      </c>
      <c r="L286" s="14" t="n">
        <f aca="false">G286*H286</f>
        <v>0</v>
      </c>
      <c r="M286" s="27"/>
    </row>
    <row r="287" customFormat="false" ht="15" hidden="false" customHeight="false" outlineLevel="0" collapsed="false">
      <c r="A287" s="29" t="s">
        <v>568</v>
      </c>
      <c r="B287" s="27" t="s">
        <v>569</v>
      </c>
      <c r="C287" s="29" t="s">
        <v>111</v>
      </c>
      <c r="D287" s="34" t="n">
        <f aca="false">'PL.Khoi luong'!D282</f>
        <v>2.376</v>
      </c>
      <c r="E287" s="34" t="n">
        <f aca="false">'PL.Khoi luong'!E282</f>
        <v>0</v>
      </c>
      <c r="F287" s="34" t="n">
        <f aca="false">'PL.Khoi luong'!F282</f>
        <v>0</v>
      </c>
      <c r="G287" s="32" t="n">
        <f aca="false">E287+F287</f>
        <v>0</v>
      </c>
      <c r="H287" s="35" t="n">
        <v>3010629.20875421</v>
      </c>
      <c r="I287" s="14" t="n">
        <f aca="false">D287*H287</f>
        <v>7153255</v>
      </c>
      <c r="J287" s="14" t="n">
        <f aca="false">E287*H287</f>
        <v>0</v>
      </c>
      <c r="K287" s="14" t="n">
        <f aca="false">F287*H287</f>
        <v>0</v>
      </c>
      <c r="L287" s="14" t="n">
        <f aca="false">G287*H287</f>
        <v>0</v>
      </c>
      <c r="M287" s="27"/>
    </row>
    <row r="288" customFormat="false" ht="15" hidden="false" customHeight="false" outlineLevel="0" collapsed="false">
      <c r="A288" s="29" t="s">
        <v>570</v>
      </c>
      <c r="B288" s="27" t="s">
        <v>571</v>
      </c>
      <c r="C288" s="29" t="s">
        <v>111</v>
      </c>
      <c r="D288" s="34" t="n">
        <f aca="false">'PL.Khoi luong'!D283</f>
        <v>1.814</v>
      </c>
      <c r="E288" s="34" t="n">
        <f aca="false">'PL.Khoi luong'!E283</f>
        <v>0</v>
      </c>
      <c r="F288" s="34" t="n">
        <f aca="false">'PL.Khoi luong'!F283</f>
        <v>0</v>
      </c>
      <c r="G288" s="32" t="n">
        <f aca="false">E288+F288</f>
        <v>0</v>
      </c>
      <c r="H288" s="35" t="n">
        <v>4370534.1786108</v>
      </c>
      <c r="I288" s="14" t="n">
        <f aca="false">D288*H288</f>
        <v>7928148.99999999</v>
      </c>
      <c r="J288" s="14" t="n">
        <f aca="false">E288*H288</f>
        <v>0</v>
      </c>
      <c r="K288" s="14" t="n">
        <f aca="false">F288*H288</f>
        <v>0</v>
      </c>
      <c r="L288" s="14" t="n">
        <f aca="false">G288*H288</f>
        <v>0</v>
      </c>
      <c r="M288" s="27"/>
    </row>
    <row r="289" customFormat="false" ht="15" hidden="false" customHeight="false" outlineLevel="0" collapsed="false">
      <c r="A289" s="29" t="s">
        <v>572</v>
      </c>
      <c r="B289" s="27" t="s">
        <v>573</v>
      </c>
      <c r="C289" s="29" t="s">
        <v>574</v>
      </c>
      <c r="D289" s="34" t="n">
        <f aca="false">'PL.Khoi luong'!D284</f>
        <v>10</v>
      </c>
      <c r="E289" s="34" t="n">
        <f aca="false">'PL.Khoi luong'!E284</f>
        <v>0</v>
      </c>
      <c r="F289" s="34" t="n">
        <f aca="false">'PL.Khoi luong'!F284</f>
        <v>0</v>
      </c>
      <c r="G289" s="32" t="n">
        <f aca="false">E289+F289</f>
        <v>0</v>
      </c>
      <c r="H289" s="35" t="n">
        <v>1770331</v>
      </c>
      <c r="I289" s="14" t="n">
        <f aca="false">D289*H289</f>
        <v>17703310</v>
      </c>
      <c r="J289" s="14" t="n">
        <f aca="false">E289*H289</f>
        <v>0</v>
      </c>
      <c r="K289" s="14" t="n">
        <f aca="false">F289*H289</f>
        <v>0</v>
      </c>
      <c r="L289" s="14" t="n">
        <f aca="false">G289*H289</f>
        <v>0</v>
      </c>
      <c r="M289" s="27"/>
    </row>
    <row r="290" customFormat="false" ht="15" hidden="false" customHeight="false" outlineLevel="0" collapsed="false">
      <c r="A290" s="29" t="s">
        <v>575</v>
      </c>
      <c r="B290" s="27" t="s">
        <v>576</v>
      </c>
      <c r="C290" s="29" t="s">
        <v>245</v>
      </c>
      <c r="D290" s="34" t="n">
        <f aca="false">'PL.Khoi luong'!D285</f>
        <v>1.4</v>
      </c>
      <c r="E290" s="34" t="n">
        <f aca="false">'PL.Khoi luong'!E285</f>
        <v>0</v>
      </c>
      <c r="F290" s="34" t="n">
        <f aca="false">'PL.Khoi luong'!F285</f>
        <v>0</v>
      </c>
      <c r="G290" s="32" t="n">
        <f aca="false">E290+F290</f>
        <v>0</v>
      </c>
      <c r="H290" s="35" t="n">
        <v>8549567.85714286</v>
      </c>
      <c r="I290" s="14" t="n">
        <f aca="false">D290*H290</f>
        <v>11969395</v>
      </c>
      <c r="J290" s="14" t="n">
        <f aca="false">E290*H290</f>
        <v>0</v>
      </c>
      <c r="K290" s="14" t="n">
        <f aca="false">F290*H290</f>
        <v>0</v>
      </c>
      <c r="L290" s="14" t="n">
        <f aca="false">G290*H290</f>
        <v>0</v>
      </c>
      <c r="M290" s="27"/>
    </row>
    <row r="291" customFormat="false" ht="15" hidden="false" customHeight="false" outlineLevel="0" collapsed="false">
      <c r="A291" s="29" t="s">
        <v>577</v>
      </c>
      <c r="B291" s="27" t="s">
        <v>578</v>
      </c>
      <c r="C291" s="29" t="s">
        <v>245</v>
      </c>
      <c r="D291" s="34" t="n">
        <f aca="false">'PL.Khoi luong'!D286</f>
        <v>1.4</v>
      </c>
      <c r="E291" s="34" t="n">
        <f aca="false">'PL.Khoi luong'!E286</f>
        <v>0</v>
      </c>
      <c r="F291" s="34" t="n">
        <f aca="false">'PL.Khoi luong'!F286</f>
        <v>0</v>
      </c>
      <c r="G291" s="32" t="n">
        <f aca="false">E291+F291</f>
        <v>0</v>
      </c>
      <c r="H291" s="35" t="n">
        <v>6420455.71428572</v>
      </c>
      <c r="I291" s="14" t="n">
        <f aca="false">D291*H291</f>
        <v>8988638.00000001</v>
      </c>
      <c r="J291" s="14" t="n">
        <f aca="false">E291*H291</f>
        <v>0</v>
      </c>
      <c r="K291" s="14" t="n">
        <f aca="false">F291*H291</f>
        <v>0</v>
      </c>
      <c r="L291" s="14" t="n">
        <f aca="false">G291*H291</f>
        <v>0</v>
      </c>
      <c r="M291" s="27"/>
    </row>
    <row r="292" customFormat="false" ht="15" hidden="false" customHeight="false" outlineLevel="0" collapsed="false">
      <c r="A292" s="29" t="s">
        <v>579</v>
      </c>
      <c r="B292" s="27" t="s">
        <v>580</v>
      </c>
      <c r="C292" s="29" t="s">
        <v>149</v>
      </c>
      <c r="D292" s="34" t="n">
        <f aca="false">'PL.Khoi luong'!D287</f>
        <v>10.654</v>
      </c>
      <c r="E292" s="34" t="n">
        <f aca="false">'PL.Khoi luong'!E287</f>
        <v>0</v>
      </c>
      <c r="F292" s="34" t="n">
        <f aca="false">'PL.Khoi luong'!F287</f>
        <v>0</v>
      </c>
      <c r="G292" s="32" t="n">
        <f aca="false">E292+F292</f>
        <v>0</v>
      </c>
      <c r="H292" s="35" t="n">
        <v>1132073.02421626</v>
      </c>
      <c r="I292" s="14" t="n">
        <f aca="false">D292*H292</f>
        <v>12061106</v>
      </c>
      <c r="J292" s="14" t="n">
        <f aca="false">E292*H292</f>
        <v>0</v>
      </c>
      <c r="K292" s="14" t="n">
        <f aca="false">F292*H292</f>
        <v>0</v>
      </c>
      <c r="L292" s="14" t="n">
        <f aca="false">G292*H292</f>
        <v>0</v>
      </c>
      <c r="M292" s="27"/>
    </row>
    <row r="293" customFormat="false" ht="15" hidden="false" customHeight="false" outlineLevel="0" collapsed="false">
      <c r="A293" s="29" t="s">
        <v>581</v>
      </c>
      <c r="B293" s="27" t="s">
        <v>416</v>
      </c>
      <c r="C293" s="29" t="s">
        <v>149</v>
      </c>
      <c r="D293" s="34" t="n">
        <f aca="false">'PL.Khoi luong'!D288</f>
        <v>9.82</v>
      </c>
      <c r="E293" s="34" t="n">
        <f aca="false">'PL.Khoi luong'!E288</f>
        <v>0</v>
      </c>
      <c r="F293" s="34" t="n">
        <f aca="false">'PL.Khoi luong'!F288</f>
        <v>0</v>
      </c>
      <c r="G293" s="32" t="n">
        <f aca="false">E293+F293</f>
        <v>0</v>
      </c>
      <c r="H293" s="35" t="n">
        <v>1598274.03258656</v>
      </c>
      <c r="I293" s="14" t="n">
        <f aca="false">D293*H293</f>
        <v>15695051</v>
      </c>
      <c r="J293" s="14" t="n">
        <f aca="false">E293*H293</f>
        <v>0</v>
      </c>
      <c r="K293" s="14" t="n">
        <f aca="false">F293*H293</f>
        <v>0</v>
      </c>
      <c r="L293" s="14" t="n">
        <f aca="false">G293*H293</f>
        <v>0</v>
      </c>
      <c r="M293" s="27"/>
    </row>
    <row r="294" customFormat="false" ht="15" hidden="false" customHeight="false" outlineLevel="0" collapsed="false">
      <c r="A294" s="29" t="s">
        <v>582</v>
      </c>
      <c r="B294" s="27" t="s">
        <v>418</v>
      </c>
      <c r="C294" s="29" t="s">
        <v>149</v>
      </c>
      <c r="D294" s="34" t="n">
        <f aca="false">'PL.Khoi luong'!D289</f>
        <v>9.82</v>
      </c>
      <c r="E294" s="34" t="n">
        <f aca="false">'PL.Khoi luong'!E289</f>
        <v>0</v>
      </c>
      <c r="F294" s="34" t="n">
        <f aca="false">'PL.Khoi luong'!F289</f>
        <v>0</v>
      </c>
      <c r="G294" s="32" t="n">
        <f aca="false">E294+F294</f>
        <v>0</v>
      </c>
      <c r="H294" s="35" t="n">
        <v>11308913.9511202</v>
      </c>
      <c r="I294" s="14" t="n">
        <f aca="false">D294*H294</f>
        <v>111053535</v>
      </c>
      <c r="J294" s="14" t="n">
        <f aca="false">E294*H294</f>
        <v>0</v>
      </c>
      <c r="K294" s="14" t="n">
        <f aca="false">F294*H294</f>
        <v>0</v>
      </c>
      <c r="L294" s="14" t="n">
        <f aca="false">G294*H294</f>
        <v>0</v>
      </c>
      <c r="M294" s="27"/>
    </row>
    <row r="295" customFormat="false" ht="15" hidden="false" customHeight="false" outlineLevel="0" collapsed="false">
      <c r="A295" s="29" t="s">
        <v>583</v>
      </c>
      <c r="B295" s="27" t="s">
        <v>420</v>
      </c>
      <c r="C295" s="29" t="s">
        <v>149</v>
      </c>
      <c r="D295" s="34" t="n">
        <f aca="false">'PL.Khoi luong'!D290</f>
        <v>9.82</v>
      </c>
      <c r="E295" s="34" t="n">
        <f aca="false">'PL.Khoi luong'!E290</f>
        <v>0</v>
      </c>
      <c r="F295" s="34" t="n">
        <f aca="false">'PL.Khoi luong'!F290</f>
        <v>0</v>
      </c>
      <c r="G295" s="32" t="n">
        <f aca="false">E295+F295</f>
        <v>0</v>
      </c>
      <c r="H295" s="35" t="n">
        <v>6138047.96334012</v>
      </c>
      <c r="I295" s="14" t="n">
        <f aca="false">D295*H295</f>
        <v>60275631</v>
      </c>
      <c r="J295" s="14" t="n">
        <f aca="false">E295*H295</f>
        <v>0</v>
      </c>
      <c r="K295" s="14" t="n">
        <f aca="false">F295*H295</f>
        <v>0</v>
      </c>
      <c r="L295" s="14" t="n">
        <f aca="false">G295*H295</f>
        <v>0</v>
      </c>
      <c r="M295" s="27"/>
    </row>
    <row r="296" customFormat="false" ht="15" hidden="false" customHeight="false" outlineLevel="0" collapsed="false">
      <c r="A296" s="29" t="s">
        <v>584</v>
      </c>
      <c r="B296" s="27" t="s">
        <v>422</v>
      </c>
      <c r="C296" s="29" t="s">
        <v>149</v>
      </c>
      <c r="D296" s="34" t="n">
        <f aca="false">'PL.Khoi luong'!D291</f>
        <v>9.82</v>
      </c>
      <c r="E296" s="34" t="n">
        <f aca="false">'PL.Khoi luong'!E291</f>
        <v>0</v>
      </c>
      <c r="F296" s="34" t="n">
        <f aca="false">'PL.Khoi luong'!F291</f>
        <v>0</v>
      </c>
      <c r="G296" s="32" t="n">
        <f aca="false">E296+F296</f>
        <v>0</v>
      </c>
      <c r="H296" s="35" t="n">
        <v>2639747.96334012</v>
      </c>
      <c r="I296" s="14" t="n">
        <f aca="false">D296*H296</f>
        <v>25922325</v>
      </c>
      <c r="J296" s="14" t="n">
        <f aca="false">E296*H296</f>
        <v>0</v>
      </c>
      <c r="K296" s="14" t="n">
        <f aca="false">F296*H296</f>
        <v>0</v>
      </c>
      <c r="L296" s="14" t="n">
        <f aca="false">G296*H296</f>
        <v>0</v>
      </c>
      <c r="M296" s="27"/>
    </row>
    <row r="297" customFormat="false" ht="15" hidden="false" customHeight="false" outlineLevel="0" collapsed="false">
      <c r="A297" s="29" t="s">
        <v>585</v>
      </c>
      <c r="B297" s="27" t="s">
        <v>586</v>
      </c>
      <c r="C297" s="29" t="s">
        <v>587</v>
      </c>
      <c r="D297" s="34" t="n">
        <f aca="false">'PL.Khoi luong'!D292</f>
        <v>4.1</v>
      </c>
      <c r="E297" s="34" t="n">
        <f aca="false">'PL.Khoi luong'!E292</f>
        <v>0</v>
      </c>
      <c r="F297" s="34" t="n">
        <f aca="false">'PL.Khoi luong'!F292</f>
        <v>0</v>
      </c>
      <c r="G297" s="32" t="n">
        <f aca="false">E297+F297</f>
        <v>0</v>
      </c>
      <c r="H297" s="35" t="n">
        <v>5945123.90243903</v>
      </c>
      <c r="I297" s="14" t="n">
        <f aca="false">D297*H297</f>
        <v>24375008</v>
      </c>
      <c r="J297" s="14" t="n">
        <f aca="false">E297*H297</f>
        <v>0</v>
      </c>
      <c r="K297" s="14" t="n">
        <f aca="false">F297*H297</f>
        <v>0</v>
      </c>
      <c r="L297" s="14" t="n">
        <f aca="false">G297*H297</f>
        <v>0</v>
      </c>
      <c r="M297" s="27"/>
    </row>
    <row r="298" customFormat="false" ht="15" hidden="false" customHeight="false" outlineLevel="0" collapsed="false">
      <c r="A298" s="29" t="s">
        <v>588</v>
      </c>
      <c r="B298" s="27" t="s">
        <v>589</v>
      </c>
      <c r="C298" s="29" t="s">
        <v>116</v>
      </c>
      <c r="D298" s="34" t="n">
        <f aca="false">'PL.Khoi luong'!D293</f>
        <v>2.44</v>
      </c>
      <c r="E298" s="34" t="n">
        <f aca="false">'PL.Khoi luong'!E293</f>
        <v>0</v>
      </c>
      <c r="F298" s="34" t="n">
        <f aca="false">'PL.Khoi luong'!F293</f>
        <v>0</v>
      </c>
      <c r="G298" s="32" t="n">
        <f aca="false">E298+F298</f>
        <v>0</v>
      </c>
      <c r="H298" s="35" t="n">
        <v>1446738.93442623</v>
      </c>
      <c r="I298" s="14" t="n">
        <f aca="false">D298*H298</f>
        <v>3530043</v>
      </c>
      <c r="J298" s="14" t="n">
        <f aca="false">E298*H298</f>
        <v>0</v>
      </c>
      <c r="K298" s="14" t="n">
        <f aca="false">F298*H298</f>
        <v>0</v>
      </c>
      <c r="L298" s="14" t="n">
        <f aca="false">G298*H298</f>
        <v>0</v>
      </c>
      <c r="M298" s="27"/>
    </row>
    <row r="299" customFormat="false" ht="15" hidden="false" customHeight="false" outlineLevel="0" collapsed="false">
      <c r="A299" s="29" t="s">
        <v>590</v>
      </c>
      <c r="B299" s="27" t="s">
        <v>591</v>
      </c>
      <c r="C299" s="29" t="s">
        <v>111</v>
      </c>
      <c r="D299" s="34" t="n">
        <f aca="false">'PL.Khoi luong'!D294</f>
        <v>2.8546</v>
      </c>
      <c r="E299" s="34" t="n">
        <f aca="false">'PL.Khoi luong'!E294</f>
        <v>0</v>
      </c>
      <c r="F299" s="34" t="n">
        <f aca="false">'PL.Khoi luong'!F294</f>
        <v>0</v>
      </c>
      <c r="G299" s="32" t="n">
        <f aca="false">E299+F299</f>
        <v>0</v>
      </c>
      <c r="H299" s="35" t="n">
        <v>1679124.92117985</v>
      </c>
      <c r="I299" s="14" t="n">
        <f aca="false">D299*H299</f>
        <v>4793230</v>
      </c>
      <c r="J299" s="14" t="n">
        <f aca="false">E299*H299</f>
        <v>0</v>
      </c>
      <c r="K299" s="14" t="n">
        <f aca="false">F299*H299</f>
        <v>0</v>
      </c>
      <c r="L299" s="14" t="n">
        <f aca="false">G299*H299</f>
        <v>0</v>
      </c>
      <c r="M299" s="27"/>
    </row>
    <row r="300" customFormat="false" ht="15" hidden="false" customHeight="false" outlineLevel="0" collapsed="false">
      <c r="A300" s="12" t="s">
        <v>592</v>
      </c>
      <c r="B300" s="28" t="s">
        <v>593</v>
      </c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</row>
    <row r="301" customFormat="false" ht="15" hidden="false" customHeight="false" outlineLevel="0" collapsed="false">
      <c r="A301" s="29" t="s">
        <v>594</v>
      </c>
      <c r="B301" s="27" t="s">
        <v>595</v>
      </c>
      <c r="C301" s="29" t="s">
        <v>596</v>
      </c>
      <c r="D301" s="34" t="n">
        <f aca="false">'PL.Khoi luong'!D296</f>
        <v>8</v>
      </c>
      <c r="E301" s="34" t="n">
        <f aca="false">'PL.Khoi luong'!E296</f>
        <v>0</v>
      </c>
      <c r="F301" s="34" t="n">
        <f aca="false">'PL.Khoi luong'!F296</f>
        <v>0</v>
      </c>
      <c r="G301" s="32" t="n">
        <f aca="false">E301+F301</f>
        <v>0</v>
      </c>
      <c r="H301" s="35" t="n">
        <v>6901474</v>
      </c>
      <c r="I301" s="14" t="n">
        <f aca="false">D301*H301</f>
        <v>55211792</v>
      </c>
      <c r="J301" s="14" t="n">
        <f aca="false">E301*H301</f>
        <v>0</v>
      </c>
      <c r="K301" s="14" t="n">
        <f aca="false">F301*H301</f>
        <v>0</v>
      </c>
      <c r="L301" s="14" t="n">
        <f aca="false">G301*H301</f>
        <v>0</v>
      </c>
      <c r="M301" s="27"/>
    </row>
    <row r="302" customFormat="false" ht="15" hidden="false" customHeight="false" outlineLevel="0" collapsed="false">
      <c r="A302" s="12" t="s">
        <v>597</v>
      </c>
      <c r="B302" s="28" t="s">
        <v>598</v>
      </c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</row>
    <row r="303" customFormat="false" ht="15" hidden="false" customHeight="false" outlineLevel="0" collapsed="false">
      <c r="A303" s="29" t="s">
        <v>599</v>
      </c>
      <c r="B303" s="27" t="s">
        <v>136</v>
      </c>
      <c r="C303" s="29" t="s">
        <v>116</v>
      </c>
      <c r="D303" s="34" t="n">
        <f aca="false">'PL.Khoi luong'!D298</f>
        <v>3.96</v>
      </c>
      <c r="E303" s="34" t="n">
        <f aca="false">'PL.Khoi luong'!E298</f>
        <v>0</v>
      </c>
      <c r="F303" s="34" t="n">
        <f aca="false">'PL.Khoi luong'!F298</f>
        <v>0</v>
      </c>
      <c r="G303" s="32" t="n">
        <f aca="false">E303+F303</f>
        <v>0</v>
      </c>
      <c r="H303" s="35" t="n">
        <v>1010703.03030303</v>
      </c>
      <c r="I303" s="14" t="n">
        <f aca="false">D303*H303</f>
        <v>4002384</v>
      </c>
      <c r="J303" s="14" t="n">
        <f aca="false">E303*H303</f>
        <v>0</v>
      </c>
      <c r="K303" s="14" t="n">
        <f aca="false">F303*H303</f>
        <v>0</v>
      </c>
      <c r="L303" s="14" t="n">
        <f aca="false">G303*H303</f>
        <v>0</v>
      </c>
      <c r="M303" s="27"/>
    </row>
    <row r="304" customFormat="false" ht="15" hidden="false" customHeight="false" outlineLevel="0" collapsed="false">
      <c r="A304" s="29" t="s">
        <v>600</v>
      </c>
      <c r="B304" s="27" t="s">
        <v>601</v>
      </c>
      <c r="C304" s="29" t="s">
        <v>116</v>
      </c>
      <c r="D304" s="34" t="n">
        <f aca="false">'PL.Khoi luong'!D299</f>
        <v>1.01</v>
      </c>
      <c r="E304" s="34" t="n">
        <f aca="false">'PL.Khoi luong'!E299</f>
        <v>0</v>
      </c>
      <c r="F304" s="34" t="n">
        <f aca="false">'PL.Khoi luong'!F299</f>
        <v>0</v>
      </c>
      <c r="G304" s="32" t="n">
        <f aca="false">E304+F304</f>
        <v>0</v>
      </c>
      <c r="H304" s="35" t="n">
        <v>1533740.59405941</v>
      </c>
      <c r="I304" s="14" t="n">
        <f aca="false">D304*H304</f>
        <v>1549078</v>
      </c>
      <c r="J304" s="14" t="n">
        <f aca="false">E304*H304</f>
        <v>0</v>
      </c>
      <c r="K304" s="14" t="n">
        <f aca="false">F304*H304</f>
        <v>0</v>
      </c>
      <c r="L304" s="14" t="n">
        <f aca="false">G304*H304</f>
        <v>0</v>
      </c>
      <c r="M304" s="27"/>
    </row>
    <row r="305" customFormat="false" ht="15" hidden="false" customHeight="false" outlineLevel="0" collapsed="false">
      <c r="A305" s="29" t="s">
        <v>602</v>
      </c>
      <c r="B305" s="27" t="s">
        <v>603</v>
      </c>
      <c r="C305" s="29" t="s">
        <v>116</v>
      </c>
      <c r="D305" s="34" t="n">
        <f aca="false">'PL.Khoi luong'!D300</f>
        <v>2.27</v>
      </c>
      <c r="E305" s="34" t="n">
        <f aca="false">'PL.Khoi luong'!E300</f>
        <v>0</v>
      </c>
      <c r="F305" s="34" t="n">
        <f aca="false">'PL.Khoi luong'!F300</f>
        <v>0</v>
      </c>
      <c r="G305" s="32" t="n">
        <f aca="false">E305+F305</f>
        <v>0</v>
      </c>
      <c r="H305" s="35" t="n">
        <v>1836377.97356828</v>
      </c>
      <c r="I305" s="14" t="n">
        <f aca="false">D305*H305</f>
        <v>4168578</v>
      </c>
      <c r="J305" s="14" t="n">
        <f aca="false">E305*H305</f>
        <v>0</v>
      </c>
      <c r="K305" s="14" t="n">
        <f aca="false">F305*H305</f>
        <v>0</v>
      </c>
      <c r="L305" s="14" t="n">
        <f aca="false">G305*H305</f>
        <v>0</v>
      </c>
      <c r="M305" s="27"/>
    </row>
    <row r="306" customFormat="false" ht="15" hidden="false" customHeight="false" outlineLevel="0" collapsed="false">
      <c r="A306" s="29" t="s">
        <v>604</v>
      </c>
      <c r="B306" s="27" t="s">
        <v>605</v>
      </c>
      <c r="C306" s="29" t="s">
        <v>149</v>
      </c>
      <c r="D306" s="34" t="n">
        <f aca="false">'PL.Khoi luong'!D301</f>
        <v>0.1773</v>
      </c>
      <c r="E306" s="34" t="n">
        <f aca="false">'PL.Khoi luong'!E301</f>
        <v>0</v>
      </c>
      <c r="F306" s="34" t="n">
        <f aca="false">'PL.Khoi luong'!F301</f>
        <v>0</v>
      </c>
      <c r="G306" s="32" t="n">
        <f aca="false">E306+F306</f>
        <v>0</v>
      </c>
      <c r="H306" s="35" t="n">
        <v>23674348.5617597</v>
      </c>
      <c r="I306" s="14" t="n">
        <f aca="false">D306*H306</f>
        <v>4197462</v>
      </c>
      <c r="J306" s="14" t="n">
        <f aca="false">E306*H306</f>
        <v>0</v>
      </c>
      <c r="K306" s="14" t="n">
        <f aca="false">F306*H306</f>
        <v>0</v>
      </c>
      <c r="L306" s="14" t="n">
        <f aca="false">G306*H306</f>
        <v>0</v>
      </c>
      <c r="M306" s="27"/>
    </row>
    <row r="307" customFormat="false" ht="15" hidden="false" customHeight="false" outlineLevel="0" collapsed="false">
      <c r="A307" s="29" t="s">
        <v>606</v>
      </c>
      <c r="B307" s="27" t="s">
        <v>607</v>
      </c>
      <c r="C307" s="29" t="s">
        <v>106</v>
      </c>
      <c r="D307" s="34" t="n">
        <f aca="false">'PL.Khoi luong'!D302</f>
        <v>0.1285</v>
      </c>
      <c r="E307" s="34" t="n">
        <f aca="false">'PL.Khoi luong'!E302</f>
        <v>0</v>
      </c>
      <c r="F307" s="34" t="n">
        <f aca="false">'PL.Khoi luong'!F302</f>
        <v>0</v>
      </c>
      <c r="G307" s="32" t="n">
        <f aca="false">E307+F307</f>
        <v>0</v>
      </c>
      <c r="H307" s="35" t="n">
        <v>6357151.75097276</v>
      </c>
      <c r="I307" s="14" t="n">
        <f aca="false">D307*H307</f>
        <v>816894</v>
      </c>
      <c r="J307" s="14" t="n">
        <f aca="false">E307*H307</f>
        <v>0</v>
      </c>
      <c r="K307" s="14" t="n">
        <f aca="false">F307*H307</f>
        <v>0</v>
      </c>
      <c r="L307" s="14" t="n">
        <f aca="false">G307*H307</f>
        <v>0</v>
      </c>
      <c r="M307" s="27"/>
    </row>
    <row r="308" customFormat="false" ht="15" hidden="false" customHeight="false" outlineLevel="0" collapsed="false">
      <c r="A308" s="29" t="s">
        <v>608</v>
      </c>
      <c r="B308" s="27" t="s">
        <v>609</v>
      </c>
      <c r="C308" s="29" t="s">
        <v>149</v>
      </c>
      <c r="D308" s="34" t="n">
        <f aca="false">'PL.Khoi luong'!D303</f>
        <v>14.695</v>
      </c>
      <c r="E308" s="34" t="n">
        <f aca="false">'PL.Khoi luong'!E303</f>
        <v>0</v>
      </c>
      <c r="F308" s="34" t="n">
        <f aca="false">'PL.Khoi luong'!F303</f>
        <v>0</v>
      </c>
      <c r="G308" s="32" t="n">
        <f aca="false">E308+F308</f>
        <v>0</v>
      </c>
      <c r="H308" s="35" t="n">
        <v>1961812.99761824</v>
      </c>
      <c r="I308" s="14" t="n">
        <f aca="false">D308*H308</f>
        <v>28828842</v>
      </c>
      <c r="J308" s="14" t="n">
        <f aca="false">E308*H308</f>
        <v>0</v>
      </c>
      <c r="K308" s="14" t="n">
        <f aca="false">F308*H308</f>
        <v>0</v>
      </c>
      <c r="L308" s="14" t="n">
        <f aca="false">G308*H308</f>
        <v>0</v>
      </c>
      <c r="M308" s="27"/>
    </row>
    <row r="309" customFormat="false" ht="15" hidden="false" customHeight="false" outlineLevel="0" collapsed="false">
      <c r="A309" s="29" t="s">
        <v>610</v>
      </c>
      <c r="B309" s="27" t="s">
        <v>611</v>
      </c>
      <c r="C309" s="29" t="s">
        <v>149</v>
      </c>
      <c r="D309" s="34" t="n">
        <f aca="false">'PL.Khoi luong'!D304</f>
        <v>14.695</v>
      </c>
      <c r="E309" s="34" t="n">
        <f aca="false">'PL.Khoi luong'!E304</f>
        <v>0</v>
      </c>
      <c r="F309" s="34" t="n">
        <f aca="false">'PL.Khoi luong'!F304</f>
        <v>0</v>
      </c>
      <c r="G309" s="32" t="n">
        <f aca="false">E309+F309</f>
        <v>0</v>
      </c>
      <c r="H309" s="35" t="n">
        <v>6138047.97550187</v>
      </c>
      <c r="I309" s="14" t="n">
        <f aca="false">D309*H309</f>
        <v>90198615</v>
      </c>
      <c r="J309" s="14" t="n">
        <f aca="false">E309*H309</f>
        <v>0</v>
      </c>
      <c r="K309" s="14" t="n">
        <f aca="false">F309*H309</f>
        <v>0</v>
      </c>
      <c r="L309" s="14" t="n">
        <f aca="false">G309*H309</f>
        <v>0</v>
      </c>
      <c r="M309" s="27"/>
    </row>
    <row r="310" customFormat="false" ht="15" hidden="false" customHeight="false" outlineLevel="0" collapsed="false">
      <c r="A310" s="29" t="s">
        <v>612</v>
      </c>
      <c r="B310" s="27" t="s">
        <v>613</v>
      </c>
      <c r="C310" s="29" t="s">
        <v>149</v>
      </c>
      <c r="D310" s="34" t="n">
        <f aca="false">'PL.Khoi luong'!D305</f>
        <v>14.695</v>
      </c>
      <c r="E310" s="34" t="n">
        <f aca="false">'PL.Khoi luong'!E305</f>
        <v>0</v>
      </c>
      <c r="F310" s="34" t="n">
        <f aca="false">'PL.Khoi luong'!F305</f>
        <v>0</v>
      </c>
      <c r="G310" s="32" t="n">
        <f aca="false">E310+F310</f>
        <v>0</v>
      </c>
      <c r="H310" s="35" t="n">
        <v>2639748.00952705</v>
      </c>
      <c r="I310" s="14" t="n">
        <f aca="false">D310*H310</f>
        <v>38791097</v>
      </c>
      <c r="J310" s="14" t="n">
        <f aca="false">E310*H310</f>
        <v>0</v>
      </c>
      <c r="K310" s="14" t="n">
        <f aca="false">F310*H310</f>
        <v>0</v>
      </c>
      <c r="L310" s="14" t="n">
        <f aca="false">G310*H310</f>
        <v>0</v>
      </c>
      <c r="M310" s="27"/>
    </row>
    <row r="311" customFormat="false" ht="15" hidden="false" customHeight="false" outlineLevel="0" collapsed="false">
      <c r="A311" s="29" t="s">
        <v>614</v>
      </c>
      <c r="B311" s="27" t="s">
        <v>615</v>
      </c>
      <c r="C311" s="29" t="s">
        <v>193</v>
      </c>
      <c r="D311" s="34" t="n">
        <f aca="false">'PL.Khoi luong'!D306</f>
        <v>60</v>
      </c>
      <c r="E311" s="34" t="n">
        <f aca="false">'PL.Khoi luong'!E306</f>
        <v>0</v>
      </c>
      <c r="F311" s="34" t="n">
        <f aca="false">'PL.Khoi luong'!F306</f>
        <v>0</v>
      </c>
      <c r="G311" s="32" t="n">
        <f aca="false">E311+F311</f>
        <v>0</v>
      </c>
      <c r="H311" s="35" t="n">
        <v>18880</v>
      </c>
      <c r="I311" s="14" t="n">
        <f aca="false">D311*H311</f>
        <v>1132800</v>
      </c>
      <c r="J311" s="14" t="n">
        <f aca="false">E311*H311</f>
        <v>0</v>
      </c>
      <c r="K311" s="14" t="n">
        <f aca="false">F311*H311</f>
        <v>0</v>
      </c>
      <c r="L311" s="14" t="n">
        <f aca="false">G311*H311</f>
        <v>0</v>
      </c>
      <c r="M311" s="27"/>
    </row>
    <row r="312" customFormat="false" ht="15" hidden="false" customHeight="false" outlineLevel="0" collapsed="false">
      <c r="A312" s="29" t="s">
        <v>616</v>
      </c>
      <c r="B312" s="27" t="s">
        <v>617</v>
      </c>
      <c r="C312" s="29" t="s">
        <v>116</v>
      </c>
      <c r="D312" s="34" t="n">
        <f aca="false">'PL.Khoi luong'!D307</f>
        <v>3.28</v>
      </c>
      <c r="E312" s="34" t="n">
        <f aca="false">'PL.Khoi luong'!E307</f>
        <v>0</v>
      </c>
      <c r="F312" s="34" t="n">
        <f aca="false">'PL.Khoi luong'!F307</f>
        <v>0</v>
      </c>
      <c r="G312" s="32" t="n">
        <f aca="false">E312+F312</f>
        <v>0</v>
      </c>
      <c r="H312" s="35" t="n">
        <v>620121.951219512</v>
      </c>
      <c r="I312" s="14" t="n">
        <f aca="false">D312*H312</f>
        <v>2034000</v>
      </c>
      <c r="J312" s="14" t="n">
        <f aca="false">E312*H312</f>
        <v>0</v>
      </c>
      <c r="K312" s="14" t="n">
        <f aca="false">F312*H312</f>
        <v>0</v>
      </c>
      <c r="L312" s="14" t="n">
        <f aca="false">G312*H312</f>
        <v>0</v>
      </c>
      <c r="M312" s="27"/>
    </row>
    <row r="313" customFormat="false" ht="15" hidden="false" customHeight="false" outlineLevel="0" collapsed="false">
      <c r="A313" s="12" t="s">
        <v>618</v>
      </c>
      <c r="B313" s="28" t="s">
        <v>619</v>
      </c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</row>
    <row r="314" customFormat="false" ht="15" hidden="false" customHeight="false" outlineLevel="0" collapsed="false">
      <c r="A314" s="29" t="s">
        <v>620</v>
      </c>
      <c r="B314" s="27" t="s">
        <v>621</v>
      </c>
      <c r="C314" s="29" t="s">
        <v>116</v>
      </c>
      <c r="D314" s="34" t="n">
        <f aca="false">'PL.Khoi luong'!D309</f>
        <v>439.2875</v>
      </c>
      <c r="E314" s="34" t="n">
        <f aca="false">'PL.Khoi luong'!E309</f>
        <v>0</v>
      </c>
      <c r="F314" s="34" t="n">
        <f aca="false">'PL.Khoi luong'!F309</f>
        <v>0</v>
      </c>
      <c r="G314" s="32" t="n">
        <f aca="false">E314+F314</f>
        <v>0</v>
      </c>
      <c r="H314" s="35" t="n">
        <v>164410.000284552</v>
      </c>
      <c r="I314" s="14" t="n">
        <f aca="false">D314*H314</f>
        <v>72223258.0000001</v>
      </c>
      <c r="J314" s="14" t="n">
        <f aca="false">E314*H314</f>
        <v>0</v>
      </c>
      <c r="K314" s="14" t="n">
        <f aca="false">F314*H314</f>
        <v>0</v>
      </c>
      <c r="L314" s="14" t="n">
        <f aca="false">G314*H314</f>
        <v>0</v>
      </c>
      <c r="M314" s="27"/>
    </row>
    <row r="315" customFormat="false" ht="15" hidden="false" customHeight="false" outlineLevel="0" collapsed="false">
      <c r="A315" s="29" t="s">
        <v>622</v>
      </c>
      <c r="B315" s="27" t="s">
        <v>623</v>
      </c>
      <c r="C315" s="29" t="s">
        <v>111</v>
      </c>
      <c r="D315" s="34" t="n">
        <f aca="false">'PL.Khoi luong'!D310</f>
        <v>14.7194</v>
      </c>
      <c r="E315" s="34" t="n">
        <f aca="false">'PL.Khoi luong'!E310</f>
        <v>0</v>
      </c>
      <c r="F315" s="34" t="n">
        <f aca="false">'PL.Khoi luong'!F310</f>
        <v>0</v>
      </c>
      <c r="G315" s="32" t="n">
        <f aca="false">E315+F315</f>
        <v>0</v>
      </c>
      <c r="H315" s="35" t="n">
        <v>269382.991154531</v>
      </c>
      <c r="I315" s="14" t="n">
        <f aca="false">D315*H315</f>
        <v>3965156</v>
      </c>
      <c r="J315" s="14" t="n">
        <f aca="false">E315*H315</f>
        <v>0</v>
      </c>
      <c r="K315" s="14" t="n">
        <f aca="false">F315*H315</f>
        <v>0</v>
      </c>
      <c r="L315" s="14" t="n">
        <f aca="false">G315*H315</f>
        <v>0</v>
      </c>
      <c r="M315" s="27"/>
    </row>
    <row r="316" customFormat="false" ht="15" hidden="false" customHeight="false" outlineLevel="0" collapsed="false">
      <c r="A316" s="12" t="s">
        <v>624</v>
      </c>
      <c r="B316" s="13" t="s">
        <v>625</v>
      </c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</row>
    <row r="317" customFormat="false" ht="15" hidden="false" customHeight="false" outlineLevel="0" collapsed="false">
      <c r="A317" s="29" t="s">
        <v>626</v>
      </c>
      <c r="B317" s="27" t="s">
        <v>627</v>
      </c>
      <c r="C317" s="29" t="s">
        <v>245</v>
      </c>
      <c r="D317" s="34" t="n">
        <f aca="false">'PL.Khoi luong'!D312</f>
        <v>3.02</v>
      </c>
      <c r="E317" s="34" t="n">
        <f aca="false">'PL.Khoi luong'!E312</f>
        <v>0</v>
      </c>
      <c r="F317" s="34" t="n">
        <f aca="false">'PL.Khoi luong'!F312</f>
        <v>0</v>
      </c>
      <c r="G317" s="32" t="n">
        <f aca="false">E317+F317</f>
        <v>0</v>
      </c>
      <c r="H317" s="35" t="n">
        <v>27641766.8874172</v>
      </c>
      <c r="I317" s="14" t="n">
        <f aca="false">D317*H317</f>
        <v>83478135.9999999</v>
      </c>
      <c r="J317" s="14" t="n">
        <f aca="false">E317*H317</f>
        <v>0</v>
      </c>
      <c r="K317" s="14" t="n">
        <f aca="false">F317*H317</f>
        <v>0</v>
      </c>
      <c r="L317" s="14" t="n">
        <f aca="false">G317*H317</f>
        <v>0</v>
      </c>
      <c r="M317" s="27"/>
    </row>
    <row r="318" customFormat="false" ht="15" hidden="false" customHeight="false" outlineLevel="0" collapsed="false">
      <c r="A318" s="29" t="s">
        <v>628</v>
      </c>
      <c r="B318" s="27" t="s">
        <v>629</v>
      </c>
      <c r="C318" s="29" t="s">
        <v>630</v>
      </c>
      <c r="D318" s="34" t="n">
        <f aca="false">'PL.Khoi luong'!D313</f>
        <v>6.09</v>
      </c>
      <c r="E318" s="34" t="n">
        <f aca="false">'PL.Khoi luong'!E313</f>
        <v>0</v>
      </c>
      <c r="F318" s="34" t="n">
        <f aca="false">'PL.Khoi luong'!F313</f>
        <v>0</v>
      </c>
      <c r="G318" s="32" t="n">
        <f aca="false">E318+F318</f>
        <v>0</v>
      </c>
      <c r="H318" s="35" t="n">
        <v>6199504.92610837</v>
      </c>
      <c r="I318" s="14" t="n">
        <f aca="false">D318*H318</f>
        <v>37754985</v>
      </c>
      <c r="J318" s="14" t="n">
        <f aca="false">E318*H318</f>
        <v>0</v>
      </c>
      <c r="K318" s="14" t="n">
        <f aca="false">F318*H318</f>
        <v>0</v>
      </c>
      <c r="L318" s="14" t="n">
        <f aca="false">G318*H318</f>
        <v>0</v>
      </c>
      <c r="M318" s="27"/>
    </row>
    <row r="319" customFormat="false" ht="26.85" hidden="false" customHeight="false" outlineLevel="0" collapsed="false">
      <c r="A319" s="29" t="s">
        <v>631</v>
      </c>
      <c r="B319" s="27" t="s">
        <v>632</v>
      </c>
      <c r="C319" s="29" t="s">
        <v>240</v>
      </c>
      <c r="D319" s="34" t="n">
        <f aca="false">'PL.Khoi luong'!D314</f>
        <v>22</v>
      </c>
      <c r="E319" s="34" t="n">
        <f aca="false">'PL.Khoi luong'!E314</f>
        <v>0</v>
      </c>
      <c r="F319" s="34" t="n">
        <f aca="false">'PL.Khoi luong'!F314</f>
        <v>0</v>
      </c>
      <c r="G319" s="32" t="n">
        <f aca="false">E319+F319</f>
        <v>0</v>
      </c>
      <c r="H319" s="35" t="n">
        <v>111413</v>
      </c>
      <c r="I319" s="14" t="n">
        <f aca="false">D319*H319</f>
        <v>2451086</v>
      </c>
      <c r="J319" s="14" t="n">
        <f aca="false">E319*H319</f>
        <v>0</v>
      </c>
      <c r="K319" s="14" t="n">
        <f aca="false">F319*H319</f>
        <v>0</v>
      </c>
      <c r="L319" s="14" t="n">
        <f aca="false">G319*H319</f>
        <v>0</v>
      </c>
      <c r="M319" s="27"/>
    </row>
    <row r="320" customFormat="false" ht="15" hidden="false" customHeight="false" outlineLevel="0" collapsed="false">
      <c r="A320" s="29" t="s">
        <v>633</v>
      </c>
      <c r="B320" s="27" t="s">
        <v>634</v>
      </c>
      <c r="C320" s="29" t="s">
        <v>245</v>
      </c>
      <c r="D320" s="34" t="n">
        <f aca="false">'PL.Khoi luong'!D315</f>
        <v>0.12</v>
      </c>
      <c r="E320" s="34" t="n">
        <f aca="false">'PL.Khoi luong'!E315</f>
        <v>0</v>
      </c>
      <c r="F320" s="34" t="n">
        <f aca="false">'PL.Khoi luong'!F315</f>
        <v>0</v>
      </c>
      <c r="G320" s="32" t="n">
        <f aca="false">E320+F320</f>
        <v>0</v>
      </c>
      <c r="H320" s="35" t="n">
        <v>37543341.6666667</v>
      </c>
      <c r="I320" s="14" t="n">
        <f aca="false">D320*H320</f>
        <v>4505201</v>
      </c>
      <c r="J320" s="14" t="n">
        <f aca="false">E320*H320</f>
        <v>0</v>
      </c>
      <c r="K320" s="14" t="n">
        <f aca="false">F320*H320</f>
        <v>0</v>
      </c>
      <c r="L320" s="14" t="n">
        <f aca="false">G320*H320</f>
        <v>0</v>
      </c>
      <c r="M320" s="27"/>
    </row>
    <row r="321" customFormat="false" ht="15" hidden="false" customHeight="false" outlineLevel="0" collapsed="false">
      <c r="A321" s="29" t="s">
        <v>635</v>
      </c>
      <c r="B321" s="27" t="s">
        <v>636</v>
      </c>
      <c r="C321" s="29" t="s">
        <v>240</v>
      </c>
      <c r="D321" s="34" t="n">
        <f aca="false">'PL.Khoi luong'!D316</f>
        <v>1</v>
      </c>
      <c r="E321" s="34" t="n">
        <f aca="false">'PL.Khoi luong'!E316</f>
        <v>0</v>
      </c>
      <c r="F321" s="34" t="n">
        <f aca="false">'PL.Khoi luong'!F316</f>
        <v>0</v>
      </c>
      <c r="G321" s="32" t="n">
        <f aca="false">E321+F321</f>
        <v>0</v>
      </c>
      <c r="H321" s="35" t="n">
        <v>705809</v>
      </c>
      <c r="I321" s="14" t="n">
        <f aca="false">D321*H321</f>
        <v>705809</v>
      </c>
      <c r="J321" s="14" t="n">
        <f aca="false">E321*H321</f>
        <v>0</v>
      </c>
      <c r="K321" s="14" t="n">
        <f aca="false">F321*H321</f>
        <v>0</v>
      </c>
      <c r="L321" s="14" t="n">
        <f aca="false">G321*H321</f>
        <v>0</v>
      </c>
      <c r="M321" s="27"/>
    </row>
    <row r="322" customFormat="false" ht="15" hidden="false" customHeight="false" outlineLevel="0" collapsed="false">
      <c r="A322" s="29" t="s">
        <v>637</v>
      </c>
      <c r="B322" s="27" t="s">
        <v>638</v>
      </c>
      <c r="C322" s="29" t="s">
        <v>240</v>
      </c>
      <c r="D322" s="34" t="n">
        <f aca="false">'PL.Khoi luong'!D317</f>
        <v>6</v>
      </c>
      <c r="E322" s="34" t="n">
        <f aca="false">'PL.Khoi luong'!E317</f>
        <v>0</v>
      </c>
      <c r="F322" s="34" t="n">
        <f aca="false">'PL.Khoi luong'!F317</f>
        <v>0</v>
      </c>
      <c r="G322" s="32" t="n">
        <f aca="false">E322+F322</f>
        <v>0</v>
      </c>
      <c r="H322" s="35" t="n">
        <v>380038</v>
      </c>
      <c r="I322" s="14" t="n">
        <f aca="false">D322*H322</f>
        <v>2280228</v>
      </c>
      <c r="J322" s="14" t="n">
        <f aca="false">E322*H322</f>
        <v>0</v>
      </c>
      <c r="K322" s="14" t="n">
        <f aca="false">F322*H322</f>
        <v>0</v>
      </c>
      <c r="L322" s="14" t="n">
        <f aca="false">G322*H322</f>
        <v>0</v>
      </c>
      <c r="M322" s="27"/>
    </row>
    <row r="323" customFormat="false" ht="15" hidden="false" customHeight="false" outlineLevel="0" collapsed="false">
      <c r="A323" s="29" t="s">
        <v>639</v>
      </c>
      <c r="B323" s="27" t="s">
        <v>640</v>
      </c>
      <c r="C323" s="29" t="s">
        <v>240</v>
      </c>
      <c r="D323" s="34" t="n">
        <f aca="false">'PL.Khoi luong'!D318</f>
        <v>3</v>
      </c>
      <c r="E323" s="34" t="n">
        <f aca="false">'PL.Khoi luong'!E318</f>
        <v>0</v>
      </c>
      <c r="F323" s="34" t="n">
        <f aca="false">'PL.Khoi luong'!F318</f>
        <v>0</v>
      </c>
      <c r="G323" s="32" t="n">
        <f aca="false">E323+F323</f>
        <v>0</v>
      </c>
      <c r="H323" s="35" t="n">
        <v>339245</v>
      </c>
      <c r="I323" s="14" t="n">
        <f aca="false">D323*H323</f>
        <v>1017735</v>
      </c>
      <c r="J323" s="14" t="n">
        <f aca="false">E323*H323</f>
        <v>0</v>
      </c>
      <c r="K323" s="14" t="n">
        <f aca="false">F323*H323</f>
        <v>0</v>
      </c>
      <c r="L323" s="14" t="n">
        <f aca="false">G323*H323</f>
        <v>0</v>
      </c>
      <c r="M323" s="27"/>
    </row>
    <row r="324" customFormat="false" ht="15" hidden="false" customHeight="false" outlineLevel="0" collapsed="false">
      <c r="A324" s="29" t="s">
        <v>641</v>
      </c>
      <c r="B324" s="27" t="s">
        <v>642</v>
      </c>
      <c r="C324" s="29" t="s">
        <v>240</v>
      </c>
      <c r="D324" s="34" t="n">
        <f aca="false">'PL.Khoi luong'!D319</f>
        <v>1</v>
      </c>
      <c r="E324" s="34" t="n">
        <f aca="false">'PL.Khoi luong'!E319</f>
        <v>0</v>
      </c>
      <c r="F324" s="34" t="n">
        <f aca="false">'PL.Khoi luong'!F319</f>
        <v>0</v>
      </c>
      <c r="G324" s="32" t="n">
        <f aca="false">E324+F324</f>
        <v>0</v>
      </c>
      <c r="H324" s="35" t="n">
        <v>279982</v>
      </c>
      <c r="I324" s="14" t="n">
        <f aca="false">D324*H324</f>
        <v>279982</v>
      </c>
      <c r="J324" s="14" t="n">
        <f aca="false">E324*H324</f>
        <v>0</v>
      </c>
      <c r="K324" s="14" t="n">
        <f aca="false">F324*H324</f>
        <v>0</v>
      </c>
      <c r="L324" s="14" t="n">
        <f aca="false">G324*H324</f>
        <v>0</v>
      </c>
      <c r="M324" s="27"/>
    </row>
    <row r="325" customFormat="false" ht="15" hidden="false" customHeight="false" outlineLevel="0" collapsed="false">
      <c r="A325" s="29" t="s">
        <v>643</v>
      </c>
      <c r="B325" s="27" t="s">
        <v>644</v>
      </c>
      <c r="C325" s="29" t="s">
        <v>240</v>
      </c>
      <c r="D325" s="34" t="n">
        <f aca="false">'PL.Khoi luong'!D320</f>
        <v>16</v>
      </c>
      <c r="E325" s="34" t="n">
        <f aca="false">'PL.Khoi luong'!E320</f>
        <v>0</v>
      </c>
      <c r="F325" s="34" t="n">
        <f aca="false">'PL.Khoi luong'!F320</f>
        <v>0</v>
      </c>
      <c r="G325" s="32" t="n">
        <f aca="false">E325+F325</f>
        <v>0</v>
      </c>
      <c r="H325" s="35" t="n">
        <v>279982</v>
      </c>
      <c r="I325" s="14" t="n">
        <f aca="false">D325*H325</f>
        <v>4479712</v>
      </c>
      <c r="J325" s="14" t="n">
        <f aca="false">E325*H325</f>
        <v>0</v>
      </c>
      <c r="K325" s="14" t="n">
        <f aca="false">F325*H325</f>
        <v>0</v>
      </c>
      <c r="L325" s="14" t="n">
        <f aca="false">G325*H325</f>
        <v>0</v>
      </c>
      <c r="M325" s="27"/>
    </row>
    <row r="326" customFormat="false" ht="15" hidden="false" customHeight="false" outlineLevel="0" collapsed="false">
      <c r="A326" s="29" t="s">
        <v>645</v>
      </c>
      <c r="B326" s="27" t="s">
        <v>646</v>
      </c>
      <c r="C326" s="29" t="s">
        <v>240</v>
      </c>
      <c r="D326" s="34" t="n">
        <f aca="false">'PL.Khoi luong'!D321</f>
        <v>4</v>
      </c>
      <c r="E326" s="34" t="n">
        <f aca="false">'PL.Khoi luong'!E321</f>
        <v>0</v>
      </c>
      <c r="F326" s="34" t="n">
        <f aca="false">'PL.Khoi luong'!F321</f>
        <v>0</v>
      </c>
      <c r="G326" s="32" t="n">
        <f aca="false">E326+F326</f>
        <v>0</v>
      </c>
      <c r="H326" s="35" t="n">
        <v>42328</v>
      </c>
      <c r="I326" s="14" t="n">
        <f aca="false">D326*H326</f>
        <v>169312</v>
      </c>
      <c r="J326" s="14" t="n">
        <f aca="false">E326*H326</f>
        <v>0</v>
      </c>
      <c r="K326" s="14" t="n">
        <f aca="false">F326*H326</f>
        <v>0</v>
      </c>
      <c r="L326" s="14" t="n">
        <f aca="false">G326*H326</f>
        <v>0</v>
      </c>
      <c r="M326" s="27"/>
    </row>
    <row r="327" customFormat="false" ht="15" hidden="false" customHeight="false" outlineLevel="0" collapsed="false">
      <c r="A327" s="29" t="s">
        <v>647</v>
      </c>
      <c r="B327" s="27" t="s">
        <v>648</v>
      </c>
      <c r="C327" s="29" t="s">
        <v>240</v>
      </c>
      <c r="D327" s="34" t="n">
        <f aca="false">'PL.Khoi luong'!D322</f>
        <v>1</v>
      </c>
      <c r="E327" s="34" t="n">
        <f aca="false">'PL.Khoi luong'!E322</f>
        <v>0</v>
      </c>
      <c r="F327" s="34" t="n">
        <f aca="false">'PL.Khoi luong'!F322</f>
        <v>0</v>
      </c>
      <c r="G327" s="32" t="n">
        <f aca="false">E327+F327</f>
        <v>0</v>
      </c>
      <c r="H327" s="35" t="n">
        <v>253139</v>
      </c>
      <c r="I327" s="14" t="n">
        <f aca="false">D327*H327</f>
        <v>253139</v>
      </c>
      <c r="J327" s="14" t="n">
        <f aca="false">E327*H327</f>
        <v>0</v>
      </c>
      <c r="K327" s="14" t="n">
        <f aca="false">F327*H327</f>
        <v>0</v>
      </c>
      <c r="L327" s="14" t="n">
        <f aca="false">G327*H327</f>
        <v>0</v>
      </c>
      <c r="M327" s="27"/>
    </row>
    <row r="328" customFormat="false" ht="15" hidden="false" customHeight="false" outlineLevel="0" collapsed="false">
      <c r="A328" s="29" t="s">
        <v>649</v>
      </c>
      <c r="B328" s="27" t="s">
        <v>650</v>
      </c>
      <c r="C328" s="29" t="s">
        <v>240</v>
      </c>
      <c r="D328" s="34" t="n">
        <f aca="false">'PL.Khoi luong'!D323</f>
        <v>5</v>
      </c>
      <c r="E328" s="34" t="n">
        <f aca="false">'PL.Khoi luong'!E323</f>
        <v>0</v>
      </c>
      <c r="F328" s="34" t="n">
        <f aca="false">'PL.Khoi luong'!F323</f>
        <v>0</v>
      </c>
      <c r="G328" s="32" t="n">
        <f aca="false">E328+F328</f>
        <v>0</v>
      </c>
      <c r="H328" s="35" t="n">
        <v>3798210</v>
      </c>
      <c r="I328" s="14" t="n">
        <f aca="false">D328*H328</f>
        <v>18991050</v>
      </c>
      <c r="J328" s="14" t="n">
        <f aca="false">E328*H328</f>
        <v>0</v>
      </c>
      <c r="K328" s="14" t="n">
        <f aca="false">F328*H328</f>
        <v>0</v>
      </c>
      <c r="L328" s="14" t="n">
        <f aca="false">G328*H328</f>
        <v>0</v>
      </c>
      <c r="M328" s="27"/>
    </row>
    <row r="329" customFormat="false" ht="15" hidden="false" customHeight="false" outlineLevel="0" collapsed="false">
      <c r="A329" s="29" t="s">
        <v>651</v>
      </c>
      <c r="B329" s="27" t="s">
        <v>652</v>
      </c>
      <c r="C329" s="29" t="s">
        <v>240</v>
      </c>
      <c r="D329" s="34" t="n">
        <f aca="false">'PL.Khoi luong'!D324</f>
        <v>5</v>
      </c>
      <c r="E329" s="34" t="n">
        <f aca="false">'PL.Khoi luong'!E324</f>
        <v>0</v>
      </c>
      <c r="F329" s="34" t="n">
        <f aca="false">'PL.Khoi luong'!F324</f>
        <v>0</v>
      </c>
      <c r="G329" s="32" t="n">
        <f aca="false">E329+F329</f>
        <v>0</v>
      </c>
      <c r="H329" s="35" t="n">
        <v>240518</v>
      </c>
      <c r="I329" s="14" t="n">
        <f aca="false">D329*H329</f>
        <v>1202590</v>
      </c>
      <c r="J329" s="14" t="n">
        <f aca="false">E329*H329</f>
        <v>0</v>
      </c>
      <c r="K329" s="14" t="n">
        <f aca="false">F329*H329</f>
        <v>0</v>
      </c>
      <c r="L329" s="14" t="n">
        <f aca="false">G329*H329</f>
        <v>0</v>
      </c>
      <c r="M329" s="27"/>
    </row>
    <row r="330" customFormat="false" ht="15" hidden="false" customHeight="false" outlineLevel="0" collapsed="false">
      <c r="A330" s="29" t="s">
        <v>653</v>
      </c>
      <c r="B330" s="27" t="s">
        <v>654</v>
      </c>
      <c r="C330" s="29" t="s">
        <v>240</v>
      </c>
      <c r="D330" s="34" t="n">
        <f aca="false">'PL.Khoi luong'!D325</f>
        <v>2</v>
      </c>
      <c r="E330" s="34" t="n">
        <f aca="false">'PL.Khoi luong'!E325</f>
        <v>0</v>
      </c>
      <c r="F330" s="34" t="n">
        <f aca="false">'PL.Khoi luong'!F325</f>
        <v>0</v>
      </c>
      <c r="G330" s="32" t="n">
        <f aca="false">E330+F330</f>
        <v>0</v>
      </c>
      <c r="H330" s="35" t="n">
        <v>1243709</v>
      </c>
      <c r="I330" s="14" t="n">
        <f aca="false">D330*H330</f>
        <v>2487418</v>
      </c>
      <c r="J330" s="14" t="n">
        <f aca="false">E330*H330</f>
        <v>0</v>
      </c>
      <c r="K330" s="14" t="n">
        <f aca="false">F330*H330</f>
        <v>0</v>
      </c>
      <c r="L330" s="14" t="n">
        <f aca="false">G330*H330</f>
        <v>0</v>
      </c>
      <c r="M330" s="27"/>
    </row>
    <row r="331" customFormat="false" ht="15" hidden="false" customHeight="false" outlineLevel="0" collapsed="false">
      <c r="A331" s="29" t="s">
        <v>655</v>
      </c>
      <c r="B331" s="27" t="s">
        <v>656</v>
      </c>
      <c r="C331" s="29" t="s">
        <v>240</v>
      </c>
      <c r="D331" s="34" t="n">
        <f aca="false">'PL.Khoi luong'!D326</f>
        <v>3</v>
      </c>
      <c r="E331" s="34" t="n">
        <f aca="false">'PL.Khoi luong'!E326</f>
        <v>0</v>
      </c>
      <c r="F331" s="34" t="n">
        <f aca="false">'PL.Khoi luong'!F326</f>
        <v>0</v>
      </c>
      <c r="G331" s="32" t="n">
        <f aca="false">E331+F331</f>
        <v>0</v>
      </c>
      <c r="H331" s="35" t="n">
        <v>1054819</v>
      </c>
      <c r="I331" s="14" t="n">
        <f aca="false">D331*H331</f>
        <v>3164457</v>
      </c>
      <c r="J331" s="14" t="n">
        <f aca="false">E331*H331</f>
        <v>0</v>
      </c>
      <c r="K331" s="14" t="n">
        <f aca="false">F331*H331</f>
        <v>0</v>
      </c>
      <c r="L331" s="14" t="n">
        <f aca="false">G331*H331</f>
        <v>0</v>
      </c>
      <c r="M331" s="27"/>
    </row>
    <row r="332" customFormat="false" ht="15" hidden="false" customHeight="false" outlineLevel="0" collapsed="false">
      <c r="A332" s="29" t="s">
        <v>657</v>
      </c>
      <c r="B332" s="27" t="s">
        <v>658</v>
      </c>
      <c r="C332" s="29" t="s">
        <v>240</v>
      </c>
      <c r="D332" s="34" t="n">
        <f aca="false">'PL.Khoi luong'!D327</f>
        <v>3</v>
      </c>
      <c r="E332" s="34" t="n">
        <f aca="false">'PL.Khoi luong'!E327</f>
        <v>0</v>
      </c>
      <c r="F332" s="34" t="n">
        <f aca="false">'PL.Khoi luong'!F327</f>
        <v>0</v>
      </c>
      <c r="G332" s="32" t="n">
        <f aca="false">E332+F332</f>
        <v>0</v>
      </c>
      <c r="H332" s="35" t="n">
        <v>984996</v>
      </c>
      <c r="I332" s="14" t="n">
        <f aca="false">D332*H332</f>
        <v>2954988</v>
      </c>
      <c r="J332" s="14" t="n">
        <f aca="false">E332*H332</f>
        <v>0</v>
      </c>
      <c r="K332" s="14" t="n">
        <f aca="false">F332*H332</f>
        <v>0</v>
      </c>
      <c r="L332" s="14" t="n">
        <f aca="false">G332*H332</f>
        <v>0</v>
      </c>
      <c r="M332" s="27"/>
    </row>
    <row r="333" customFormat="false" ht="15" hidden="false" customHeight="false" outlineLevel="0" collapsed="false">
      <c r="A333" s="29" t="s">
        <v>659</v>
      </c>
      <c r="B333" s="27" t="s">
        <v>660</v>
      </c>
      <c r="C333" s="29" t="s">
        <v>240</v>
      </c>
      <c r="D333" s="34" t="n">
        <f aca="false">'PL.Khoi luong'!D328</f>
        <v>6</v>
      </c>
      <c r="E333" s="34" t="n">
        <f aca="false">'PL.Khoi luong'!E328</f>
        <v>0</v>
      </c>
      <c r="F333" s="34" t="n">
        <f aca="false">'PL.Khoi luong'!F328</f>
        <v>0</v>
      </c>
      <c r="G333" s="32" t="n">
        <f aca="false">E333+F333</f>
        <v>0</v>
      </c>
      <c r="H333" s="35" t="n">
        <v>683477</v>
      </c>
      <c r="I333" s="14" t="n">
        <f aca="false">D333*H333</f>
        <v>4100862</v>
      </c>
      <c r="J333" s="14" t="n">
        <f aca="false">E333*H333</f>
        <v>0</v>
      </c>
      <c r="K333" s="14" t="n">
        <f aca="false">F333*H333</f>
        <v>0</v>
      </c>
      <c r="L333" s="14" t="n">
        <f aca="false">G333*H333</f>
        <v>0</v>
      </c>
      <c r="M333" s="27"/>
    </row>
    <row r="334" customFormat="false" ht="15" hidden="false" customHeight="false" outlineLevel="0" collapsed="false">
      <c r="A334" s="29" t="s">
        <v>661</v>
      </c>
      <c r="B334" s="27" t="s">
        <v>662</v>
      </c>
      <c r="C334" s="29" t="s">
        <v>663</v>
      </c>
      <c r="D334" s="34" t="n">
        <f aca="false">'PL.Khoi luong'!D329</f>
        <v>3</v>
      </c>
      <c r="E334" s="34" t="n">
        <f aca="false">'PL.Khoi luong'!E329</f>
        <v>0</v>
      </c>
      <c r="F334" s="34" t="n">
        <f aca="false">'PL.Khoi luong'!F329</f>
        <v>0</v>
      </c>
      <c r="G334" s="32" t="n">
        <f aca="false">E334+F334</f>
        <v>0</v>
      </c>
      <c r="H334" s="35" t="n">
        <v>766227</v>
      </c>
      <c r="I334" s="14" t="n">
        <f aca="false">D334*H334</f>
        <v>2298681</v>
      </c>
      <c r="J334" s="14" t="n">
        <f aca="false">E334*H334</f>
        <v>0</v>
      </c>
      <c r="K334" s="14" t="n">
        <f aca="false">F334*H334</f>
        <v>0</v>
      </c>
      <c r="L334" s="14" t="n">
        <f aca="false">G334*H334</f>
        <v>0</v>
      </c>
      <c r="M334" s="27"/>
    </row>
    <row r="335" customFormat="false" ht="15" hidden="false" customHeight="false" outlineLevel="0" collapsed="false">
      <c r="A335" s="29" t="s">
        <v>664</v>
      </c>
      <c r="B335" s="27" t="s">
        <v>665</v>
      </c>
      <c r="C335" s="29" t="s">
        <v>240</v>
      </c>
      <c r="D335" s="34" t="n">
        <f aca="false">'PL.Khoi luong'!D330</f>
        <v>1</v>
      </c>
      <c r="E335" s="34" t="n">
        <f aca="false">'PL.Khoi luong'!E330</f>
        <v>0</v>
      </c>
      <c r="F335" s="34" t="n">
        <f aca="false">'PL.Khoi luong'!F330</f>
        <v>0</v>
      </c>
      <c r="G335" s="32" t="n">
        <f aca="false">E335+F335</f>
        <v>0</v>
      </c>
      <c r="H335" s="35" t="n">
        <v>3798210</v>
      </c>
      <c r="I335" s="14" t="n">
        <f aca="false">D335*H335</f>
        <v>3798210</v>
      </c>
      <c r="J335" s="14" t="n">
        <f aca="false">E335*H335</f>
        <v>0</v>
      </c>
      <c r="K335" s="14" t="n">
        <f aca="false">F335*H335</f>
        <v>0</v>
      </c>
      <c r="L335" s="14" t="n">
        <f aca="false">G335*H335</f>
        <v>0</v>
      </c>
      <c r="M335" s="27"/>
    </row>
    <row r="336" customFormat="false" ht="15" hidden="false" customHeight="false" outlineLevel="0" collapsed="false">
      <c r="A336" s="29" t="s">
        <v>666</v>
      </c>
      <c r="B336" s="27" t="s">
        <v>667</v>
      </c>
      <c r="C336" s="29" t="s">
        <v>240</v>
      </c>
      <c r="D336" s="34" t="n">
        <f aca="false">'PL.Khoi luong'!D331</f>
        <v>1</v>
      </c>
      <c r="E336" s="34" t="n">
        <f aca="false">'PL.Khoi luong'!E331</f>
        <v>0</v>
      </c>
      <c r="F336" s="34" t="n">
        <f aca="false">'PL.Khoi luong'!F331</f>
        <v>0</v>
      </c>
      <c r="G336" s="32" t="n">
        <f aca="false">E336+F336</f>
        <v>0</v>
      </c>
      <c r="H336" s="35" t="n">
        <v>870220</v>
      </c>
      <c r="I336" s="14" t="n">
        <f aca="false">D336*H336</f>
        <v>870220</v>
      </c>
      <c r="J336" s="14" t="n">
        <f aca="false">E336*H336</f>
        <v>0</v>
      </c>
      <c r="K336" s="14" t="n">
        <f aca="false">F336*H336</f>
        <v>0</v>
      </c>
      <c r="L336" s="14" t="n">
        <f aca="false">G336*H336</f>
        <v>0</v>
      </c>
      <c r="M336" s="27"/>
    </row>
    <row r="337" customFormat="false" ht="15" hidden="false" customHeight="false" outlineLevel="0" collapsed="false">
      <c r="A337" s="29" t="s">
        <v>668</v>
      </c>
      <c r="B337" s="27" t="s">
        <v>669</v>
      </c>
      <c r="C337" s="29" t="s">
        <v>240</v>
      </c>
      <c r="D337" s="34" t="n">
        <f aca="false">'PL.Khoi luong'!D332</f>
        <v>1</v>
      </c>
      <c r="E337" s="34" t="n">
        <f aca="false">'PL.Khoi luong'!E332</f>
        <v>0</v>
      </c>
      <c r="F337" s="34" t="n">
        <f aca="false">'PL.Khoi luong'!F332</f>
        <v>0</v>
      </c>
      <c r="G337" s="32" t="n">
        <f aca="false">E337+F337</f>
        <v>0</v>
      </c>
      <c r="H337" s="35" t="n">
        <v>3430716</v>
      </c>
      <c r="I337" s="14" t="n">
        <f aca="false">D337*H337</f>
        <v>3430716</v>
      </c>
      <c r="J337" s="14" t="n">
        <f aca="false">E337*H337</f>
        <v>0</v>
      </c>
      <c r="K337" s="14" t="n">
        <f aca="false">F337*H337</f>
        <v>0</v>
      </c>
      <c r="L337" s="14" t="n">
        <f aca="false">G337*H337</f>
        <v>0</v>
      </c>
      <c r="M337" s="27"/>
    </row>
    <row r="338" customFormat="false" ht="15" hidden="false" customHeight="false" outlineLevel="0" collapsed="false">
      <c r="A338" s="29" t="s">
        <v>670</v>
      </c>
      <c r="B338" s="27" t="s">
        <v>671</v>
      </c>
      <c r="C338" s="29" t="s">
        <v>240</v>
      </c>
      <c r="D338" s="34" t="n">
        <f aca="false">'PL.Khoi luong'!D333</f>
        <v>1</v>
      </c>
      <c r="E338" s="34" t="n">
        <f aca="false">'PL.Khoi luong'!E333</f>
        <v>0</v>
      </c>
      <c r="F338" s="34" t="n">
        <f aca="false">'PL.Khoi luong'!F333</f>
        <v>0</v>
      </c>
      <c r="G338" s="32" t="n">
        <f aca="false">E338+F338</f>
        <v>0</v>
      </c>
      <c r="H338" s="35" t="n">
        <v>2983600</v>
      </c>
      <c r="I338" s="14" t="n">
        <f aca="false">D338*H338</f>
        <v>2983600</v>
      </c>
      <c r="J338" s="14" t="n">
        <f aca="false">E338*H338</f>
        <v>0</v>
      </c>
      <c r="K338" s="14" t="n">
        <f aca="false">F338*H338</f>
        <v>0</v>
      </c>
      <c r="L338" s="14" t="n">
        <f aca="false">G338*H338</f>
        <v>0</v>
      </c>
      <c r="M338" s="27"/>
    </row>
    <row r="339" customFormat="false" ht="15" hidden="false" customHeight="false" outlineLevel="0" collapsed="false">
      <c r="A339" s="29" t="s">
        <v>672</v>
      </c>
      <c r="B339" s="27" t="s">
        <v>673</v>
      </c>
      <c r="C339" s="29" t="s">
        <v>240</v>
      </c>
      <c r="D339" s="34" t="n">
        <f aca="false">'PL.Khoi luong'!D334</f>
        <v>1</v>
      </c>
      <c r="E339" s="34" t="n">
        <f aca="false">'PL.Khoi luong'!E334</f>
        <v>0</v>
      </c>
      <c r="F339" s="34" t="n">
        <f aca="false">'PL.Khoi luong'!F334</f>
        <v>0</v>
      </c>
      <c r="G339" s="32" t="n">
        <f aca="false">E339+F339</f>
        <v>0</v>
      </c>
      <c r="H339" s="35" t="n">
        <v>22854572</v>
      </c>
      <c r="I339" s="14" t="n">
        <f aca="false">D339*H339</f>
        <v>22854572</v>
      </c>
      <c r="J339" s="14" t="n">
        <f aca="false">E339*H339</f>
        <v>0</v>
      </c>
      <c r="K339" s="14" t="n">
        <f aca="false">F339*H339</f>
        <v>0</v>
      </c>
      <c r="L339" s="14" t="n">
        <f aca="false">G339*H339</f>
        <v>0</v>
      </c>
      <c r="M339" s="27"/>
    </row>
    <row r="340" customFormat="false" ht="15" hidden="false" customHeight="false" outlineLevel="0" collapsed="false">
      <c r="A340" s="29" t="s">
        <v>674</v>
      </c>
      <c r="B340" s="27" t="s">
        <v>675</v>
      </c>
      <c r="C340" s="29" t="s">
        <v>240</v>
      </c>
      <c r="D340" s="34" t="n">
        <f aca="false">'PL.Khoi luong'!D335</f>
        <v>5</v>
      </c>
      <c r="E340" s="34" t="n">
        <f aca="false">'PL.Khoi luong'!E335</f>
        <v>0</v>
      </c>
      <c r="F340" s="34" t="n">
        <f aca="false">'PL.Khoi luong'!F335</f>
        <v>0</v>
      </c>
      <c r="G340" s="32" t="n">
        <f aca="false">E340+F340</f>
        <v>0</v>
      </c>
      <c r="H340" s="35" t="n">
        <v>178780</v>
      </c>
      <c r="I340" s="14" t="n">
        <f aca="false">D340*H340</f>
        <v>893900</v>
      </c>
      <c r="J340" s="14" t="n">
        <f aca="false">E340*H340</f>
        <v>0</v>
      </c>
      <c r="K340" s="14" t="n">
        <f aca="false">F340*H340</f>
        <v>0</v>
      </c>
      <c r="L340" s="14" t="n">
        <f aca="false">G340*H340</f>
        <v>0</v>
      </c>
      <c r="M340" s="27"/>
    </row>
    <row r="341" customFormat="false" ht="15" hidden="false" customHeight="false" outlineLevel="0" collapsed="false">
      <c r="A341" s="29" t="s">
        <v>676</v>
      </c>
      <c r="B341" s="27" t="s">
        <v>677</v>
      </c>
      <c r="C341" s="29" t="s">
        <v>240</v>
      </c>
      <c r="D341" s="34" t="n">
        <f aca="false">'PL.Khoi luong'!D336</f>
        <v>5</v>
      </c>
      <c r="E341" s="34" t="n">
        <f aca="false">'PL.Khoi luong'!E336</f>
        <v>0</v>
      </c>
      <c r="F341" s="34" t="n">
        <f aca="false">'PL.Khoi luong'!F336</f>
        <v>0</v>
      </c>
      <c r="G341" s="32" t="n">
        <f aca="false">E341+F341</f>
        <v>0</v>
      </c>
      <c r="H341" s="35" t="n">
        <v>165221</v>
      </c>
      <c r="I341" s="14" t="n">
        <f aca="false">D341*H341</f>
        <v>826105</v>
      </c>
      <c r="J341" s="14" t="n">
        <f aca="false">E341*H341</f>
        <v>0</v>
      </c>
      <c r="K341" s="14" t="n">
        <f aca="false">F341*H341</f>
        <v>0</v>
      </c>
      <c r="L341" s="14" t="n">
        <f aca="false">G341*H341</f>
        <v>0</v>
      </c>
      <c r="M341" s="27"/>
    </row>
    <row r="342" customFormat="false" ht="15" hidden="false" customHeight="false" outlineLevel="0" collapsed="false">
      <c r="A342" s="29" t="s">
        <v>678</v>
      </c>
      <c r="B342" s="27" t="s">
        <v>679</v>
      </c>
      <c r="C342" s="29" t="s">
        <v>240</v>
      </c>
      <c r="D342" s="34" t="n">
        <f aca="false">'PL.Khoi luong'!D337</f>
        <v>7</v>
      </c>
      <c r="E342" s="34" t="n">
        <f aca="false">'PL.Khoi luong'!E337</f>
        <v>0</v>
      </c>
      <c r="F342" s="34" t="n">
        <f aca="false">'PL.Khoi luong'!F337</f>
        <v>0</v>
      </c>
      <c r="G342" s="32" t="n">
        <f aca="false">E342+F342</f>
        <v>0</v>
      </c>
      <c r="H342" s="35" t="n">
        <v>27797</v>
      </c>
      <c r="I342" s="14" t="n">
        <f aca="false">D342*H342</f>
        <v>194579</v>
      </c>
      <c r="J342" s="14" t="n">
        <f aca="false">E342*H342</f>
        <v>0</v>
      </c>
      <c r="K342" s="14" t="n">
        <f aca="false">F342*H342</f>
        <v>0</v>
      </c>
      <c r="L342" s="14" t="n">
        <f aca="false">G342*H342</f>
        <v>0</v>
      </c>
      <c r="M342" s="27"/>
    </row>
    <row r="343" customFormat="false" ht="15" hidden="false" customHeight="false" outlineLevel="0" collapsed="false">
      <c r="A343" s="29" t="s">
        <v>680</v>
      </c>
      <c r="B343" s="27" t="s">
        <v>681</v>
      </c>
      <c r="C343" s="29" t="s">
        <v>240</v>
      </c>
      <c r="D343" s="34" t="n">
        <f aca="false">'PL.Khoi luong'!D338</f>
        <v>1</v>
      </c>
      <c r="E343" s="34" t="n">
        <f aca="false">'PL.Khoi luong'!E338</f>
        <v>0</v>
      </c>
      <c r="F343" s="34" t="n">
        <f aca="false">'PL.Khoi luong'!F338</f>
        <v>0</v>
      </c>
      <c r="G343" s="32" t="n">
        <f aca="false">E343+F343</f>
        <v>0</v>
      </c>
      <c r="H343" s="35" t="n">
        <v>256103</v>
      </c>
      <c r="I343" s="14" t="n">
        <f aca="false">D343*H343</f>
        <v>256103</v>
      </c>
      <c r="J343" s="14" t="n">
        <f aca="false">E343*H343</f>
        <v>0</v>
      </c>
      <c r="K343" s="14" t="n">
        <f aca="false">F343*H343</f>
        <v>0</v>
      </c>
      <c r="L343" s="14" t="n">
        <f aca="false">G343*H343</f>
        <v>0</v>
      </c>
      <c r="M343" s="27"/>
    </row>
    <row r="344" customFormat="false" ht="26.85" hidden="false" customHeight="false" outlineLevel="0" collapsed="false">
      <c r="A344" s="29" t="s">
        <v>682</v>
      </c>
      <c r="B344" s="27" t="s">
        <v>683</v>
      </c>
      <c r="C344" s="29" t="s">
        <v>240</v>
      </c>
      <c r="D344" s="34" t="n">
        <f aca="false">'PL.Khoi luong'!D339</f>
        <v>10</v>
      </c>
      <c r="E344" s="34" t="n">
        <f aca="false">'PL.Khoi luong'!E339</f>
        <v>0</v>
      </c>
      <c r="F344" s="34" t="n">
        <f aca="false">'PL.Khoi luong'!F339</f>
        <v>0</v>
      </c>
      <c r="G344" s="32" t="n">
        <f aca="false">E344+F344</f>
        <v>0</v>
      </c>
      <c r="H344" s="35" t="n">
        <v>111413</v>
      </c>
      <c r="I344" s="14" t="n">
        <f aca="false">D344*H344</f>
        <v>1114130</v>
      </c>
      <c r="J344" s="14" t="n">
        <f aca="false">E344*H344</f>
        <v>0</v>
      </c>
      <c r="K344" s="14" t="n">
        <f aca="false">F344*H344</f>
        <v>0</v>
      </c>
      <c r="L344" s="14" t="n">
        <f aca="false">G344*H344</f>
        <v>0</v>
      </c>
      <c r="M344" s="27"/>
    </row>
    <row r="345" customFormat="false" ht="15" hidden="false" customHeight="false" outlineLevel="0" collapsed="false">
      <c r="A345" s="29" t="s">
        <v>684</v>
      </c>
      <c r="B345" s="27" t="s">
        <v>685</v>
      </c>
      <c r="C345" s="29" t="s">
        <v>240</v>
      </c>
      <c r="D345" s="34" t="n">
        <f aca="false">'PL.Khoi luong'!D340</f>
        <v>5</v>
      </c>
      <c r="E345" s="34" t="n">
        <f aca="false">'PL.Khoi luong'!E340</f>
        <v>0</v>
      </c>
      <c r="F345" s="34" t="n">
        <f aca="false">'PL.Khoi luong'!F340</f>
        <v>0</v>
      </c>
      <c r="G345" s="32" t="n">
        <f aca="false">E345+F345</f>
        <v>0</v>
      </c>
      <c r="H345" s="35" t="n">
        <v>9412035</v>
      </c>
      <c r="I345" s="14" t="n">
        <f aca="false">D345*H345</f>
        <v>47060175</v>
      </c>
      <c r="J345" s="14" t="n">
        <f aca="false">E345*H345</f>
        <v>0</v>
      </c>
      <c r="K345" s="14" t="n">
        <f aca="false">F345*H345</f>
        <v>0</v>
      </c>
      <c r="L345" s="14" t="n">
        <f aca="false">G345*H345</f>
        <v>0</v>
      </c>
      <c r="M345" s="27"/>
    </row>
    <row r="346" customFormat="false" ht="15" hidden="false" customHeight="false" outlineLevel="0" collapsed="false">
      <c r="A346" s="29" t="s">
        <v>686</v>
      </c>
      <c r="B346" s="27" t="s">
        <v>687</v>
      </c>
      <c r="C346" s="29" t="s">
        <v>245</v>
      </c>
      <c r="D346" s="34" t="n">
        <f aca="false">'PL.Khoi luong'!D341</f>
        <v>3.02</v>
      </c>
      <c r="E346" s="34" t="n">
        <f aca="false">'PL.Khoi luong'!E341</f>
        <v>0</v>
      </c>
      <c r="F346" s="34" t="n">
        <f aca="false">'PL.Khoi luong'!F341</f>
        <v>0</v>
      </c>
      <c r="G346" s="32" t="n">
        <f aca="false">E346+F346</f>
        <v>0</v>
      </c>
      <c r="H346" s="35" t="n">
        <v>661570.860927152</v>
      </c>
      <c r="I346" s="14" t="n">
        <f aca="false">D346*H346</f>
        <v>1997944</v>
      </c>
      <c r="J346" s="14" t="n">
        <f aca="false">E346*H346</f>
        <v>0</v>
      </c>
      <c r="K346" s="14" t="n">
        <f aca="false">F346*H346</f>
        <v>0</v>
      </c>
      <c r="L346" s="14" t="n">
        <f aca="false">G346*H346</f>
        <v>0</v>
      </c>
      <c r="M346" s="27"/>
    </row>
    <row r="347" customFormat="false" ht="15" hidden="false" customHeight="false" outlineLevel="0" collapsed="false">
      <c r="A347" s="29" t="s">
        <v>688</v>
      </c>
      <c r="B347" s="27" t="s">
        <v>689</v>
      </c>
      <c r="C347" s="29" t="s">
        <v>245</v>
      </c>
      <c r="D347" s="34" t="n">
        <f aca="false">'PL.Khoi luong'!D342</f>
        <v>6.09</v>
      </c>
      <c r="E347" s="34" t="n">
        <f aca="false">'PL.Khoi luong'!E342</f>
        <v>0</v>
      </c>
      <c r="F347" s="34" t="n">
        <f aca="false">'PL.Khoi luong'!F342</f>
        <v>0</v>
      </c>
      <c r="G347" s="32" t="n">
        <f aca="false">E347+F347</f>
        <v>0</v>
      </c>
      <c r="H347" s="35" t="n">
        <v>460955.993431856</v>
      </c>
      <c r="I347" s="14" t="n">
        <f aca="false">D347*H347</f>
        <v>2807222</v>
      </c>
      <c r="J347" s="14" t="n">
        <f aca="false">E347*H347</f>
        <v>0</v>
      </c>
      <c r="K347" s="14" t="n">
        <f aca="false">F347*H347</f>
        <v>0</v>
      </c>
      <c r="L347" s="14" t="n">
        <f aca="false">G347*H347</f>
        <v>0</v>
      </c>
      <c r="M347" s="27"/>
    </row>
    <row r="348" customFormat="false" ht="15" hidden="false" customHeight="false" outlineLevel="0" collapsed="false">
      <c r="A348" s="29" t="s">
        <v>690</v>
      </c>
      <c r="B348" s="27" t="s">
        <v>691</v>
      </c>
      <c r="C348" s="29" t="s">
        <v>245</v>
      </c>
      <c r="D348" s="34" t="n">
        <f aca="false">'PL.Khoi luong'!D343</f>
        <v>9.11</v>
      </c>
      <c r="E348" s="34" t="n">
        <f aca="false">'PL.Khoi luong'!E343</f>
        <v>0</v>
      </c>
      <c r="F348" s="34" t="n">
        <f aca="false">'PL.Khoi luong'!F343</f>
        <v>0</v>
      </c>
      <c r="G348" s="32" t="n">
        <f aca="false">E348+F348</f>
        <v>0</v>
      </c>
      <c r="H348" s="35" t="n">
        <v>327224.039517014</v>
      </c>
      <c r="I348" s="14" t="n">
        <f aca="false">D348*H348</f>
        <v>2981011</v>
      </c>
      <c r="J348" s="14" t="n">
        <f aca="false">E348*H348</f>
        <v>0</v>
      </c>
      <c r="K348" s="14" t="n">
        <f aca="false">F348*H348</f>
        <v>0</v>
      </c>
      <c r="L348" s="14" t="n">
        <f aca="false">G348*H348</f>
        <v>0</v>
      </c>
      <c r="M348" s="27"/>
    </row>
    <row r="349" customFormat="false" ht="15" hidden="false" customHeight="false" outlineLevel="0" collapsed="false">
      <c r="A349" s="29" t="s">
        <v>692</v>
      </c>
      <c r="B349" s="27" t="s">
        <v>693</v>
      </c>
      <c r="C349" s="29" t="s">
        <v>240</v>
      </c>
      <c r="D349" s="34" t="n">
        <f aca="false">'PL.Khoi luong'!D344</f>
        <v>304</v>
      </c>
      <c r="E349" s="34" t="n">
        <f aca="false">'PL.Khoi luong'!E344</f>
        <v>0</v>
      </c>
      <c r="F349" s="34" t="n">
        <f aca="false">'PL.Khoi luong'!F344</f>
        <v>0</v>
      </c>
      <c r="G349" s="32" t="n">
        <f aca="false">E349+F349</f>
        <v>0</v>
      </c>
      <c r="H349" s="35" t="n">
        <v>9186</v>
      </c>
      <c r="I349" s="14" t="n">
        <f aca="false">D349*H349</f>
        <v>2792544</v>
      </c>
      <c r="J349" s="14" t="n">
        <f aca="false">E349*H349</f>
        <v>0</v>
      </c>
      <c r="K349" s="14" t="n">
        <f aca="false">F349*H349</f>
        <v>0</v>
      </c>
      <c r="L349" s="14" t="n">
        <f aca="false">G349*H349</f>
        <v>0</v>
      </c>
      <c r="M349" s="27"/>
    </row>
    <row r="350" customFormat="false" ht="15" hidden="false" customHeight="false" outlineLevel="0" collapsed="false">
      <c r="A350" s="29" t="s">
        <v>694</v>
      </c>
      <c r="B350" s="27" t="s">
        <v>695</v>
      </c>
      <c r="C350" s="29" t="s">
        <v>116</v>
      </c>
      <c r="D350" s="34" t="n">
        <f aca="false">'PL.Khoi luong'!D345</f>
        <v>150</v>
      </c>
      <c r="E350" s="34" t="n">
        <f aca="false">'PL.Khoi luong'!E345</f>
        <v>0</v>
      </c>
      <c r="F350" s="34" t="n">
        <f aca="false">'PL.Khoi luong'!F345</f>
        <v>0</v>
      </c>
      <c r="G350" s="32" t="n">
        <f aca="false">E350+F350</f>
        <v>0</v>
      </c>
      <c r="H350" s="35" t="n">
        <v>12248</v>
      </c>
      <c r="I350" s="14" t="n">
        <f aca="false">D350*H350</f>
        <v>1837200</v>
      </c>
      <c r="J350" s="14" t="n">
        <f aca="false">E350*H350</f>
        <v>0</v>
      </c>
      <c r="K350" s="14" t="n">
        <f aca="false">F350*H350</f>
        <v>0</v>
      </c>
      <c r="L350" s="14" t="n">
        <f aca="false">G350*H350</f>
        <v>0</v>
      </c>
      <c r="M350" s="27"/>
    </row>
    <row r="351" customFormat="false" ht="26.85" hidden="false" customHeight="false" outlineLevel="0" collapsed="false">
      <c r="A351" s="29" t="s">
        <v>696</v>
      </c>
      <c r="B351" s="27" t="s">
        <v>697</v>
      </c>
      <c r="C351" s="29" t="s">
        <v>587</v>
      </c>
      <c r="D351" s="34" t="n">
        <f aca="false">'PL.Khoi luong'!D346</f>
        <v>11.5</v>
      </c>
      <c r="E351" s="34" t="n">
        <f aca="false">'PL.Khoi luong'!E346</f>
        <v>0</v>
      </c>
      <c r="F351" s="34" t="n">
        <f aca="false">'PL.Khoi luong'!F346</f>
        <v>0</v>
      </c>
      <c r="G351" s="32" t="n">
        <f aca="false">E351+F351</f>
        <v>0</v>
      </c>
      <c r="H351" s="35" t="n">
        <v>446460</v>
      </c>
      <c r="I351" s="14" t="n">
        <f aca="false">D351*H351</f>
        <v>5134290</v>
      </c>
      <c r="J351" s="14" t="n">
        <f aca="false">E351*H351</f>
        <v>0</v>
      </c>
      <c r="K351" s="14" t="n">
        <f aca="false">F351*H351</f>
        <v>0</v>
      </c>
      <c r="L351" s="14" t="n">
        <f aca="false">G351*H351</f>
        <v>0</v>
      </c>
      <c r="M351" s="27"/>
    </row>
    <row r="352" customFormat="false" ht="15" hidden="false" customHeight="false" outlineLevel="0" collapsed="false">
      <c r="A352" s="29" t="s">
        <v>698</v>
      </c>
      <c r="B352" s="27" t="s">
        <v>699</v>
      </c>
      <c r="C352" s="29" t="s">
        <v>111</v>
      </c>
      <c r="D352" s="34" t="n">
        <f aca="false">'PL.Khoi luong'!D347</f>
        <v>0.086</v>
      </c>
      <c r="E352" s="34" t="n">
        <f aca="false">'PL.Khoi luong'!E347</f>
        <v>0</v>
      </c>
      <c r="F352" s="34" t="n">
        <f aca="false">'PL.Khoi luong'!F347</f>
        <v>0</v>
      </c>
      <c r="G352" s="32" t="n">
        <f aca="false">E352+F352</f>
        <v>0</v>
      </c>
      <c r="H352" s="35" t="n">
        <v>3752418.60465116</v>
      </c>
      <c r="I352" s="14" t="n">
        <f aca="false">D352*H352</f>
        <v>322708</v>
      </c>
      <c r="J352" s="14" t="n">
        <f aca="false">E352*H352</f>
        <v>0</v>
      </c>
      <c r="K352" s="14" t="n">
        <f aca="false">F352*H352</f>
        <v>0</v>
      </c>
      <c r="L352" s="14" t="n">
        <f aca="false">G352*H352</f>
        <v>0</v>
      </c>
      <c r="M352" s="27"/>
    </row>
    <row r="353" customFormat="false" ht="15" hidden="false" customHeight="false" outlineLevel="0" collapsed="false">
      <c r="A353" s="29" t="s">
        <v>700</v>
      </c>
      <c r="B353" s="27" t="s">
        <v>701</v>
      </c>
      <c r="C353" s="29" t="s">
        <v>116</v>
      </c>
      <c r="D353" s="34" t="n">
        <f aca="false">'PL.Khoi luong'!D348</f>
        <v>7.6</v>
      </c>
      <c r="E353" s="34" t="n">
        <f aca="false">'PL.Khoi luong'!E348</f>
        <v>0</v>
      </c>
      <c r="F353" s="34" t="n">
        <f aca="false">'PL.Khoi luong'!F348</f>
        <v>0</v>
      </c>
      <c r="G353" s="32" t="n">
        <f aca="false">E353+F353</f>
        <v>0</v>
      </c>
      <c r="H353" s="35" t="n">
        <v>544450</v>
      </c>
      <c r="I353" s="14" t="n">
        <f aca="false">D353*H353</f>
        <v>4137820</v>
      </c>
      <c r="J353" s="14" t="n">
        <f aca="false">E353*H353</f>
        <v>0</v>
      </c>
      <c r="K353" s="14" t="n">
        <f aca="false">F353*H353</f>
        <v>0</v>
      </c>
      <c r="L353" s="14" t="n">
        <f aca="false">G353*H353</f>
        <v>0</v>
      </c>
      <c r="M353" s="27"/>
    </row>
    <row r="354" customFormat="false" ht="15" hidden="false" customHeight="false" outlineLevel="0" collapsed="false">
      <c r="A354" s="29" t="s">
        <v>702</v>
      </c>
      <c r="B354" s="27" t="s">
        <v>703</v>
      </c>
      <c r="C354" s="29" t="s">
        <v>111</v>
      </c>
      <c r="D354" s="34" t="n">
        <f aca="false">'PL.Khoi luong'!D349</f>
        <v>0.0294</v>
      </c>
      <c r="E354" s="34" t="n">
        <f aca="false">'PL.Khoi luong'!E349</f>
        <v>0</v>
      </c>
      <c r="F354" s="34" t="n">
        <f aca="false">'PL.Khoi luong'!F349</f>
        <v>0</v>
      </c>
      <c r="G354" s="32" t="n">
        <f aca="false">E354+F354</f>
        <v>0</v>
      </c>
      <c r="H354" s="35" t="n">
        <v>9370986.39455782</v>
      </c>
      <c r="I354" s="14" t="n">
        <f aca="false">D354*H354</f>
        <v>275507</v>
      </c>
      <c r="J354" s="14" t="n">
        <f aca="false">E354*H354</f>
        <v>0</v>
      </c>
      <c r="K354" s="14" t="n">
        <f aca="false">F354*H354</f>
        <v>0</v>
      </c>
      <c r="L354" s="14" t="n">
        <f aca="false">G354*H354</f>
        <v>0</v>
      </c>
      <c r="M354" s="27"/>
    </row>
    <row r="355" customFormat="false" ht="26.85" hidden="false" customHeight="false" outlineLevel="0" collapsed="false">
      <c r="A355" s="29" t="s">
        <v>704</v>
      </c>
      <c r="B355" s="27" t="s">
        <v>705</v>
      </c>
      <c r="C355" s="29" t="s">
        <v>131</v>
      </c>
      <c r="D355" s="34" t="n">
        <f aca="false">'PL.Khoi luong'!D350</f>
        <v>8.4</v>
      </c>
      <c r="E355" s="34" t="n">
        <f aca="false">'PL.Khoi luong'!E350</f>
        <v>0</v>
      </c>
      <c r="F355" s="34" t="n">
        <f aca="false">'PL.Khoi luong'!F350</f>
        <v>0</v>
      </c>
      <c r="G355" s="32" t="n">
        <f aca="false">E355+F355</f>
        <v>0</v>
      </c>
      <c r="H355" s="35" t="n">
        <v>12247.9761904762</v>
      </c>
      <c r="I355" s="14" t="n">
        <f aca="false">D355*H355</f>
        <v>102883</v>
      </c>
      <c r="J355" s="14" t="n">
        <f aca="false">E355*H355</f>
        <v>0</v>
      </c>
      <c r="K355" s="14" t="n">
        <f aca="false">F355*H355</f>
        <v>0</v>
      </c>
      <c r="L355" s="14" t="n">
        <f aca="false">G355*H355</f>
        <v>0</v>
      </c>
      <c r="M355" s="27"/>
    </row>
    <row r="356" customFormat="false" ht="15" hidden="false" customHeight="false" outlineLevel="0" collapsed="false">
      <c r="A356" s="29" t="s">
        <v>706</v>
      </c>
      <c r="B356" s="27" t="s">
        <v>707</v>
      </c>
      <c r="C356" s="29" t="s">
        <v>587</v>
      </c>
      <c r="D356" s="34" t="n">
        <f aca="false">'PL.Khoi luong'!D351</f>
        <v>2.5337</v>
      </c>
      <c r="E356" s="34" t="n">
        <f aca="false">'PL.Khoi luong'!E351</f>
        <v>0</v>
      </c>
      <c r="F356" s="34" t="n">
        <f aca="false">'PL.Khoi luong'!F351</f>
        <v>0</v>
      </c>
      <c r="G356" s="32" t="n">
        <f aca="false">E356+F356</f>
        <v>0</v>
      </c>
      <c r="H356" s="35" t="n">
        <v>523625.922563839</v>
      </c>
      <c r="I356" s="14" t="n">
        <f aca="false">D356*H356</f>
        <v>1326711</v>
      </c>
      <c r="J356" s="14" t="n">
        <f aca="false">E356*H356</f>
        <v>0</v>
      </c>
      <c r="K356" s="14" t="n">
        <f aca="false">F356*H356</f>
        <v>0</v>
      </c>
      <c r="L356" s="14" t="n">
        <f aca="false">G356*H356</f>
        <v>0</v>
      </c>
      <c r="M356" s="27"/>
    </row>
    <row r="357" customFormat="false" ht="15" hidden="false" customHeight="false" outlineLevel="0" collapsed="false">
      <c r="A357" s="29" t="s">
        <v>708</v>
      </c>
      <c r="B357" s="27" t="s">
        <v>709</v>
      </c>
      <c r="C357" s="29" t="s">
        <v>116</v>
      </c>
      <c r="D357" s="34" t="n">
        <f aca="false">'PL.Khoi luong'!D352</f>
        <v>0.3296</v>
      </c>
      <c r="E357" s="34" t="n">
        <f aca="false">'PL.Khoi luong'!E352</f>
        <v>0</v>
      </c>
      <c r="F357" s="34" t="n">
        <f aca="false">'PL.Khoi luong'!F352</f>
        <v>0</v>
      </c>
      <c r="G357" s="32" t="n">
        <f aca="false">E357+F357</f>
        <v>0</v>
      </c>
      <c r="H357" s="35" t="n">
        <v>1764083.73786408</v>
      </c>
      <c r="I357" s="14" t="n">
        <f aca="false">D357*H357</f>
        <v>581442.000000001</v>
      </c>
      <c r="J357" s="14" t="n">
        <f aca="false">E357*H357</f>
        <v>0</v>
      </c>
      <c r="K357" s="14" t="n">
        <f aca="false">F357*H357</f>
        <v>0</v>
      </c>
      <c r="L357" s="14" t="n">
        <f aca="false">G357*H357</f>
        <v>0</v>
      </c>
      <c r="M357" s="27"/>
    </row>
    <row r="358" customFormat="false" ht="26.85" hidden="false" customHeight="false" outlineLevel="0" collapsed="false">
      <c r="A358" s="29" t="s">
        <v>710</v>
      </c>
      <c r="B358" s="27" t="s">
        <v>711</v>
      </c>
      <c r="C358" s="29" t="s">
        <v>116</v>
      </c>
      <c r="D358" s="34" t="n">
        <f aca="false">'PL.Khoi luong'!D353</f>
        <v>0.216</v>
      </c>
      <c r="E358" s="34" t="n">
        <f aca="false">'PL.Khoi luong'!E353</f>
        <v>0</v>
      </c>
      <c r="F358" s="34" t="n">
        <f aca="false">'PL.Khoi luong'!F353</f>
        <v>0</v>
      </c>
      <c r="G358" s="32" t="n">
        <f aca="false">E358+F358</f>
        <v>0</v>
      </c>
      <c r="H358" s="35" t="n">
        <v>2112935.18518519</v>
      </c>
      <c r="I358" s="14" t="n">
        <f aca="false">D358*H358</f>
        <v>456394.000000001</v>
      </c>
      <c r="J358" s="14" t="n">
        <f aca="false">E358*H358</f>
        <v>0</v>
      </c>
      <c r="K358" s="14" t="n">
        <f aca="false">F358*H358</f>
        <v>0</v>
      </c>
      <c r="L358" s="14" t="n">
        <f aca="false">G358*H358</f>
        <v>0</v>
      </c>
      <c r="M358" s="27"/>
    </row>
    <row r="359" customFormat="false" ht="15" hidden="false" customHeight="false" outlineLevel="0" collapsed="false">
      <c r="A359" s="29" t="s">
        <v>712</v>
      </c>
      <c r="B359" s="27" t="s">
        <v>709</v>
      </c>
      <c r="C359" s="29" t="s">
        <v>116</v>
      </c>
      <c r="D359" s="34" t="n">
        <f aca="false">'PL.Khoi luong'!D354</f>
        <v>0.008</v>
      </c>
      <c r="E359" s="34" t="n">
        <f aca="false">'PL.Khoi luong'!E354</f>
        <v>0</v>
      </c>
      <c r="F359" s="34" t="n">
        <f aca="false">'PL.Khoi luong'!F354</f>
        <v>0</v>
      </c>
      <c r="G359" s="32" t="n">
        <f aca="false">E359+F359</f>
        <v>0</v>
      </c>
      <c r="H359" s="35" t="n">
        <v>1764125</v>
      </c>
      <c r="I359" s="14" t="n">
        <f aca="false">D359*H359</f>
        <v>14113</v>
      </c>
      <c r="J359" s="14" t="n">
        <f aca="false">E359*H359</f>
        <v>0</v>
      </c>
      <c r="K359" s="14" t="n">
        <f aca="false">F359*H359</f>
        <v>0</v>
      </c>
      <c r="L359" s="14" t="n">
        <f aca="false">G359*H359</f>
        <v>0</v>
      </c>
      <c r="M359" s="27"/>
    </row>
    <row r="360" customFormat="false" ht="26.85" hidden="false" customHeight="false" outlineLevel="0" collapsed="false">
      <c r="A360" s="29" t="s">
        <v>713</v>
      </c>
      <c r="B360" s="27" t="s">
        <v>714</v>
      </c>
      <c r="C360" s="29" t="s">
        <v>149</v>
      </c>
      <c r="D360" s="34" t="n">
        <f aca="false">'PL.Khoi luong'!D355</f>
        <v>0.0126</v>
      </c>
      <c r="E360" s="34" t="n">
        <f aca="false">'PL.Khoi luong'!E355</f>
        <v>0</v>
      </c>
      <c r="F360" s="34" t="n">
        <f aca="false">'PL.Khoi luong'!F355</f>
        <v>0</v>
      </c>
      <c r="G360" s="32" t="n">
        <f aca="false">E360+F360</f>
        <v>0</v>
      </c>
      <c r="H360" s="35" t="n">
        <v>25454126.984127</v>
      </c>
      <c r="I360" s="14" t="n">
        <f aca="false">D360*H360</f>
        <v>320722</v>
      </c>
      <c r="J360" s="14" t="n">
        <f aca="false">E360*H360</f>
        <v>0</v>
      </c>
      <c r="K360" s="14" t="n">
        <f aca="false">F360*H360</f>
        <v>0</v>
      </c>
      <c r="L360" s="14" t="n">
        <f aca="false">G360*H360</f>
        <v>0</v>
      </c>
      <c r="M360" s="27"/>
    </row>
    <row r="361" customFormat="false" ht="15" hidden="false" customHeight="false" outlineLevel="0" collapsed="false">
      <c r="A361" s="29" t="s">
        <v>715</v>
      </c>
      <c r="B361" s="27" t="s">
        <v>531</v>
      </c>
      <c r="C361" s="29" t="s">
        <v>149</v>
      </c>
      <c r="D361" s="34" t="n">
        <f aca="false">'PL.Khoi luong'!D356</f>
        <v>0.085</v>
      </c>
      <c r="E361" s="34" t="n">
        <f aca="false">'PL.Khoi luong'!E356</f>
        <v>0</v>
      </c>
      <c r="F361" s="34" t="n">
        <f aca="false">'PL.Khoi luong'!F356</f>
        <v>0</v>
      </c>
      <c r="G361" s="32" t="n">
        <f aca="false">E361+F361</f>
        <v>0</v>
      </c>
      <c r="H361" s="35" t="n">
        <v>30438682.3529412</v>
      </c>
      <c r="I361" s="14" t="n">
        <f aca="false">D361*H361</f>
        <v>2587288</v>
      </c>
      <c r="J361" s="14" t="n">
        <f aca="false">E361*H361</f>
        <v>0</v>
      </c>
      <c r="K361" s="14" t="n">
        <f aca="false">F361*H361</f>
        <v>0</v>
      </c>
      <c r="L361" s="14" t="n">
        <f aca="false">G361*H361</f>
        <v>0</v>
      </c>
      <c r="M361" s="27"/>
    </row>
    <row r="362" customFormat="false" ht="26.85" hidden="false" customHeight="false" outlineLevel="0" collapsed="false">
      <c r="A362" s="29" t="s">
        <v>716</v>
      </c>
      <c r="B362" s="27" t="s">
        <v>717</v>
      </c>
      <c r="C362" s="29" t="s">
        <v>116</v>
      </c>
      <c r="D362" s="34" t="n">
        <f aca="false">'PL.Khoi luong'!D357</f>
        <v>0.6591</v>
      </c>
      <c r="E362" s="34" t="n">
        <f aca="false">'PL.Khoi luong'!E357</f>
        <v>0</v>
      </c>
      <c r="F362" s="34" t="n">
        <f aca="false">'PL.Khoi luong'!F357</f>
        <v>0</v>
      </c>
      <c r="G362" s="32" t="n">
        <f aca="false">E362+F362</f>
        <v>0</v>
      </c>
      <c r="H362" s="35" t="n">
        <v>1568220.30040965</v>
      </c>
      <c r="I362" s="14" t="n">
        <f aca="false">D362*H362</f>
        <v>1033614</v>
      </c>
      <c r="J362" s="14" t="n">
        <f aca="false">E362*H362</f>
        <v>0</v>
      </c>
      <c r="K362" s="14" t="n">
        <f aca="false">F362*H362</f>
        <v>0</v>
      </c>
      <c r="L362" s="14" t="n">
        <f aca="false">G362*H362</f>
        <v>0</v>
      </c>
      <c r="M362" s="27"/>
    </row>
    <row r="363" customFormat="false" ht="15" hidden="false" customHeight="false" outlineLevel="0" collapsed="false">
      <c r="A363" s="29" t="s">
        <v>718</v>
      </c>
      <c r="B363" s="27" t="s">
        <v>719</v>
      </c>
      <c r="C363" s="29" t="s">
        <v>131</v>
      </c>
      <c r="D363" s="34" t="n">
        <f aca="false">'PL.Khoi luong'!D358</f>
        <v>4.644</v>
      </c>
      <c r="E363" s="34" t="n">
        <f aca="false">'PL.Khoi luong'!E358</f>
        <v>0</v>
      </c>
      <c r="F363" s="34" t="n">
        <f aca="false">'PL.Khoi luong'!F358</f>
        <v>0</v>
      </c>
      <c r="G363" s="32" t="n">
        <f aca="false">E363+F363</f>
        <v>0</v>
      </c>
      <c r="H363" s="35" t="n">
        <v>132672.049956934</v>
      </c>
      <c r="I363" s="14" t="n">
        <f aca="false">D363*H363</f>
        <v>616129.000000002</v>
      </c>
      <c r="J363" s="14" t="n">
        <f aca="false">E363*H363</f>
        <v>0</v>
      </c>
      <c r="K363" s="14" t="n">
        <f aca="false">F363*H363</f>
        <v>0</v>
      </c>
      <c r="L363" s="14" t="n">
        <f aca="false">G363*H363</f>
        <v>0</v>
      </c>
      <c r="M363" s="27"/>
    </row>
    <row r="364" customFormat="false" ht="15" hidden="false" customHeight="false" outlineLevel="0" collapsed="false">
      <c r="A364" s="29" t="s">
        <v>720</v>
      </c>
      <c r="B364" s="27" t="s">
        <v>721</v>
      </c>
      <c r="C364" s="29" t="s">
        <v>131</v>
      </c>
      <c r="D364" s="34" t="n">
        <f aca="false">'PL.Khoi luong'!D359</f>
        <v>2.72</v>
      </c>
      <c r="E364" s="34" t="n">
        <f aca="false">'PL.Khoi luong'!E359</f>
        <v>0</v>
      </c>
      <c r="F364" s="34" t="n">
        <f aca="false">'PL.Khoi luong'!F359</f>
        <v>0</v>
      </c>
      <c r="G364" s="32" t="n">
        <f aca="false">E364+F364</f>
        <v>0</v>
      </c>
      <c r="H364" s="35" t="n">
        <v>98376.8382352941</v>
      </c>
      <c r="I364" s="14" t="n">
        <f aca="false">D364*H364</f>
        <v>267585</v>
      </c>
      <c r="J364" s="14" t="n">
        <f aca="false">E364*H364</f>
        <v>0</v>
      </c>
      <c r="K364" s="14" t="n">
        <f aca="false">F364*H364</f>
        <v>0</v>
      </c>
      <c r="L364" s="14" t="n">
        <f aca="false">G364*H364</f>
        <v>0</v>
      </c>
      <c r="M364" s="27"/>
    </row>
    <row r="365" customFormat="false" ht="26.85" hidden="false" customHeight="false" outlineLevel="0" collapsed="false">
      <c r="A365" s="29" t="s">
        <v>722</v>
      </c>
      <c r="B365" s="27" t="s">
        <v>723</v>
      </c>
      <c r="C365" s="29" t="s">
        <v>106</v>
      </c>
      <c r="D365" s="34" t="n">
        <f aca="false">'PL.Khoi luong'!D360</f>
        <v>0.0113</v>
      </c>
      <c r="E365" s="34" t="n">
        <f aca="false">'PL.Khoi luong'!E360</f>
        <v>0</v>
      </c>
      <c r="F365" s="34" t="n">
        <f aca="false">'PL.Khoi luong'!F360</f>
        <v>0</v>
      </c>
      <c r="G365" s="32" t="n">
        <f aca="false">E365+F365</f>
        <v>0</v>
      </c>
      <c r="H365" s="35" t="n">
        <v>15808318.5840708</v>
      </c>
      <c r="I365" s="14" t="n">
        <f aca="false">D365*H365</f>
        <v>178634</v>
      </c>
      <c r="J365" s="14" t="n">
        <f aca="false">E365*H365</f>
        <v>0</v>
      </c>
      <c r="K365" s="14" t="n">
        <f aca="false">F365*H365</f>
        <v>0</v>
      </c>
      <c r="L365" s="14" t="n">
        <f aca="false">G365*H365</f>
        <v>0</v>
      </c>
      <c r="M365" s="27"/>
    </row>
    <row r="366" customFormat="false" ht="15" hidden="false" customHeight="false" outlineLevel="0" collapsed="false">
      <c r="A366" s="29" t="s">
        <v>724</v>
      </c>
      <c r="B366" s="27" t="s">
        <v>699</v>
      </c>
      <c r="C366" s="29" t="s">
        <v>111</v>
      </c>
      <c r="D366" s="34" t="n">
        <f aca="false">'PL.Khoi luong'!D361</f>
        <v>0.0194</v>
      </c>
      <c r="E366" s="34" t="n">
        <f aca="false">'PL.Khoi luong'!E361</f>
        <v>0</v>
      </c>
      <c r="F366" s="34" t="n">
        <f aca="false">'PL.Khoi luong'!F361</f>
        <v>0</v>
      </c>
      <c r="G366" s="32" t="n">
        <f aca="false">E366+F366</f>
        <v>0</v>
      </c>
      <c r="H366" s="35" t="n">
        <v>3752422.68041237</v>
      </c>
      <c r="I366" s="14" t="n">
        <f aca="false">D366*H366</f>
        <v>72797</v>
      </c>
      <c r="J366" s="14" t="n">
        <f aca="false">E366*H366</f>
        <v>0</v>
      </c>
      <c r="K366" s="14" t="n">
        <f aca="false">F366*H366</f>
        <v>0</v>
      </c>
      <c r="L366" s="14" t="n">
        <f aca="false">G366*H366</f>
        <v>0</v>
      </c>
      <c r="M366" s="27"/>
    </row>
    <row r="367" customFormat="false" ht="26.85" hidden="false" customHeight="false" outlineLevel="0" collapsed="false">
      <c r="A367" s="29" t="s">
        <v>725</v>
      </c>
      <c r="B367" s="27" t="s">
        <v>726</v>
      </c>
      <c r="C367" s="29" t="s">
        <v>160</v>
      </c>
      <c r="D367" s="34" t="n">
        <f aca="false">'PL.Khoi luong'!D362</f>
        <v>2</v>
      </c>
      <c r="E367" s="34" t="n">
        <f aca="false">'PL.Khoi luong'!E362</f>
        <v>0</v>
      </c>
      <c r="F367" s="34" t="n">
        <f aca="false">'PL.Khoi luong'!F362</f>
        <v>0</v>
      </c>
      <c r="G367" s="32" t="n">
        <f aca="false">E367+F367</f>
        <v>0</v>
      </c>
      <c r="H367" s="35" t="n">
        <v>15874</v>
      </c>
      <c r="I367" s="14" t="n">
        <f aca="false">D367*H367</f>
        <v>31748</v>
      </c>
      <c r="J367" s="14" t="n">
        <f aca="false">E367*H367</f>
        <v>0</v>
      </c>
      <c r="K367" s="14" t="n">
        <f aca="false">F367*H367</f>
        <v>0</v>
      </c>
      <c r="L367" s="14" t="n">
        <f aca="false">G367*H367</f>
        <v>0</v>
      </c>
      <c r="M367" s="27"/>
    </row>
    <row r="368" customFormat="false" ht="26.85" hidden="false" customHeight="false" outlineLevel="0" collapsed="false">
      <c r="A368" s="12" t="s">
        <v>727</v>
      </c>
      <c r="B368" s="13" t="s">
        <v>728</v>
      </c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</row>
    <row r="369" customFormat="false" ht="15" hidden="false" customHeight="false" outlineLevel="0" collapsed="false">
      <c r="A369" s="29" t="s">
        <v>729</v>
      </c>
      <c r="B369" s="27" t="s">
        <v>730</v>
      </c>
      <c r="C369" s="29" t="s">
        <v>731</v>
      </c>
      <c r="D369" s="34" t="n">
        <f aca="false">'PL.Khoi luong'!D364</f>
        <v>1</v>
      </c>
      <c r="E369" s="34" t="n">
        <f aca="false">'PL.Khoi luong'!E364</f>
        <v>0</v>
      </c>
      <c r="F369" s="34" t="n">
        <f aca="false">'PL.Khoi luong'!F364</f>
        <v>0</v>
      </c>
      <c r="G369" s="32" t="n">
        <f aca="false">E369+F369</f>
        <v>0</v>
      </c>
      <c r="H369" s="35" t="n">
        <v>1314056</v>
      </c>
      <c r="I369" s="14" t="n">
        <f aca="false">D369*H369</f>
        <v>1314056</v>
      </c>
      <c r="J369" s="14" t="n">
        <f aca="false">E369*H369</f>
        <v>0</v>
      </c>
      <c r="K369" s="14" t="n">
        <f aca="false">F369*H369</f>
        <v>0</v>
      </c>
      <c r="L369" s="14" t="n">
        <f aca="false">G369*H369</f>
        <v>0</v>
      </c>
      <c r="M369" s="27"/>
    </row>
    <row r="370" customFormat="false" ht="15" hidden="false" customHeight="false" outlineLevel="0" collapsed="false">
      <c r="A370" s="29" t="s">
        <v>732</v>
      </c>
      <c r="B370" s="27" t="s">
        <v>733</v>
      </c>
      <c r="C370" s="29" t="s">
        <v>731</v>
      </c>
      <c r="D370" s="34" t="n">
        <f aca="false">'PL.Khoi luong'!D365</f>
        <v>1</v>
      </c>
      <c r="E370" s="34" t="n">
        <f aca="false">'PL.Khoi luong'!E365</f>
        <v>0</v>
      </c>
      <c r="F370" s="34" t="n">
        <f aca="false">'PL.Khoi luong'!F365</f>
        <v>0</v>
      </c>
      <c r="G370" s="32" t="n">
        <f aca="false">E370+F370</f>
        <v>0</v>
      </c>
      <c r="H370" s="35" t="n">
        <v>2086769</v>
      </c>
      <c r="I370" s="14" t="n">
        <f aca="false">D370*H370</f>
        <v>2086769</v>
      </c>
      <c r="J370" s="14" t="n">
        <f aca="false">E370*H370</f>
        <v>0</v>
      </c>
      <c r="K370" s="14" t="n">
        <f aca="false">F370*H370</f>
        <v>0</v>
      </c>
      <c r="L370" s="14" t="n">
        <f aca="false">G370*H370</f>
        <v>0</v>
      </c>
      <c r="M370" s="27"/>
    </row>
    <row r="371" customFormat="false" ht="26.85" hidden="false" customHeight="false" outlineLevel="0" collapsed="false">
      <c r="A371" s="29" t="s">
        <v>734</v>
      </c>
      <c r="B371" s="27" t="s">
        <v>735</v>
      </c>
      <c r="C371" s="29" t="s">
        <v>731</v>
      </c>
      <c r="D371" s="34" t="n">
        <f aca="false">'PL.Khoi luong'!D366</f>
        <v>1</v>
      </c>
      <c r="E371" s="34" t="n">
        <f aca="false">'PL.Khoi luong'!E366</f>
        <v>0</v>
      </c>
      <c r="F371" s="34" t="n">
        <f aca="false">'PL.Khoi luong'!F366</f>
        <v>0</v>
      </c>
      <c r="G371" s="32" t="n">
        <f aca="false">E371+F371</f>
        <v>0</v>
      </c>
      <c r="H371" s="35" t="n">
        <v>3869592</v>
      </c>
      <c r="I371" s="14" t="n">
        <f aca="false">D371*H371</f>
        <v>3869592</v>
      </c>
      <c r="J371" s="14" t="n">
        <f aca="false">E371*H371</f>
        <v>0</v>
      </c>
      <c r="K371" s="14" t="n">
        <f aca="false">F371*H371</f>
        <v>0</v>
      </c>
      <c r="L371" s="14" t="n">
        <f aca="false">G371*H371</f>
        <v>0</v>
      </c>
      <c r="M371" s="27"/>
    </row>
    <row r="372" customFormat="false" ht="15" hidden="false" customHeight="false" outlineLevel="0" collapsed="false">
      <c r="A372" s="29" t="s">
        <v>736</v>
      </c>
      <c r="B372" s="27" t="s">
        <v>737</v>
      </c>
      <c r="C372" s="29" t="s">
        <v>731</v>
      </c>
      <c r="D372" s="34" t="n">
        <f aca="false">'PL.Khoi luong'!D367</f>
        <v>1</v>
      </c>
      <c r="E372" s="34" t="n">
        <f aca="false">'PL.Khoi luong'!E367</f>
        <v>0</v>
      </c>
      <c r="F372" s="34" t="n">
        <f aca="false">'PL.Khoi luong'!F367</f>
        <v>0</v>
      </c>
      <c r="G372" s="32" t="n">
        <f aca="false">E372+F372</f>
        <v>0</v>
      </c>
      <c r="H372" s="35" t="n">
        <v>3548250</v>
      </c>
      <c r="I372" s="14" t="n">
        <f aca="false">D372*H372</f>
        <v>3548250</v>
      </c>
      <c r="J372" s="14" t="n">
        <f aca="false">E372*H372</f>
        <v>0</v>
      </c>
      <c r="K372" s="14" t="n">
        <f aca="false">F372*H372</f>
        <v>0</v>
      </c>
      <c r="L372" s="14" t="n">
        <f aca="false">G372*H372</f>
        <v>0</v>
      </c>
      <c r="M372" s="27"/>
    </row>
    <row r="373" customFormat="false" ht="15" hidden="false" customHeight="false" outlineLevel="0" collapsed="false">
      <c r="A373" s="29" t="s">
        <v>738</v>
      </c>
      <c r="B373" s="27" t="s">
        <v>739</v>
      </c>
      <c r="C373" s="29" t="s">
        <v>731</v>
      </c>
      <c r="D373" s="34" t="n">
        <f aca="false">'PL.Khoi luong'!D368</f>
        <v>1</v>
      </c>
      <c r="E373" s="34" t="n">
        <f aca="false">'PL.Khoi luong'!E368</f>
        <v>0</v>
      </c>
      <c r="F373" s="34" t="n">
        <f aca="false">'PL.Khoi luong'!F368</f>
        <v>0</v>
      </c>
      <c r="G373" s="32" t="n">
        <f aca="false">E373+F373</f>
        <v>0</v>
      </c>
      <c r="H373" s="35" t="n">
        <v>3512862</v>
      </c>
      <c r="I373" s="14" t="n">
        <f aca="false">D373*H373</f>
        <v>3512862</v>
      </c>
      <c r="J373" s="14" t="n">
        <f aca="false">E373*H373</f>
        <v>0</v>
      </c>
      <c r="K373" s="14" t="n">
        <f aca="false">F373*H373</f>
        <v>0</v>
      </c>
      <c r="L373" s="14" t="n">
        <f aca="false">G373*H373</f>
        <v>0</v>
      </c>
      <c r="M373" s="27"/>
    </row>
    <row r="374" customFormat="false" ht="26.85" hidden="false" customHeight="false" outlineLevel="0" collapsed="false">
      <c r="A374" s="29" t="s">
        <v>740</v>
      </c>
      <c r="B374" s="27" t="s">
        <v>741</v>
      </c>
      <c r="C374" s="29" t="s">
        <v>731</v>
      </c>
      <c r="D374" s="34" t="n">
        <f aca="false">'PL.Khoi luong'!D369</f>
        <v>1</v>
      </c>
      <c r="E374" s="34" t="n">
        <f aca="false">'PL.Khoi luong'!E369</f>
        <v>0</v>
      </c>
      <c r="F374" s="34" t="n">
        <f aca="false">'PL.Khoi luong'!F369</f>
        <v>0</v>
      </c>
      <c r="G374" s="32" t="n">
        <f aca="false">E374+F374</f>
        <v>0</v>
      </c>
      <c r="H374" s="35" t="n">
        <v>3715118</v>
      </c>
      <c r="I374" s="14" t="n">
        <f aca="false">D374*H374</f>
        <v>3715118</v>
      </c>
      <c r="J374" s="14" t="n">
        <f aca="false">E374*H374</f>
        <v>0</v>
      </c>
      <c r="K374" s="14" t="n">
        <f aca="false">F374*H374</f>
        <v>0</v>
      </c>
      <c r="L374" s="14" t="n">
        <f aca="false">G374*H374</f>
        <v>0</v>
      </c>
      <c r="M374" s="27"/>
    </row>
    <row r="375" customFormat="false" ht="15" hidden="false" customHeight="false" outlineLevel="0" collapsed="false">
      <c r="A375" s="29" t="s">
        <v>742</v>
      </c>
      <c r="B375" s="27" t="s">
        <v>743</v>
      </c>
      <c r="C375" s="29" t="s">
        <v>731</v>
      </c>
      <c r="D375" s="34" t="n">
        <f aca="false">'PL.Khoi luong'!D370</f>
        <v>1</v>
      </c>
      <c r="E375" s="34" t="n">
        <f aca="false">'PL.Khoi luong'!E370</f>
        <v>0</v>
      </c>
      <c r="F375" s="34" t="n">
        <f aca="false">'PL.Khoi luong'!F370</f>
        <v>0</v>
      </c>
      <c r="G375" s="32" t="n">
        <f aca="false">E375+F375</f>
        <v>0</v>
      </c>
      <c r="H375" s="35" t="n">
        <v>2979702</v>
      </c>
      <c r="I375" s="14" t="n">
        <f aca="false">D375*H375</f>
        <v>2979702</v>
      </c>
      <c r="J375" s="14" t="n">
        <f aca="false">E375*H375</f>
        <v>0</v>
      </c>
      <c r="K375" s="14" t="n">
        <f aca="false">F375*H375</f>
        <v>0</v>
      </c>
      <c r="L375" s="14" t="n">
        <f aca="false">G375*H375</f>
        <v>0</v>
      </c>
      <c r="M375" s="27"/>
    </row>
    <row r="376" customFormat="false" ht="15" hidden="false" customHeight="false" outlineLevel="0" collapsed="false">
      <c r="A376" s="29" t="s">
        <v>744</v>
      </c>
      <c r="B376" s="27" t="s">
        <v>745</v>
      </c>
      <c r="C376" s="29" t="s">
        <v>731</v>
      </c>
      <c r="D376" s="34" t="n">
        <f aca="false">'PL.Khoi luong'!D371</f>
        <v>1</v>
      </c>
      <c r="E376" s="34" t="n">
        <f aca="false">'PL.Khoi luong'!E371</f>
        <v>0</v>
      </c>
      <c r="F376" s="34" t="n">
        <f aca="false">'PL.Khoi luong'!F371</f>
        <v>0</v>
      </c>
      <c r="G376" s="32" t="n">
        <f aca="false">E376+F376</f>
        <v>0</v>
      </c>
      <c r="H376" s="35" t="n">
        <v>727834</v>
      </c>
      <c r="I376" s="14" t="n">
        <f aca="false">D376*H376</f>
        <v>727834</v>
      </c>
      <c r="J376" s="14" t="n">
        <f aca="false">E376*H376</f>
        <v>0</v>
      </c>
      <c r="K376" s="14" t="n">
        <f aca="false">F376*H376</f>
        <v>0</v>
      </c>
      <c r="L376" s="14" t="n">
        <f aca="false">G376*H376</f>
        <v>0</v>
      </c>
      <c r="M376" s="27"/>
    </row>
    <row r="377" customFormat="false" ht="15" hidden="false" customHeight="false" outlineLevel="0" collapsed="false">
      <c r="A377" s="29" t="s">
        <v>746</v>
      </c>
      <c r="B377" s="27" t="s">
        <v>747</v>
      </c>
      <c r="C377" s="29" t="s">
        <v>748</v>
      </c>
      <c r="D377" s="34" t="n">
        <f aca="false">'PL.Khoi luong'!D372</f>
        <v>8</v>
      </c>
      <c r="E377" s="34" t="n">
        <f aca="false">'PL.Khoi luong'!E372</f>
        <v>0</v>
      </c>
      <c r="F377" s="34" t="n">
        <f aca="false">'PL.Khoi luong'!F372</f>
        <v>0</v>
      </c>
      <c r="G377" s="32" t="n">
        <f aca="false">E377+F377</f>
        <v>0</v>
      </c>
      <c r="H377" s="35" t="n">
        <v>918945</v>
      </c>
      <c r="I377" s="14" t="n">
        <f aca="false">D377*H377</f>
        <v>7351560</v>
      </c>
      <c r="J377" s="14" t="n">
        <f aca="false">E377*H377</f>
        <v>0</v>
      </c>
      <c r="K377" s="14" t="n">
        <f aca="false">F377*H377</f>
        <v>0</v>
      </c>
      <c r="L377" s="14" t="n">
        <f aca="false">G377*H377</f>
        <v>0</v>
      </c>
      <c r="M377" s="27"/>
    </row>
    <row r="378" customFormat="false" ht="15" hidden="false" customHeight="false" outlineLevel="0" collapsed="false">
      <c r="A378" s="29" t="s">
        <v>749</v>
      </c>
      <c r="B378" s="27" t="s">
        <v>750</v>
      </c>
      <c r="C378" s="29" t="s">
        <v>731</v>
      </c>
      <c r="D378" s="34" t="n">
        <f aca="false">'PL.Khoi luong'!D373</f>
        <v>1</v>
      </c>
      <c r="E378" s="34" t="n">
        <f aca="false">'PL.Khoi luong'!E373</f>
        <v>0</v>
      </c>
      <c r="F378" s="34" t="n">
        <f aca="false">'PL.Khoi luong'!F373</f>
        <v>0</v>
      </c>
      <c r="G378" s="32" t="n">
        <f aca="false">E378+F378</f>
        <v>0</v>
      </c>
      <c r="H378" s="35" t="n">
        <v>10993490</v>
      </c>
      <c r="I378" s="14" t="n">
        <f aca="false">D378*H378</f>
        <v>10993490</v>
      </c>
      <c r="J378" s="14" t="n">
        <f aca="false">E378*H378</f>
        <v>0</v>
      </c>
      <c r="K378" s="14" t="n">
        <f aca="false">F378*H378</f>
        <v>0</v>
      </c>
      <c r="L378" s="14" t="n">
        <f aca="false">G378*H378</f>
        <v>0</v>
      </c>
      <c r="M378" s="27"/>
    </row>
    <row r="379" customFormat="false" ht="15" hidden="false" customHeight="false" outlineLevel="0" collapsed="false">
      <c r="A379" s="29" t="s">
        <v>751</v>
      </c>
      <c r="B379" s="27" t="s">
        <v>752</v>
      </c>
      <c r="C379" s="29" t="s">
        <v>731</v>
      </c>
      <c r="D379" s="34" t="n">
        <f aca="false">'PL.Khoi luong'!D374</f>
        <v>1</v>
      </c>
      <c r="E379" s="34" t="n">
        <f aca="false">'PL.Khoi luong'!E374</f>
        <v>0</v>
      </c>
      <c r="F379" s="34" t="n">
        <f aca="false">'PL.Khoi luong'!F374</f>
        <v>0</v>
      </c>
      <c r="G379" s="32" t="n">
        <f aca="false">E379+F379</f>
        <v>0</v>
      </c>
      <c r="H379" s="35" t="n">
        <v>36531243</v>
      </c>
      <c r="I379" s="14" t="n">
        <f aca="false">D379*H379</f>
        <v>36531243</v>
      </c>
      <c r="J379" s="14" t="n">
        <f aca="false">E379*H379</f>
        <v>0</v>
      </c>
      <c r="K379" s="14" t="n">
        <f aca="false">F379*H379</f>
        <v>0</v>
      </c>
      <c r="L379" s="14" t="n">
        <f aca="false">G379*H379</f>
        <v>0</v>
      </c>
      <c r="M379" s="27"/>
    </row>
    <row r="380" customFormat="false" ht="26.85" hidden="false" customHeight="false" outlineLevel="0" collapsed="false">
      <c r="A380" s="29" t="s">
        <v>753</v>
      </c>
      <c r="B380" s="27" t="s">
        <v>754</v>
      </c>
      <c r="C380" s="29" t="s">
        <v>224</v>
      </c>
      <c r="D380" s="34" t="n">
        <f aca="false">'PL.Khoi luong'!D375</f>
        <v>146</v>
      </c>
      <c r="E380" s="34" t="n">
        <f aca="false">'PL.Khoi luong'!E375</f>
        <v>0</v>
      </c>
      <c r="F380" s="34" t="n">
        <f aca="false">'PL.Khoi luong'!F375</f>
        <v>0</v>
      </c>
      <c r="G380" s="32" t="n">
        <f aca="false">E380+F380</f>
        <v>0</v>
      </c>
      <c r="H380" s="35" t="n">
        <v>2577748</v>
      </c>
      <c r="I380" s="14" t="n">
        <f aca="false">D380*H380</f>
        <v>376351208</v>
      </c>
      <c r="J380" s="14" t="n">
        <f aca="false">E380*H380</f>
        <v>0</v>
      </c>
      <c r="K380" s="14" t="n">
        <f aca="false">F380*H380</f>
        <v>0</v>
      </c>
      <c r="L380" s="14" t="n">
        <f aca="false">G380*H380</f>
        <v>0</v>
      </c>
      <c r="M380" s="27"/>
    </row>
    <row r="381" customFormat="false" ht="26.85" hidden="false" customHeight="false" outlineLevel="0" collapsed="false">
      <c r="A381" s="29" t="s">
        <v>755</v>
      </c>
      <c r="B381" s="27" t="s">
        <v>756</v>
      </c>
      <c r="C381" s="29" t="s">
        <v>224</v>
      </c>
      <c r="D381" s="34" t="n">
        <f aca="false">'PL.Khoi luong'!D376</f>
        <v>12</v>
      </c>
      <c r="E381" s="34" t="n">
        <f aca="false">'PL.Khoi luong'!E376</f>
        <v>0</v>
      </c>
      <c r="F381" s="34" t="n">
        <f aca="false">'PL.Khoi luong'!F376</f>
        <v>0</v>
      </c>
      <c r="G381" s="32" t="n">
        <f aca="false">E381+F381</f>
        <v>0</v>
      </c>
      <c r="H381" s="35" t="n">
        <v>110860</v>
      </c>
      <c r="I381" s="14" t="n">
        <f aca="false">D381*H381</f>
        <v>1330320</v>
      </c>
      <c r="J381" s="14" t="n">
        <f aca="false">E381*H381</f>
        <v>0</v>
      </c>
      <c r="K381" s="14" t="n">
        <f aca="false">F381*H381</f>
        <v>0</v>
      </c>
      <c r="L381" s="14" t="n">
        <f aca="false">G381*H381</f>
        <v>0</v>
      </c>
      <c r="M381" s="27"/>
    </row>
    <row r="382" customFormat="false" ht="15" hidden="false" customHeight="false" outlineLevel="0" collapsed="false">
      <c r="A382" s="29" t="s">
        <v>757</v>
      </c>
      <c r="B382" s="27" t="s">
        <v>758</v>
      </c>
      <c r="C382" s="29" t="s">
        <v>759</v>
      </c>
      <c r="D382" s="34" t="n">
        <f aca="false">'PL.Khoi luong'!D377</f>
        <v>6</v>
      </c>
      <c r="E382" s="34" t="n">
        <f aca="false">'PL.Khoi luong'!E377</f>
        <v>0</v>
      </c>
      <c r="F382" s="34" t="n">
        <f aca="false">'PL.Khoi luong'!F377</f>
        <v>0</v>
      </c>
      <c r="G382" s="32" t="n">
        <f aca="false">E382+F382</f>
        <v>0</v>
      </c>
      <c r="H382" s="35" t="n">
        <v>65507</v>
      </c>
      <c r="I382" s="14" t="n">
        <f aca="false">D382*H382</f>
        <v>393042</v>
      </c>
      <c r="J382" s="14" t="n">
        <f aca="false">E382*H382</f>
        <v>0</v>
      </c>
      <c r="K382" s="14" t="n">
        <f aca="false">F382*H382</f>
        <v>0</v>
      </c>
      <c r="L382" s="14" t="n">
        <f aca="false">G382*H382</f>
        <v>0</v>
      </c>
      <c r="M382" s="27"/>
    </row>
    <row r="383" customFormat="false" ht="15" hidden="false" customHeight="false" outlineLevel="0" collapsed="false">
      <c r="A383" s="29" t="s">
        <v>760</v>
      </c>
      <c r="B383" s="27" t="s">
        <v>761</v>
      </c>
      <c r="C383" s="29" t="s">
        <v>731</v>
      </c>
      <c r="D383" s="34" t="n">
        <f aca="false">'PL.Khoi luong'!D378</f>
        <v>1</v>
      </c>
      <c r="E383" s="34" t="n">
        <f aca="false">'PL.Khoi luong'!E378</f>
        <v>0</v>
      </c>
      <c r="F383" s="34" t="n">
        <f aca="false">'PL.Khoi luong'!F378</f>
        <v>0</v>
      </c>
      <c r="G383" s="32" t="n">
        <f aca="false">E383+F383</f>
        <v>0</v>
      </c>
      <c r="H383" s="35" t="n">
        <v>6181713</v>
      </c>
      <c r="I383" s="14" t="n">
        <f aca="false">D383*H383</f>
        <v>6181713</v>
      </c>
      <c r="J383" s="14" t="n">
        <f aca="false">E383*H383</f>
        <v>0</v>
      </c>
      <c r="K383" s="14" t="n">
        <f aca="false">F383*H383</f>
        <v>0</v>
      </c>
      <c r="L383" s="14" t="n">
        <f aca="false">G383*H383</f>
        <v>0</v>
      </c>
      <c r="M383" s="27"/>
    </row>
    <row r="384" customFormat="false" ht="15" hidden="false" customHeight="false" outlineLevel="0" collapsed="false">
      <c r="A384" s="29" t="s">
        <v>762</v>
      </c>
      <c r="B384" s="27" t="s">
        <v>763</v>
      </c>
      <c r="C384" s="29" t="s">
        <v>240</v>
      </c>
      <c r="D384" s="34" t="n">
        <f aca="false">'PL.Khoi luong'!D379</f>
        <v>8</v>
      </c>
      <c r="E384" s="34" t="n">
        <f aca="false">'PL.Khoi luong'!E379</f>
        <v>0</v>
      </c>
      <c r="F384" s="34" t="n">
        <f aca="false">'PL.Khoi luong'!F379</f>
        <v>0</v>
      </c>
      <c r="G384" s="32" t="n">
        <f aca="false">E384+F384</f>
        <v>0</v>
      </c>
      <c r="H384" s="35" t="n">
        <v>145962</v>
      </c>
      <c r="I384" s="14" t="n">
        <f aca="false">D384*H384</f>
        <v>1167696</v>
      </c>
      <c r="J384" s="14" t="n">
        <f aca="false">E384*H384</f>
        <v>0</v>
      </c>
      <c r="K384" s="14" t="n">
        <f aca="false">F384*H384</f>
        <v>0</v>
      </c>
      <c r="L384" s="14" t="n">
        <f aca="false">G384*H384</f>
        <v>0</v>
      </c>
      <c r="M384" s="27"/>
    </row>
    <row r="385" customFormat="false" ht="15" hidden="false" customHeight="false" outlineLevel="0" collapsed="false">
      <c r="A385" s="29" t="s">
        <v>764</v>
      </c>
      <c r="B385" s="27" t="s">
        <v>765</v>
      </c>
      <c r="C385" s="29" t="s">
        <v>240</v>
      </c>
      <c r="D385" s="34" t="n">
        <f aca="false">'PL.Khoi luong'!D380</f>
        <v>2</v>
      </c>
      <c r="E385" s="34" t="n">
        <f aca="false">'PL.Khoi luong'!E380</f>
        <v>0</v>
      </c>
      <c r="F385" s="34" t="n">
        <f aca="false">'PL.Khoi luong'!F380</f>
        <v>0</v>
      </c>
      <c r="G385" s="32" t="n">
        <f aca="false">E385+F385</f>
        <v>0</v>
      </c>
      <c r="H385" s="35" t="n">
        <v>290245</v>
      </c>
      <c r="I385" s="14" t="n">
        <f aca="false">D385*H385</f>
        <v>580490</v>
      </c>
      <c r="J385" s="14" t="n">
        <f aca="false">E385*H385</f>
        <v>0</v>
      </c>
      <c r="K385" s="14" t="n">
        <f aca="false">F385*H385</f>
        <v>0</v>
      </c>
      <c r="L385" s="14" t="n">
        <f aca="false">G385*H385</f>
        <v>0</v>
      </c>
      <c r="M385" s="27"/>
    </row>
    <row r="386" customFormat="false" ht="15" hidden="false" customHeight="false" outlineLevel="0" collapsed="false">
      <c r="A386" s="29" t="s">
        <v>766</v>
      </c>
      <c r="B386" s="27" t="s">
        <v>767</v>
      </c>
      <c r="C386" s="29" t="s">
        <v>224</v>
      </c>
      <c r="D386" s="34" t="n">
        <f aca="false">'PL.Khoi luong'!D381</f>
        <v>27</v>
      </c>
      <c r="E386" s="34" t="n">
        <f aca="false">'PL.Khoi luong'!E381</f>
        <v>0</v>
      </c>
      <c r="F386" s="34" t="n">
        <f aca="false">'PL.Khoi luong'!F381</f>
        <v>0</v>
      </c>
      <c r="G386" s="32" t="n">
        <f aca="false">E386+F386</f>
        <v>0</v>
      </c>
      <c r="H386" s="35" t="n">
        <v>443772</v>
      </c>
      <c r="I386" s="14" t="n">
        <f aca="false">D386*H386</f>
        <v>11981844</v>
      </c>
      <c r="J386" s="14" t="n">
        <f aca="false">E386*H386</f>
        <v>0</v>
      </c>
      <c r="K386" s="14" t="n">
        <f aca="false">F386*H386</f>
        <v>0</v>
      </c>
      <c r="L386" s="14" t="n">
        <f aca="false">G386*H386</f>
        <v>0</v>
      </c>
      <c r="M386" s="27"/>
    </row>
    <row r="387" customFormat="false" ht="26.85" hidden="false" customHeight="false" outlineLevel="0" collapsed="false">
      <c r="A387" s="29" t="s">
        <v>768</v>
      </c>
      <c r="B387" s="27" t="s">
        <v>769</v>
      </c>
      <c r="C387" s="29" t="s">
        <v>224</v>
      </c>
      <c r="D387" s="34" t="n">
        <f aca="false">'PL.Khoi luong'!D382</f>
        <v>11</v>
      </c>
      <c r="E387" s="34" t="n">
        <f aca="false">'PL.Khoi luong'!E382</f>
        <v>0</v>
      </c>
      <c r="F387" s="34" t="n">
        <f aca="false">'PL.Khoi luong'!F382</f>
        <v>0</v>
      </c>
      <c r="G387" s="32" t="n">
        <f aca="false">E387+F387</f>
        <v>0</v>
      </c>
      <c r="H387" s="35" t="n">
        <v>448517</v>
      </c>
      <c r="I387" s="14" t="n">
        <f aca="false">D387*H387</f>
        <v>4933687</v>
      </c>
      <c r="J387" s="14" t="n">
        <f aca="false">E387*H387</f>
        <v>0</v>
      </c>
      <c r="K387" s="14" t="n">
        <f aca="false">F387*H387</f>
        <v>0</v>
      </c>
      <c r="L387" s="14" t="n">
        <f aca="false">G387*H387</f>
        <v>0</v>
      </c>
      <c r="M387" s="27"/>
    </row>
    <row r="388" customFormat="false" ht="15" hidden="false" customHeight="false" outlineLevel="0" collapsed="false">
      <c r="A388" s="29" t="s">
        <v>770</v>
      </c>
      <c r="B388" s="27" t="s">
        <v>771</v>
      </c>
      <c r="C388" s="29" t="s">
        <v>224</v>
      </c>
      <c r="D388" s="34" t="n">
        <f aca="false">'PL.Khoi luong'!D383</f>
        <v>124</v>
      </c>
      <c r="E388" s="34" t="n">
        <f aca="false">'PL.Khoi luong'!E383</f>
        <v>0</v>
      </c>
      <c r="F388" s="34" t="n">
        <f aca="false">'PL.Khoi luong'!F383</f>
        <v>0</v>
      </c>
      <c r="G388" s="32" t="n">
        <f aca="false">E388+F388</f>
        <v>0</v>
      </c>
      <c r="H388" s="35" t="n">
        <v>162128</v>
      </c>
      <c r="I388" s="14" t="n">
        <f aca="false">D388*H388</f>
        <v>20103872</v>
      </c>
      <c r="J388" s="14" t="n">
        <f aca="false">E388*H388</f>
        <v>0</v>
      </c>
      <c r="K388" s="14" t="n">
        <f aca="false">F388*H388</f>
        <v>0</v>
      </c>
      <c r="L388" s="14" t="n">
        <f aca="false">G388*H388</f>
        <v>0</v>
      </c>
      <c r="M388" s="27"/>
    </row>
    <row r="389" customFormat="false" ht="15" hidden="false" customHeight="false" outlineLevel="0" collapsed="false">
      <c r="A389" s="29" t="s">
        <v>772</v>
      </c>
      <c r="B389" s="27" t="s">
        <v>773</v>
      </c>
      <c r="C389" s="29" t="s">
        <v>224</v>
      </c>
      <c r="D389" s="34" t="n">
        <f aca="false">'PL.Khoi luong'!D384</f>
        <v>15</v>
      </c>
      <c r="E389" s="34" t="n">
        <f aca="false">'PL.Khoi luong'!E384</f>
        <v>0</v>
      </c>
      <c r="F389" s="34" t="n">
        <f aca="false">'PL.Khoi luong'!F384</f>
        <v>0</v>
      </c>
      <c r="G389" s="32" t="n">
        <f aca="false">E389+F389</f>
        <v>0</v>
      </c>
      <c r="H389" s="35" t="n">
        <v>1183187</v>
      </c>
      <c r="I389" s="14" t="n">
        <f aca="false">D389*H389</f>
        <v>17747805</v>
      </c>
      <c r="J389" s="14" t="n">
        <f aca="false">E389*H389</f>
        <v>0</v>
      </c>
      <c r="K389" s="14" t="n">
        <f aca="false">F389*H389</f>
        <v>0</v>
      </c>
      <c r="L389" s="14" t="n">
        <f aca="false">G389*H389</f>
        <v>0</v>
      </c>
      <c r="M389" s="27"/>
    </row>
    <row r="390" customFormat="false" ht="15" hidden="false" customHeight="false" outlineLevel="0" collapsed="false">
      <c r="A390" s="29" t="s">
        <v>774</v>
      </c>
      <c r="B390" s="27" t="s">
        <v>775</v>
      </c>
      <c r="C390" s="29" t="s">
        <v>731</v>
      </c>
      <c r="D390" s="34" t="n">
        <f aca="false">'PL.Khoi luong'!D385</f>
        <v>1</v>
      </c>
      <c r="E390" s="34" t="n">
        <f aca="false">'PL.Khoi luong'!E385</f>
        <v>0</v>
      </c>
      <c r="F390" s="34" t="n">
        <f aca="false">'PL.Khoi luong'!F385</f>
        <v>0</v>
      </c>
      <c r="G390" s="32" t="n">
        <f aca="false">E390+F390</f>
        <v>0</v>
      </c>
      <c r="H390" s="35" t="n">
        <v>954231</v>
      </c>
      <c r="I390" s="14" t="n">
        <f aca="false">D390*H390</f>
        <v>954231</v>
      </c>
      <c r="J390" s="14" t="n">
        <f aca="false">E390*H390</f>
        <v>0</v>
      </c>
      <c r="K390" s="14" t="n">
        <f aca="false">F390*H390</f>
        <v>0</v>
      </c>
      <c r="L390" s="14" t="n">
        <f aca="false">G390*H390</f>
        <v>0</v>
      </c>
      <c r="M390" s="27"/>
    </row>
    <row r="391" customFormat="false" ht="15" hidden="false" customHeight="false" outlineLevel="0" collapsed="false">
      <c r="A391" s="29" t="s">
        <v>776</v>
      </c>
      <c r="B391" s="27" t="s">
        <v>777</v>
      </c>
      <c r="C391" s="29" t="s">
        <v>778</v>
      </c>
      <c r="D391" s="34" t="n">
        <f aca="false">'PL.Khoi luong'!D386</f>
        <v>1</v>
      </c>
      <c r="E391" s="34" t="n">
        <f aca="false">'PL.Khoi luong'!E386</f>
        <v>0</v>
      </c>
      <c r="F391" s="34" t="n">
        <f aca="false">'PL.Khoi luong'!F386</f>
        <v>0</v>
      </c>
      <c r="G391" s="32" t="n">
        <f aca="false">E391+F391</f>
        <v>0</v>
      </c>
      <c r="H391" s="35" t="n">
        <v>17161680</v>
      </c>
      <c r="I391" s="14" t="n">
        <f aca="false">D391*H391</f>
        <v>17161680</v>
      </c>
      <c r="J391" s="14" t="n">
        <f aca="false">E391*H391</f>
        <v>0</v>
      </c>
      <c r="K391" s="14" t="n">
        <f aca="false">F391*H391</f>
        <v>0</v>
      </c>
      <c r="L391" s="14" t="n">
        <f aca="false">G391*H391</f>
        <v>0</v>
      </c>
      <c r="M391" s="27"/>
    </row>
    <row r="392" customFormat="false" ht="15" hidden="false" customHeight="false" outlineLevel="0" collapsed="false">
      <c r="A392" s="29" t="s">
        <v>779</v>
      </c>
      <c r="B392" s="27" t="s">
        <v>780</v>
      </c>
      <c r="C392" s="29" t="s">
        <v>778</v>
      </c>
      <c r="D392" s="34" t="n">
        <f aca="false">'PL.Khoi luong'!D387</f>
        <v>1</v>
      </c>
      <c r="E392" s="34" t="n">
        <f aca="false">'PL.Khoi luong'!E387</f>
        <v>0</v>
      </c>
      <c r="F392" s="34" t="n">
        <f aca="false">'PL.Khoi luong'!F387</f>
        <v>0</v>
      </c>
      <c r="G392" s="32" t="n">
        <f aca="false">E392+F392</f>
        <v>0</v>
      </c>
      <c r="H392" s="35" t="n">
        <v>24293764</v>
      </c>
      <c r="I392" s="14" t="n">
        <f aca="false">D392*H392</f>
        <v>24293764</v>
      </c>
      <c r="J392" s="14" t="n">
        <f aca="false">E392*H392</f>
        <v>0</v>
      </c>
      <c r="K392" s="14" t="n">
        <f aca="false">F392*H392</f>
        <v>0</v>
      </c>
      <c r="L392" s="14" t="n">
        <f aca="false">G392*H392</f>
        <v>0</v>
      </c>
      <c r="M392" s="27"/>
    </row>
    <row r="393" customFormat="false" ht="15" hidden="false" customHeight="false" outlineLevel="0" collapsed="false">
      <c r="A393" s="29" t="s">
        <v>781</v>
      </c>
      <c r="B393" s="27" t="s">
        <v>782</v>
      </c>
      <c r="C393" s="29" t="s">
        <v>224</v>
      </c>
      <c r="D393" s="34" t="n">
        <f aca="false">'PL.Khoi luong'!D388</f>
        <v>36</v>
      </c>
      <c r="E393" s="34" t="n">
        <f aca="false">'PL.Khoi luong'!E388</f>
        <v>0</v>
      </c>
      <c r="F393" s="34" t="n">
        <f aca="false">'PL.Khoi luong'!F388</f>
        <v>0</v>
      </c>
      <c r="G393" s="32" t="n">
        <f aca="false">E393+F393</f>
        <v>0</v>
      </c>
      <c r="H393" s="35" t="n">
        <v>362876</v>
      </c>
      <c r="I393" s="14" t="n">
        <f aca="false">D393*H393</f>
        <v>13063536</v>
      </c>
      <c r="J393" s="14" t="n">
        <f aca="false">E393*H393</f>
        <v>0</v>
      </c>
      <c r="K393" s="14" t="n">
        <f aca="false">F393*H393</f>
        <v>0</v>
      </c>
      <c r="L393" s="14" t="n">
        <f aca="false">G393*H393</f>
        <v>0</v>
      </c>
      <c r="M393" s="27"/>
    </row>
    <row r="394" customFormat="false" ht="15" hidden="false" customHeight="false" outlineLevel="0" collapsed="false">
      <c r="A394" s="29" t="s">
        <v>783</v>
      </c>
      <c r="B394" s="27" t="s">
        <v>784</v>
      </c>
      <c r="C394" s="29" t="s">
        <v>759</v>
      </c>
      <c r="D394" s="34" t="n">
        <f aca="false">'PL.Khoi luong'!D389</f>
        <v>8</v>
      </c>
      <c r="E394" s="34" t="n">
        <f aca="false">'PL.Khoi luong'!E389</f>
        <v>0</v>
      </c>
      <c r="F394" s="34" t="n">
        <f aca="false">'PL.Khoi luong'!F389</f>
        <v>0</v>
      </c>
      <c r="G394" s="32" t="n">
        <f aca="false">E394+F394</f>
        <v>0</v>
      </c>
      <c r="H394" s="35" t="n">
        <v>96479</v>
      </c>
      <c r="I394" s="14" t="n">
        <f aca="false">D394*H394</f>
        <v>771832</v>
      </c>
      <c r="J394" s="14" t="n">
        <f aca="false">E394*H394</f>
        <v>0</v>
      </c>
      <c r="K394" s="14" t="n">
        <f aca="false">F394*H394</f>
        <v>0</v>
      </c>
      <c r="L394" s="14" t="n">
        <f aca="false">G394*H394</f>
        <v>0</v>
      </c>
      <c r="M394" s="27"/>
    </row>
    <row r="395" customFormat="false" ht="15" hidden="false" customHeight="false" outlineLevel="0" collapsed="false">
      <c r="A395" s="29" t="s">
        <v>785</v>
      </c>
      <c r="B395" s="27" t="s">
        <v>786</v>
      </c>
      <c r="C395" s="29" t="s">
        <v>759</v>
      </c>
      <c r="D395" s="34" t="n">
        <f aca="false">'PL.Khoi luong'!D390</f>
        <v>9</v>
      </c>
      <c r="E395" s="34" t="n">
        <f aca="false">'PL.Khoi luong'!E390</f>
        <v>0</v>
      </c>
      <c r="F395" s="34" t="n">
        <f aca="false">'PL.Khoi luong'!F390</f>
        <v>0</v>
      </c>
      <c r="G395" s="32" t="n">
        <f aca="false">E395+F395</f>
        <v>0</v>
      </c>
      <c r="H395" s="35" t="n">
        <v>139908</v>
      </c>
      <c r="I395" s="14" t="n">
        <f aca="false">D395*H395</f>
        <v>1259172</v>
      </c>
      <c r="J395" s="14" t="n">
        <f aca="false">E395*H395</f>
        <v>0</v>
      </c>
      <c r="K395" s="14" t="n">
        <f aca="false">F395*H395</f>
        <v>0</v>
      </c>
      <c r="L395" s="14" t="n">
        <f aca="false">G395*H395</f>
        <v>0</v>
      </c>
      <c r="M395" s="27"/>
    </row>
    <row r="396" customFormat="false" ht="15" hidden="false" customHeight="false" outlineLevel="0" collapsed="false">
      <c r="A396" s="29" t="s">
        <v>787</v>
      </c>
      <c r="B396" s="27" t="s">
        <v>788</v>
      </c>
      <c r="C396" s="29" t="s">
        <v>240</v>
      </c>
      <c r="D396" s="34" t="n">
        <f aca="false">'PL.Khoi luong'!D391</f>
        <v>12</v>
      </c>
      <c r="E396" s="34" t="n">
        <f aca="false">'PL.Khoi luong'!E391</f>
        <v>0</v>
      </c>
      <c r="F396" s="34" t="n">
        <f aca="false">'PL.Khoi luong'!F391</f>
        <v>0</v>
      </c>
      <c r="G396" s="32" t="n">
        <f aca="false">E396+F396</f>
        <v>0</v>
      </c>
      <c r="H396" s="35" t="n">
        <v>72687</v>
      </c>
      <c r="I396" s="14" t="n">
        <f aca="false">D396*H396</f>
        <v>872244</v>
      </c>
      <c r="J396" s="14" t="n">
        <f aca="false">E396*H396</f>
        <v>0</v>
      </c>
      <c r="K396" s="14" t="n">
        <f aca="false">F396*H396</f>
        <v>0</v>
      </c>
      <c r="L396" s="14" t="n">
        <f aca="false">G396*H396</f>
        <v>0</v>
      </c>
      <c r="M396" s="27"/>
    </row>
    <row r="397" customFormat="false" ht="15" hidden="false" customHeight="false" outlineLevel="0" collapsed="false">
      <c r="A397" s="29" t="s">
        <v>789</v>
      </c>
      <c r="B397" s="27" t="s">
        <v>790</v>
      </c>
      <c r="C397" s="29" t="s">
        <v>193</v>
      </c>
      <c r="D397" s="34" t="n">
        <f aca="false">'PL.Khoi luong'!D392</f>
        <v>2</v>
      </c>
      <c r="E397" s="34" t="n">
        <f aca="false">'PL.Khoi luong'!E392</f>
        <v>0</v>
      </c>
      <c r="F397" s="34" t="n">
        <f aca="false">'PL.Khoi luong'!F392</f>
        <v>0</v>
      </c>
      <c r="G397" s="32" t="n">
        <f aca="false">E397+F397</f>
        <v>0</v>
      </c>
      <c r="H397" s="35" t="n">
        <v>11126634</v>
      </c>
      <c r="I397" s="14" t="n">
        <f aca="false">D397*H397</f>
        <v>22253268</v>
      </c>
      <c r="J397" s="14" t="n">
        <f aca="false">E397*H397</f>
        <v>0</v>
      </c>
      <c r="K397" s="14" t="n">
        <f aca="false">F397*H397</f>
        <v>0</v>
      </c>
      <c r="L397" s="14" t="n">
        <f aca="false">G397*H397</f>
        <v>0</v>
      </c>
      <c r="M397" s="27"/>
    </row>
    <row r="398" customFormat="false" ht="15" hidden="false" customHeight="false" outlineLevel="0" collapsed="false">
      <c r="A398" s="29" t="s">
        <v>791</v>
      </c>
      <c r="B398" s="27" t="s">
        <v>792</v>
      </c>
      <c r="C398" s="29" t="s">
        <v>574</v>
      </c>
      <c r="D398" s="34" t="n">
        <f aca="false">'PL.Khoi luong'!D393</f>
        <v>1</v>
      </c>
      <c r="E398" s="34" t="n">
        <f aca="false">'PL.Khoi luong'!E393</f>
        <v>0</v>
      </c>
      <c r="F398" s="34" t="n">
        <f aca="false">'PL.Khoi luong'!F393</f>
        <v>0</v>
      </c>
      <c r="G398" s="32" t="n">
        <f aca="false">E398+F398</f>
        <v>0</v>
      </c>
      <c r="H398" s="35" t="n">
        <v>2884369</v>
      </c>
      <c r="I398" s="14" t="n">
        <f aca="false">D398*H398</f>
        <v>2884369</v>
      </c>
      <c r="J398" s="14" t="n">
        <f aca="false">E398*H398</f>
        <v>0</v>
      </c>
      <c r="K398" s="14" t="n">
        <f aca="false">F398*H398</f>
        <v>0</v>
      </c>
      <c r="L398" s="14" t="n">
        <f aca="false">G398*H398</f>
        <v>0</v>
      </c>
      <c r="M398" s="27"/>
    </row>
    <row r="399" customFormat="false" ht="15" hidden="false" customHeight="false" outlineLevel="0" collapsed="false">
      <c r="A399" s="12" t="s">
        <v>793</v>
      </c>
      <c r="B399" s="13" t="s">
        <v>794</v>
      </c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</row>
    <row r="400" customFormat="false" ht="15" hidden="false" customHeight="false" outlineLevel="0" collapsed="false">
      <c r="A400" s="29" t="s">
        <v>795</v>
      </c>
      <c r="B400" s="27" t="s">
        <v>796</v>
      </c>
      <c r="C400" s="29" t="s">
        <v>797</v>
      </c>
      <c r="D400" s="34" t="n">
        <f aca="false">'PL.Khoi luong'!D395</f>
        <v>1</v>
      </c>
      <c r="E400" s="34" t="n">
        <f aca="false">'PL.Khoi luong'!E395</f>
        <v>0</v>
      </c>
      <c r="F400" s="34" t="n">
        <f aca="false">'PL.Khoi luong'!F395</f>
        <v>0</v>
      </c>
      <c r="G400" s="32" t="n">
        <f aca="false">E400+F400</f>
        <v>0</v>
      </c>
      <c r="H400" s="35" t="n">
        <v>16012691</v>
      </c>
      <c r="I400" s="14" t="n">
        <f aca="false">D400*H400</f>
        <v>16012691</v>
      </c>
      <c r="J400" s="14" t="n">
        <f aca="false">E400*H400</f>
        <v>0</v>
      </c>
      <c r="K400" s="14" t="n">
        <f aca="false">F400*H400</f>
        <v>0</v>
      </c>
      <c r="L400" s="14" t="n">
        <f aca="false">G400*H400</f>
        <v>0</v>
      </c>
      <c r="M400" s="27"/>
    </row>
    <row r="401" customFormat="false" ht="15" hidden="false" customHeight="false" outlineLevel="0" collapsed="false">
      <c r="A401" s="29" t="s">
        <v>798</v>
      </c>
      <c r="B401" s="27" t="s">
        <v>799</v>
      </c>
      <c r="C401" s="29" t="s">
        <v>193</v>
      </c>
      <c r="D401" s="34" t="n">
        <f aca="false">'PL.Khoi luong'!D396</f>
        <v>1</v>
      </c>
      <c r="E401" s="34" t="n">
        <f aca="false">'PL.Khoi luong'!E396</f>
        <v>0</v>
      </c>
      <c r="F401" s="34" t="n">
        <f aca="false">'PL.Khoi luong'!F396</f>
        <v>0</v>
      </c>
      <c r="G401" s="32" t="n">
        <f aca="false">E401+F401</f>
        <v>0</v>
      </c>
      <c r="H401" s="35" t="n">
        <v>14708153</v>
      </c>
      <c r="I401" s="14" t="n">
        <f aca="false">D401*H401</f>
        <v>14708153</v>
      </c>
      <c r="J401" s="14" t="n">
        <f aca="false">E401*H401</f>
        <v>0</v>
      </c>
      <c r="K401" s="14" t="n">
        <f aca="false">F401*H401</f>
        <v>0</v>
      </c>
      <c r="L401" s="14" t="n">
        <f aca="false">G401*H401</f>
        <v>0</v>
      </c>
      <c r="M401" s="27"/>
    </row>
    <row r="402" customFormat="false" ht="26.85" hidden="false" customHeight="false" outlineLevel="0" collapsed="false">
      <c r="A402" s="29" t="s">
        <v>800</v>
      </c>
      <c r="B402" s="27" t="s">
        <v>801</v>
      </c>
      <c r="C402" s="29" t="s">
        <v>224</v>
      </c>
      <c r="D402" s="34" t="n">
        <f aca="false">'PL.Khoi luong'!D397</f>
        <v>30</v>
      </c>
      <c r="E402" s="34" t="n">
        <f aca="false">'PL.Khoi luong'!E397</f>
        <v>0</v>
      </c>
      <c r="F402" s="34" t="n">
        <f aca="false">'PL.Khoi luong'!F397</f>
        <v>0</v>
      </c>
      <c r="G402" s="32" t="n">
        <f aca="false">E402+F402</f>
        <v>0</v>
      </c>
      <c r="H402" s="35" t="n">
        <v>917226</v>
      </c>
      <c r="I402" s="14" t="n">
        <f aca="false">D402*H402</f>
        <v>27516780</v>
      </c>
      <c r="J402" s="14" t="n">
        <f aca="false">E402*H402</f>
        <v>0</v>
      </c>
      <c r="K402" s="14" t="n">
        <f aca="false">F402*H402</f>
        <v>0</v>
      </c>
      <c r="L402" s="14" t="n">
        <f aca="false">G402*H402</f>
        <v>0</v>
      </c>
      <c r="M402" s="27"/>
    </row>
    <row r="403" customFormat="false" ht="15" hidden="false" customHeight="false" outlineLevel="0" collapsed="false">
      <c r="A403" s="29" t="s">
        <v>802</v>
      </c>
      <c r="B403" s="27" t="s">
        <v>803</v>
      </c>
      <c r="C403" s="29" t="s">
        <v>240</v>
      </c>
      <c r="D403" s="34" t="n">
        <f aca="false">'PL.Khoi luong'!D398</f>
        <v>2</v>
      </c>
      <c r="E403" s="34" t="n">
        <f aca="false">'PL.Khoi luong'!E398</f>
        <v>0</v>
      </c>
      <c r="F403" s="34" t="n">
        <f aca="false">'PL.Khoi luong'!F398</f>
        <v>0</v>
      </c>
      <c r="G403" s="32" t="n">
        <f aca="false">E403+F403</f>
        <v>0</v>
      </c>
      <c r="H403" s="35" t="n">
        <v>24293764</v>
      </c>
      <c r="I403" s="14" t="n">
        <f aca="false">D403*H403</f>
        <v>48587528</v>
      </c>
      <c r="J403" s="14" t="n">
        <f aca="false">E403*H403</f>
        <v>0</v>
      </c>
      <c r="K403" s="14" t="n">
        <f aca="false">F403*H403</f>
        <v>0</v>
      </c>
      <c r="L403" s="14" t="n">
        <f aca="false">G403*H403</f>
        <v>0</v>
      </c>
      <c r="M403" s="27"/>
    </row>
    <row r="404" customFormat="false" ht="15" hidden="false" customHeight="false" outlineLevel="0" collapsed="false">
      <c r="A404" s="29" t="s">
        <v>804</v>
      </c>
      <c r="B404" s="27" t="s">
        <v>805</v>
      </c>
      <c r="C404" s="29" t="s">
        <v>224</v>
      </c>
      <c r="D404" s="34" t="n">
        <f aca="false">'PL.Khoi luong'!D399</f>
        <v>35</v>
      </c>
      <c r="E404" s="34" t="n">
        <f aca="false">'PL.Khoi luong'!E399</f>
        <v>0</v>
      </c>
      <c r="F404" s="34" t="n">
        <f aca="false">'PL.Khoi luong'!F399</f>
        <v>0</v>
      </c>
      <c r="G404" s="32" t="n">
        <f aca="false">E404+F404</f>
        <v>0</v>
      </c>
      <c r="H404" s="35" t="n">
        <v>649827</v>
      </c>
      <c r="I404" s="14" t="n">
        <f aca="false">D404*H404</f>
        <v>22743945</v>
      </c>
      <c r="J404" s="14" t="n">
        <f aca="false">E404*H404</f>
        <v>0</v>
      </c>
      <c r="K404" s="14" t="n">
        <f aca="false">F404*H404</f>
        <v>0</v>
      </c>
      <c r="L404" s="14" t="n">
        <f aca="false">G404*H404</f>
        <v>0</v>
      </c>
      <c r="M404" s="27"/>
    </row>
    <row r="405" customFormat="false" ht="15" hidden="false" customHeight="false" outlineLevel="0" collapsed="false">
      <c r="A405" s="29" t="s">
        <v>806</v>
      </c>
      <c r="B405" s="27" t="s">
        <v>807</v>
      </c>
      <c r="C405" s="29" t="s">
        <v>224</v>
      </c>
      <c r="D405" s="34" t="n">
        <f aca="false">'PL.Khoi luong'!D400</f>
        <v>12</v>
      </c>
      <c r="E405" s="34" t="n">
        <f aca="false">'PL.Khoi luong'!E400</f>
        <v>0</v>
      </c>
      <c r="F405" s="34" t="n">
        <f aca="false">'PL.Khoi luong'!F400</f>
        <v>0</v>
      </c>
      <c r="G405" s="32" t="n">
        <f aca="false">E405+F405</f>
        <v>0</v>
      </c>
      <c r="H405" s="35" t="n">
        <v>605260</v>
      </c>
      <c r="I405" s="14" t="n">
        <f aca="false">D405*H405</f>
        <v>7263120</v>
      </c>
      <c r="J405" s="14" t="n">
        <f aca="false">E405*H405</f>
        <v>0</v>
      </c>
      <c r="K405" s="14" t="n">
        <f aca="false">F405*H405</f>
        <v>0</v>
      </c>
      <c r="L405" s="14" t="n">
        <f aca="false">G405*H405</f>
        <v>0</v>
      </c>
      <c r="M405" s="27"/>
    </row>
    <row r="406" customFormat="false" ht="15" hidden="false" customHeight="false" outlineLevel="0" collapsed="false">
      <c r="A406" s="29" t="s">
        <v>808</v>
      </c>
      <c r="B406" s="27" t="s">
        <v>809</v>
      </c>
      <c r="C406" s="29" t="s">
        <v>240</v>
      </c>
      <c r="D406" s="34" t="n">
        <f aca="false">'PL.Khoi luong'!D401</f>
        <v>14</v>
      </c>
      <c r="E406" s="34" t="n">
        <f aca="false">'PL.Khoi luong'!E401</f>
        <v>0</v>
      </c>
      <c r="F406" s="34" t="n">
        <f aca="false">'PL.Khoi luong'!F401</f>
        <v>0</v>
      </c>
      <c r="G406" s="32" t="n">
        <f aca="false">E406+F406</f>
        <v>0</v>
      </c>
      <c r="H406" s="35" t="n">
        <v>281892</v>
      </c>
      <c r="I406" s="14" t="n">
        <f aca="false">D406*H406</f>
        <v>3946488</v>
      </c>
      <c r="J406" s="14" t="n">
        <f aca="false">E406*H406</f>
        <v>0</v>
      </c>
      <c r="K406" s="14" t="n">
        <f aca="false">F406*H406</f>
        <v>0</v>
      </c>
      <c r="L406" s="14" t="n">
        <f aca="false">G406*H406</f>
        <v>0</v>
      </c>
      <c r="M406" s="27"/>
    </row>
    <row r="407" customFormat="false" ht="15" hidden="false" customHeight="false" outlineLevel="0" collapsed="false">
      <c r="A407" s="29" t="s">
        <v>810</v>
      </c>
      <c r="B407" s="27" t="s">
        <v>811</v>
      </c>
      <c r="C407" s="29" t="s">
        <v>193</v>
      </c>
      <c r="D407" s="34" t="n">
        <f aca="false">'PL.Khoi luong'!D402</f>
        <v>2</v>
      </c>
      <c r="E407" s="34" t="n">
        <f aca="false">'PL.Khoi luong'!E402</f>
        <v>0</v>
      </c>
      <c r="F407" s="34" t="n">
        <f aca="false">'PL.Khoi luong'!F402</f>
        <v>0</v>
      </c>
      <c r="G407" s="32" t="n">
        <f aca="false">E407+F407</f>
        <v>0</v>
      </c>
      <c r="H407" s="35" t="n">
        <v>465400</v>
      </c>
      <c r="I407" s="14" t="n">
        <f aca="false">D407*H407</f>
        <v>930800</v>
      </c>
      <c r="J407" s="14" t="n">
        <f aca="false">E407*H407</f>
        <v>0</v>
      </c>
      <c r="K407" s="14" t="n">
        <f aca="false">F407*H407</f>
        <v>0</v>
      </c>
      <c r="L407" s="14" t="n">
        <f aca="false">G407*H407</f>
        <v>0</v>
      </c>
      <c r="M407" s="27"/>
    </row>
    <row r="408" customFormat="false" ht="15" hidden="false" customHeight="false" outlineLevel="0" collapsed="false">
      <c r="A408" s="29" t="s">
        <v>812</v>
      </c>
      <c r="B408" s="27" t="s">
        <v>813</v>
      </c>
      <c r="C408" s="29" t="s">
        <v>814</v>
      </c>
      <c r="D408" s="34" t="n">
        <f aca="false">'PL.Khoi luong'!D403</f>
        <v>1</v>
      </c>
      <c r="E408" s="34" t="n">
        <f aca="false">'PL.Khoi luong'!E403</f>
        <v>0</v>
      </c>
      <c r="F408" s="34" t="n">
        <f aca="false">'PL.Khoi luong'!F403</f>
        <v>0</v>
      </c>
      <c r="G408" s="32" t="n">
        <f aca="false">E408+F408</f>
        <v>0</v>
      </c>
      <c r="H408" s="35" t="n">
        <v>759002</v>
      </c>
      <c r="I408" s="14" t="n">
        <f aca="false">D408*H408</f>
        <v>759002</v>
      </c>
      <c r="J408" s="14" t="n">
        <f aca="false">E408*H408</f>
        <v>0</v>
      </c>
      <c r="K408" s="14" t="n">
        <f aca="false">F408*H408</f>
        <v>0</v>
      </c>
      <c r="L408" s="14" t="n">
        <f aca="false">G408*H408</f>
        <v>0</v>
      </c>
      <c r="M408" s="27"/>
    </row>
    <row r="409" customFormat="false" ht="15" hidden="false" customHeight="false" outlineLevel="0" collapsed="false">
      <c r="A409" s="29" t="s">
        <v>815</v>
      </c>
      <c r="B409" s="27" t="s">
        <v>792</v>
      </c>
      <c r="C409" s="29" t="s">
        <v>574</v>
      </c>
      <c r="D409" s="34" t="n">
        <f aca="false">'PL.Khoi luong'!D404</f>
        <v>1</v>
      </c>
      <c r="E409" s="34" t="n">
        <f aca="false">'PL.Khoi luong'!E404</f>
        <v>0</v>
      </c>
      <c r="F409" s="34" t="n">
        <f aca="false">'PL.Khoi luong'!F404</f>
        <v>0</v>
      </c>
      <c r="G409" s="32" t="n">
        <f aca="false">E409+F409</f>
        <v>0</v>
      </c>
      <c r="H409" s="35" t="n">
        <v>2884369</v>
      </c>
      <c r="I409" s="14" t="n">
        <f aca="false">D409*H409</f>
        <v>2884369</v>
      </c>
      <c r="J409" s="14" t="n">
        <f aca="false">E409*H409</f>
        <v>0</v>
      </c>
      <c r="K409" s="14" t="n">
        <f aca="false">F409*H409</f>
        <v>0</v>
      </c>
      <c r="L409" s="14" t="n">
        <f aca="false">G409*H409</f>
        <v>0</v>
      </c>
      <c r="M409" s="27"/>
    </row>
    <row r="410" customFormat="false" ht="26.85" hidden="false" customHeight="false" outlineLevel="0" collapsed="false">
      <c r="A410" s="12" t="s">
        <v>816</v>
      </c>
      <c r="B410" s="13" t="s">
        <v>817</v>
      </c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</row>
    <row r="411" customFormat="false" ht="15" hidden="false" customHeight="false" outlineLevel="0" collapsed="false">
      <c r="A411" s="29" t="s">
        <v>818</v>
      </c>
      <c r="B411" s="27" t="s">
        <v>819</v>
      </c>
      <c r="C411" s="29" t="s">
        <v>224</v>
      </c>
      <c r="D411" s="34" t="n">
        <f aca="false">'PL.Khoi luong'!D406</f>
        <v>50</v>
      </c>
      <c r="E411" s="34" t="n">
        <f aca="false">'PL.Khoi luong'!E406</f>
        <v>0</v>
      </c>
      <c r="F411" s="34" t="n">
        <f aca="false">'PL.Khoi luong'!F406</f>
        <v>0</v>
      </c>
      <c r="G411" s="32" t="n">
        <f aca="false">E411+F411</f>
        <v>0</v>
      </c>
      <c r="H411" s="35" t="n">
        <v>194866</v>
      </c>
      <c r="I411" s="14" t="n">
        <f aca="false">D411*H411</f>
        <v>9743300</v>
      </c>
      <c r="J411" s="14" t="n">
        <f aca="false">E411*H411</f>
        <v>0</v>
      </c>
      <c r="K411" s="14" t="n">
        <f aca="false">F411*H411</f>
        <v>0</v>
      </c>
      <c r="L411" s="14" t="n">
        <f aca="false">G411*H411</f>
        <v>0</v>
      </c>
      <c r="M411" s="27"/>
    </row>
    <row r="412" customFormat="false" ht="15" hidden="false" customHeight="false" outlineLevel="0" collapsed="false">
      <c r="A412" s="29" t="s">
        <v>820</v>
      </c>
      <c r="B412" s="27" t="s">
        <v>821</v>
      </c>
      <c r="C412" s="29" t="s">
        <v>224</v>
      </c>
      <c r="D412" s="34" t="n">
        <f aca="false">'PL.Khoi luong'!D407</f>
        <v>858</v>
      </c>
      <c r="E412" s="34" t="n">
        <f aca="false">'PL.Khoi luong'!E407</f>
        <v>0</v>
      </c>
      <c r="F412" s="34" t="n">
        <f aca="false">'PL.Khoi luong'!F407</f>
        <v>0</v>
      </c>
      <c r="G412" s="32" t="n">
        <f aca="false">E412+F412</f>
        <v>0</v>
      </c>
      <c r="H412" s="35" t="n">
        <v>79511</v>
      </c>
      <c r="I412" s="14" t="n">
        <f aca="false">D412*H412</f>
        <v>68220438</v>
      </c>
      <c r="J412" s="14" t="n">
        <f aca="false">E412*H412</f>
        <v>0</v>
      </c>
      <c r="K412" s="14" t="n">
        <f aca="false">F412*H412</f>
        <v>0</v>
      </c>
      <c r="L412" s="14" t="n">
        <f aca="false">G412*H412</f>
        <v>0</v>
      </c>
      <c r="M412" s="27"/>
    </row>
    <row r="413" customFormat="false" ht="15" hidden="false" customHeight="false" outlineLevel="0" collapsed="false">
      <c r="A413" s="29" t="s">
        <v>822</v>
      </c>
      <c r="B413" s="27" t="s">
        <v>823</v>
      </c>
      <c r="C413" s="29" t="s">
        <v>224</v>
      </c>
      <c r="D413" s="34" t="n">
        <f aca="false">'PL.Khoi luong'!D408</f>
        <v>2045</v>
      </c>
      <c r="E413" s="34" t="n">
        <f aca="false">'PL.Khoi luong'!E408</f>
        <v>0</v>
      </c>
      <c r="F413" s="34" t="n">
        <f aca="false">'PL.Khoi luong'!F408</f>
        <v>0</v>
      </c>
      <c r="G413" s="32" t="n">
        <f aca="false">E413+F413</f>
        <v>0</v>
      </c>
      <c r="H413" s="35" t="n">
        <v>27166</v>
      </c>
      <c r="I413" s="14" t="n">
        <f aca="false">D413*H413</f>
        <v>55554470</v>
      </c>
      <c r="J413" s="14" t="n">
        <f aca="false">E413*H413</f>
        <v>0</v>
      </c>
      <c r="K413" s="14" t="n">
        <f aca="false">F413*H413</f>
        <v>0</v>
      </c>
      <c r="L413" s="14" t="n">
        <f aca="false">G413*H413</f>
        <v>0</v>
      </c>
      <c r="M413" s="27"/>
    </row>
    <row r="414" customFormat="false" ht="15" hidden="false" customHeight="false" outlineLevel="0" collapsed="false">
      <c r="A414" s="29" t="s">
        <v>824</v>
      </c>
      <c r="B414" s="27" t="s">
        <v>825</v>
      </c>
      <c r="C414" s="29" t="s">
        <v>224</v>
      </c>
      <c r="D414" s="34" t="n">
        <f aca="false">'PL.Khoi luong'!D409</f>
        <v>158</v>
      </c>
      <c r="E414" s="34" t="n">
        <f aca="false">'PL.Khoi luong'!E409</f>
        <v>0</v>
      </c>
      <c r="F414" s="34" t="n">
        <f aca="false">'PL.Khoi luong'!F409</f>
        <v>0</v>
      </c>
      <c r="G414" s="32" t="n">
        <f aca="false">E414+F414</f>
        <v>0</v>
      </c>
      <c r="H414" s="35" t="n">
        <v>179653</v>
      </c>
      <c r="I414" s="14" t="n">
        <f aca="false">D414*H414</f>
        <v>28385174</v>
      </c>
      <c r="J414" s="14" t="n">
        <f aca="false">E414*H414</f>
        <v>0</v>
      </c>
      <c r="K414" s="14" t="n">
        <f aca="false">F414*H414</f>
        <v>0</v>
      </c>
      <c r="L414" s="14" t="n">
        <f aca="false">G414*H414</f>
        <v>0</v>
      </c>
      <c r="M414" s="27"/>
    </row>
    <row r="415" customFormat="false" ht="15" hidden="false" customHeight="false" outlineLevel="0" collapsed="false">
      <c r="A415" s="29" t="s">
        <v>826</v>
      </c>
      <c r="B415" s="27" t="s">
        <v>827</v>
      </c>
      <c r="C415" s="29" t="s">
        <v>224</v>
      </c>
      <c r="D415" s="34" t="n">
        <f aca="false">'PL.Khoi luong'!D410</f>
        <v>807</v>
      </c>
      <c r="E415" s="34" t="n">
        <f aca="false">'PL.Khoi luong'!E410</f>
        <v>0</v>
      </c>
      <c r="F415" s="34" t="n">
        <f aca="false">'PL.Khoi luong'!F410</f>
        <v>0</v>
      </c>
      <c r="G415" s="32" t="n">
        <f aca="false">E415+F415</f>
        <v>0</v>
      </c>
      <c r="H415" s="35" t="n">
        <v>1807450</v>
      </c>
      <c r="I415" s="14" t="n">
        <f aca="false">D415*H415</f>
        <v>1458612150</v>
      </c>
      <c r="J415" s="14" t="n">
        <f aca="false">E415*H415</f>
        <v>0</v>
      </c>
      <c r="K415" s="14" t="n">
        <f aca="false">F415*H415</f>
        <v>0</v>
      </c>
      <c r="L415" s="14" t="n">
        <f aca="false">G415*H415</f>
        <v>0</v>
      </c>
      <c r="M415" s="27"/>
    </row>
    <row r="416" customFormat="false" ht="26.85" hidden="false" customHeight="false" outlineLevel="0" collapsed="false">
      <c r="A416" s="29" t="s">
        <v>828</v>
      </c>
      <c r="B416" s="27" t="s">
        <v>829</v>
      </c>
      <c r="C416" s="29" t="s">
        <v>224</v>
      </c>
      <c r="D416" s="34" t="n">
        <f aca="false">'PL.Khoi luong'!D411</f>
        <v>97</v>
      </c>
      <c r="E416" s="34" t="n">
        <f aca="false">'PL.Khoi luong'!E411</f>
        <v>0</v>
      </c>
      <c r="F416" s="34" t="n">
        <f aca="false">'PL.Khoi luong'!F411</f>
        <v>0</v>
      </c>
      <c r="G416" s="32" t="n">
        <f aca="false">E416+F416</f>
        <v>0</v>
      </c>
      <c r="H416" s="35" t="n">
        <v>2300188</v>
      </c>
      <c r="I416" s="14" t="n">
        <f aca="false">D416*H416</f>
        <v>223118236</v>
      </c>
      <c r="J416" s="14" t="n">
        <f aca="false">E416*H416</f>
        <v>0</v>
      </c>
      <c r="K416" s="14" t="n">
        <f aca="false">F416*H416</f>
        <v>0</v>
      </c>
      <c r="L416" s="14" t="n">
        <f aca="false">G416*H416</f>
        <v>0</v>
      </c>
      <c r="M416" s="27"/>
    </row>
    <row r="417" customFormat="false" ht="15" hidden="false" customHeight="false" outlineLevel="0" collapsed="false">
      <c r="A417" s="29" t="s">
        <v>830</v>
      </c>
      <c r="B417" s="27" t="s">
        <v>831</v>
      </c>
      <c r="C417" s="29" t="s">
        <v>832</v>
      </c>
      <c r="D417" s="34" t="n">
        <f aca="false">'PL.Khoi luong'!D412</f>
        <v>8</v>
      </c>
      <c r="E417" s="34" t="n">
        <f aca="false">'PL.Khoi luong'!E412</f>
        <v>0</v>
      </c>
      <c r="F417" s="34" t="n">
        <f aca="false">'PL.Khoi luong'!F412</f>
        <v>0</v>
      </c>
      <c r="G417" s="32" t="n">
        <f aca="false">E417+F417</f>
        <v>0</v>
      </c>
      <c r="H417" s="35" t="n">
        <v>16568319</v>
      </c>
      <c r="I417" s="14" t="n">
        <f aca="false">D417*H417</f>
        <v>132546552</v>
      </c>
      <c r="J417" s="14" t="n">
        <f aca="false">E417*H417</f>
        <v>0</v>
      </c>
      <c r="K417" s="14" t="n">
        <f aca="false">F417*H417</f>
        <v>0</v>
      </c>
      <c r="L417" s="14" t="n">
        <f aca="false">G417*H417</f>
        <v>0</v>
      </c>
      <c r="M417" s="27"/>
    </row>
    <row r="418" customFormat="false" ht="15" hidden="false" customHeight="false" outlineLevel="0" collapsed="false">
      <c r="A418" s="29" t="s">
        <v>833</v>
      </c>
      <c r="B418" s="27" t="s">
        <v>834</v>
      </c>
      <c r="C418" s="29" t="s">
        <v>835</v>
      </c>
      <c r="D418" s="34" t="n">
        <f aca="false">'PL.Khoi luong'!D413</f>
        <v>8</v>
      </c>
      <c r="E418" s="34" t="n">
        <f aca="false">'PL.Khoi luong'!E413</f>
        <v>0</v>
      </c>
      <c r="F418" s="34" t="n">
        <f aca="false">'PL.Khoi luong'!F413</f>
        <v>0</v>
      </c>
      <c r="G418" s="32" t="n">
        <f aca="false">E418+F418</f>
        <v>0</v>
      </c>
      <c r="H418" s="35" t="n">
        <v>2828048</v>
      </c>
      <c r="I418" s="14" t="n">
        <f aca="false">D418*H418</f>
        <v>22624384</v>
      </c>
      <c r="J418" s="14" t="n">
        <f aca="false">E418*H418</f>
        <v>0</v>
      </c>
      <c r="K418" s="14" t="n">
        <f aca="false">F418*H418</f>
        <v>0</v>
      </c>
      <c r="L418" s="14" t="n">
        <f aca="false">G418*H418</f>
        <v>0</v>
      </c>
      <c r="M418" s="27"/>
    </row>
    <row r="419" customFormat="false" ht="15" hidden="false" customHeight="false" outlineLevel="0" collapsed="false">
      <c r="A419" s="29" t="s">
        <v>836</v>
      </c>
      <c r="B419" s="27" t="s">
        <v>837</v>
      </c>
      <c r="C419" s="29" t="s">
        <v>193</v>
      </c>
      <c r="D419" s="34" t="n">
        <f aca="false">'PL.Khoi luong'!D414</f>
        <v>8</v>
      </c>
      <c r="E419" s="34" t="n">
        <f aca="false">'PL.Khoi luong'!E414</f>
        <v>0</v>
      </c>
      <c r="F419" s="34" t="n">
        <f aca="false">'PL.Khoi luong'!F414</f>
        <v>0</v>
      </c>
      <c r="G419" s="32" t="n">
        <f aca="false">E419+F419</f>
        <v>0</v>
      </c>
      <c r="H419" s="35" t="n">
        <v>1712411</v>
      </c>
      <c r="I419" s="14" t="n">
        <f aca="false">D419*H419</f>
        <v>13699288</v>
      </c>
      <c r="J419" s="14" t="n">
        <f aca="false">E419*H419</f>
        <v>0</v>
      </c>
      <c r="K419" s="14" t="n">
        <f aca="false">F419*H419</f>
        <v>0</v>
      </c>
      <c r="L419" s="14" t="n">
        <f aca="false">G419*H419</f>
        <v>0</v>
      </c>
      <c r="M419" s="27"/>
    </row>
    <row r="420" customFormat="false" ht="15" hidden="false" customHeight="false" outlineLevel="0" collapsed="false">
      <c r="A420" s="29" t="s">
        <v>838</v>
      </c>
      <c r="B420" s="27" t="s">
        <v>788</v>
      </c>
      <c r="C420" s="29" t="s">
        <v>759</v>
      </c>
      <c r="D420" s="34" t="n">
        <f aca="false">'PL.Khoi luong'!D415</f>
        <v>5</v>
      </c>
      <c r="E420" s="34" t="n">
        <f aca="false">'PL.Khoi luong'!E415</f>
        <v>0</v>
      </c>
      <c r="F420" s="34" t="n">
        <f aca="false">'PL.Khoi luong'!F415</f>
        <v>0</v>
      </c>
      <c r="G420" s="32" t="n">
        <f aca="false">E420+F420</f>
        <v>0</v>
      </c>
      <c r="H420" s="35" t="n">
        <v>72687</v>
      </c>
      <c r="I420" s="14" t="n">
        <f aca="false">D420*H420</f>
        <v>363435</v>
      </c>
      <c r="J420" s="14" t="n">
        <f aca="false">E420*H420</f>
        <v>0</v>
      </c>
      <c r="K420" s="14" t="n">
        <f aca="false">F420*H420</f>
        <v>0</v>
      </c>
      <c r="L420" s="14" t="n">
        <f aca="false">G420*H420</f>
        <v>0</v>
      </c>
      <c r="M420" s="27"/>
    </row>
    <row r="421" customFormat="false" ht="15" hidden="false" customHeight="false" outlineLevel="0" collapsed="false">
      <c r="A421" s="29" t="s">
        <v>839</v>
      </c>
      <c r="B421" s="27" t="s">
        <v>840</v>
      </c>
      <c r="C421" s="29" t="s">
        <v>240</v>
      </c>
      <c r="D421" s="34" t="n">
        <f aca="false">'PL.Khoi luong'!D416</f>
        <v>32</v>
      </c>
      <c r="E421" s="34" t="n">
        <f aca="false">'PL.Khoi luong'!E416</f>
        <v>0</v>
      </c>
      <c r="F421" s="34" t="n">
        <f aca="false">'PL.Khoi luong'!F416</f>
        <v>0</v>
      </c>
      <c r="G421" s="32" t="n">
        <f aca="false">E421+F421</f>
        <v>0</v>
      </c>
      <c r="H421" s="35" t="n">
        <v>290245</v>
      </c>
      <c r="I421" s="14" t="n">
        <f aca="false">D421*H421</f>
        <v>9287840</v>
      </c>
      <c r="J421" s="14" t="n">
        <f aca="false">E421*H421</f>
        <v>0</v>
      </c>
      <c r="K421" s="14" t="n">
        <f aca="false">F421*H421</f>
        <v>0</v>
      </c>
      <c r="L421" s="14" t="n">
        <f aca="false">G421*H421</f>
        <v>0</v>
      </c>
      <c r="M421" s="27"/>
    </row>
    <row r="422" customFormat="false" ht="15" hidden="false" customHeight="false" outlineLevel="0" collapsed="false">
      <c r="A422" s="29" t="s">
        <v>841</v>
      </c>
      <c r="B422" s="27" t="s">
        <v>842</v>
      </c>
      <c r="C422" s="29" t="s">
        <v>778</v>
      </c>
      <c r="D422" s="34" t="n">
        <f aca="false">'PL.Khoi luong'!D417</f>
        <v>20</v>
      </c>
      <c r="E422" s="34" t="n">
        <f aca="false">'PL.Khoi luong'!E417</f>
        <v>0</v>
      </c>
      <c r="F422" s="34" t="n">
        <f aca="false">'PL.Khoi luong'!F417</f>
        <v>0</v>
      </c>
      <c r="G422" s="32" t="n">
        <f aca="false">E422+F422</f>
        <v>0</v>
      </c>
      <c r="H422" s="35" t="n">
        <v>2191412</v>
      </c>
      <c r="I422" s="14" t="n">
        <f aca="false">D422*H422</f>
        <v>43828240</v>
      </c>
      <c r="J422" s="14" t="n">
        <f aca="false">E422*H422</f>
        <v>0</v>
      </c>
      <c r="K422" s="14" t="n">
        <f aca="false">F422*H422</f>
        <v>0</v>
      </c>
      <c r="L422" s="14" t="n">
        <f aca="false">G422*H422</f>
        <v>0</v>
      </c>
      <c r="M422" s="27"/>
    </row>
    <row r="423" customFormat="false" ht="15" hidden="false" customHeight="false" outlineLevel="0" collapsed="false">
      <c r="A423" s="29" t="s">
        <v>843</v>
      </c>
      <c r="B423" s="27" t="s">
        <v>844</v>
      </c>
      <c r="C423" s="29" t="s">
        <v>778</v>
      </c>
      <c r="D423" s="34" t="n">
        <f aca="false">'PL.Khoi luong'!D418</f>
        <v>4</v>
      </c>
      <c r="E423" s="34" t="n">
        <f aca="false">'PL.Khoi luong'!E418</f>
        <v>0</v>
      </c>
      <c r="F423" s="34" t="n">
        <f aca="false">'PL.Khoi luong'!F418</f>
        <v>0</v>
      </c>
      <c r="G423" s="32" t="n">
        <f aca="false">E423+F423</f>
        <v>0</v>
      </c>
      <c r="H423" s="35" t="n">
        <v>2562973</v>
      </c>
      <c r="I423" s="14" t="n">
        <f aca="false">D423*H423</f>
        <v>10251892</v>
      </c>
      <c r="J423" s="14" t="n">
        <f aca="false">E423*H423</f>
        <v>0</v>
      </c>
      <c r="K423" s="14" t="n">
        <f aca="false">F423*H423</f>
        <v>0</v>
      </c>
      <c r="L423" s="14" t="n">
        <f aca="false">G423*H423</f>
        <v>0</v>
      </c>
      <c r="M423" s="27"/>
    </row>
    <row r="424" customFormat="false" ht="15" hidden="false" customHeight="false" outlineLevel="0" collapsed="false">
      <c r="A424" s="29" t="s">
        <v>845</v>
      </c>
      <c r="B424" s="27" t="s">
        <v>846</v>
      </c>
      <c r="C424" s="29" t="s">
        <v>224</v>
      </c>
      <c r="D424" s="34" t="n">
        <f aca="false">'PL.Khoi luong'!D419</f>
        <v>19</v>
      </c>
      <c r="E424" s="34" t="n">
        <f aca="false">'PL.Khoi luong'!E419</f>
        <v>0</v>
      </c>
      <c r="F424" s="34" t="n">
        <f aca="false">'PL.Khoi luong'!F419</f>
        <v>0</v>
      </c>
      <c r="G424" s="32" t="n">
        <f aca="false">E424+F424</f>
        <v>0</v>
      </c>
      <c r="H424" s="35" t="n">
        <v>261046</v>
      </c>
      <c r="I424" s="14" t="n">
        <f aca="false">D424*H424</f>
        <v>4959874</v>
      </c>
      <c r="J424" s="14" t="n">
        <f aca="false">E424*H424</f>
        <v>0</v>
      </c>
      <c r="K424" s="14" t="n">
        <f aca="false">F424*H424</f>
        <v>0</v>
      </c>
      <c r="L424" s="14" t="n">
        <f aca="false">G424*H424</f>
        <v>0</v>
      </c>
      <c r="M424" s="27"/>
    </row>
    <row r="425" customFormat="false" ht="15" hidden="false" customHeight="false" outlineLevel="0" collapsed="false">
      <c r="A425" s="29" t="s">
        <v>847</v>
      </c>
      <c r="B425" s="27" t="s">
        <v>848</v>
      </c>
      <c r="C425" s="29" t="s">
        <v>759</v>
      </c>
      <c r="D425" s="34" t="n">
        <f aca="false">'PL.Khoi luong'!D420</f>
        <v>16</v>
      </c>
      <c r="E425" s="34" t="n">
        <f aca="false">'PL.Khoi luong'!E420</f>
        <v>0</v>
      </c>
      <c r="F425" s="34" t="n">
        <f aca="false">'PL.Khoi luong'!F420</f>
        <v>0</v>
      </c>
      <c r="G425" s="32" t="n">
        <f aca="false">E425+F425</f>
        <v>0</v>
      </c>
      <c r="H425" s="35" t="n">
        <v>60698</v>
      </c>
      <c r="I425" s="14" t="n">
        <f aca="false">D425*H425</f>
        <v>971168</v>
      </c>
      <c r="J425" s="14" t="n">
        <f aca="false">E425*H425</f>
        <v>0</v>
      </c>
      <c r="K425" s="14" t="n">
        <f aca="false">F425*H425</f>
        <v>0</v>
      </c>
      <c r="L425" s="14" t="n">
        <f aca="false">G425*H425</f>
        <v>0</v>
      </c>
      <c r="M425" s="27"/>
    </row>
    <row r="426" customFormat="false" ht="15" hidden="false" customHeight="false" outlineLevel="0" collapsed="false">
      <c r="A426" s="29" t="s">
        <v>849</v>
      </c>
      <c r="B426" s="27" t="s">
        <v>792</v>
      </c>
      <c r="C426" s="29" t="s">
        <v>574</v>
      </c>
      <c r="D426" s="34" t="n">
        <f aca="false">'PL.Khoi luong'!D421</f>
        <v>2</v>
      </c>
      <c r="E426" s="34" t="n">
        <f aca="false">'PL.Khoi luong'!E421</f>
        <v>0</v>
      </c>
      <c r="F426" s="34" t="n">
        <f aca="false">'PL.Khoi luong'!F421</f>
        <v>0</v>
      </c>
      <c r="G426" s="32" t="n">
        <f aca="false">E426+F426</f>
        <v>0</v>
      </c>
      <c r="H426" s="35" t="n">
        <v>2884369</v>
      </c>
      <c r="I426" s="14" t="n">
        <f aca="false">D426*H426</f>
        <v>5768738</v>
      </c>
      <c r="J426" s="14" t="n">
        <f aca="false">E426*H426</f>
        <v>0</v>
      </c>
      <c r="K426" s="14" t="n">
        <f aca="false">F426*H426</f>
        <v>0</v>
      </c>
      <c r="L426" s="14" t="n">
        <f aca="false">G426*H426</f>
        <v>0</v>
      </c>
      <c r="M426" s="27"/>
    </row>
    <row r="427" customFormat="false" ht="15" hidden="false" customHeight="false" outlineLevel="0" collapsed="false">
      <c r="A427" s="12" t="s">
        <v>850</v>
      </c>
      <c r="B427" s="13" t="s">
        <v>851</v>
      </c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</row>
    <row r="428" customFormat="false" ht="15" hidden="false" customHeight="false" outlineLevel="0" collapsed="false">
      <c r="A428" s="29" t="s">
        <v>852</v>
      </c>
      <c r="B428" s="27" t="s">
        <v>853</v>
      </c>
      <c r="C428" s="29" t="s">
        <v>832</v>
      </c>
      <c r="D428" s="34" t="n">
        <f aca="false">'PL.Khoi luong'!D423</f>
        <v>1</v>
      </c>
      <c r="E428" s="34" t="n">
        <f aca="false">'PL.Khoi luong'!E423</f>
        <v>0</v>
      </c>
      <c r="F428" s="34" t="n">
        <f aca="false">'PL.Khoi luong'!F423</f>
        <v>0</v>
      </c>
      <c r="G428" s="32" t="n">
        <f aca="false">E428+F428</f>
        <v>0</v>
      </c>
      <c r="H428" s="35" t="n">
        <v>19081282</v>
      </c>
      <c r="I428" s="14" t="n">
        <f aca="false">D428*H428</f>
        <v>19081282</v>
      </c>
      <c r="J428" s="14" t="n">
        <f aca="false">E428*H428</f>
        <v>0</v>
      </c>
      <c r="K428" s="14" t="n">
        <f aca="false">F428*H428</f>
        <v>0</v>
      </c>
      <c r="L428" s="14" t="n">
        <f aca="false">G428*H428</f>
        <v>0</v>
      </c>
      <c r="M428" s="27"/>
    </row>
    <row r="429" customFormat="false" ht="15" hidden="false" customHeight="false" outlineLevel="0" collapsed="false">
      <c r="A429" s="29" t="s">
        <v>854</v>
      </c>
      <c r="B429" s="27" t="s">
        <v>855</v>
      </c>
      <c r="C429" s="29" t="s">
        <v>856</v>
      </c>
      <c r="D429" s="34" t="n">
        <f aca="false">'PL.Khoi luong'!D424</f>
        <v>27</v>
      </c>
      <c r="E429" s="34" t="n">
        <f aca="false">'PL.Khoi luong'!E424</f>
        <v>0</v>
      </c>
      <c r="F429" s="34" t="n">
        <f aca="false">'PL.Khoi luong'!F424</f>
        <v>0</v>
      </c>
      <c r="G429" s="32" t="n">
        <f aca="false">E429+F429</f>
        <v>0</v>
      </c>
      <c r="H429" s="35" t="n">
        <v>7866459</v>
      </c>
      <c r="I429" s="14" t="n">
        <f aca="false">D429*H429</f>
        <v>212394393</v>
      </c>
      <c r="J429" s="14" t="n">
        <f aca="false">E429*H429</f>
        <v>0</v>
      </c>
      <c r="K429" s="14" t="n">
        <f aca="false">F429*H429</f>
        <v>0</v>
      </c>
      <c r="L429" s="14" t="n">
        <f aca="false">G429*H429</f>
        <v>0</v>
      </c>
      <c r="M429" s="27"/>
    </row>
    <row r="430" customFormat="false" ht="15" hidden="false" customHeight="false" outlineLevel="0" collapsed="false">
      <c r="A430" s="29" t="s">
        <v>857</v>
      </c>
      <c r="B430" s="27" t="s">
        <v>858</v>
      </c>
      <c r="C430" s="29" t="s">
        <v>856</v>
      </c>
      <c r="D430" s="34" t="n">
        <f aca="false">'PL.Khoi luong'!D425</f>
        <v>2</v>
      </c>
      <c r="E430" s="34" t="n">
        <f aca="false">'PL.Khoi luong'!E425</f>
        <v>0</v>
      </c>
      <c r="F430" s="34" t="n">
        <f aca="false">'PL.Khoi luong'!F425</f>
        <v>0</v>
      </c>
      <c r="G430" s="32" t="n">
        <f aca="false">E430+F430</f>
        <v>0</v>
      </c>
      <c r="H430" s="35" t="n">
        <v>8745293</v>
      </c>
      <c r="I430" s="14" t="n">
        <f aca="false">D430*H430</f>
        <v>17490586</v>
      </c>
      <c r="J430" s="14" t="n">
        <f aca="false">E430*H430</f>
        <v>0</v>
      </c>
      <c r="K430" s="14" t="n">
        <f aca="false">F430*H430</f>
        <v>0</v>
      </c>
      <c r="L430" s="14" t="n">
        <f aca="false">G430*H430</f>
        <v>0</v>
      </c>
      <c r="M430" s="27"/>
    </row>
    <row r="431" customFormat="false" ht="15" hidden="false" customHeight="false" outlineLevel="0" collapsed="false">
      <c r="A431" s="29" t="s">
        <v>859</v>
      </c>
      <c r="B431" s="27" t="s">
        <v>860</v>
      </c>
      <c r="C431" s="29" t="s">
        <v>835</v>
      </c>
      <c r="D431" s="34" t="n">
        <f aca="false">'PL.Khoi luong'!D426</f>
        <v>1</v>
      </c>
      <c r="E431" s="34" t="n">
        <f aca="false">'PL.Khoi luong'!E426</f>
        <v>0</v>
      </c>
      <c r="F431" s="34" t="n">
        <f aca="false">'PL.Khoi luong'!F426</f>
        <v>0</v>
      </c>
      <c r="G431" s="32" t="n">
        <f aca="false">E431+F431</f>
        <v>0</v>
      </c>
      <c r="H431" s="35" t="n">
        <v>1795689</v>
      </c>
      <c r="I431" s="14" t="n">
        <f aca="false">D431*H431</f>
        <v>1795689</v>
      </c>
      <c r="J431" s="14" t="n">
        <f aca="false">E431*H431</f>
        <v>0</v>
      </c>
      <c r="K431" s="14" t="n">
        <f aca="false">F431*H431</f>
        <v>0</v>
      </c>
      <c r="L431" s="14" t="n">
        <f aca="false">G431*H431</f>
        <v>0</v>
      </c>
      <c r="M431" s="27"/>
    </row>
    <row r="432" customFormat="false" ht="15" hidden="false" customHeight="false" outlineLevel="0" collapsed="false">
      <c r="A432" s="29" t="s">
        <v>861</v>
      </c>
      <c r="B432" s="27" t="s">
        <v>862</v>
      </c>
      <c r="C432" s="29" t="s">
        <v>835</v>
      </c>
      <c r="D432" s="34" t="n">
        <f aca="false">'PL.Khoi luong'!D427</f>
        <v>29</v>
      </c>
      <c r="E432" s="34" t="n">
        <f aca="false">'PL.Khoi luong'!E427</f>
        <v>0</v>
      </c>
      <c r="F432" s="34" t="n">
        <f aca="false">'PL.Khoi luong'!F427</f>
        <v>0</v>
      </c>
      <c r="G432" s="32" t="n">
        <f aca="false">E432+F432</f>
        <v>0</v>
      </c>
      <c r="H432" s="35" t="n">
        <v>2330609</v>
      </c>
      <c r="I432" s="14" t="n">
        <f aca="false">D432*H432</f>
        <v>67587661</v>
      </c>
      <c r="J432" s="14" t="n">
        <f aca="false">E432*H432</f>
        <v>0</v>
      </c>
      <c r="K432" s="14" t="n">
        <f aca="false">F432*H432</f>
        <v>0</v>
      </c>
      <c r="L432" s="14" t="n">
        <f aca="false">G432*H432</f>
        <v>0</v>
      </c>
      <c r="M432" s="27"/>
    </row>
    <row r="433" customFormat="false" ht="26.85" hidden="false" customHeight="false" outlineLevel="0" collapsed="false">
      <c r="A433" s="29" t="s">
        <v>863</v>
      </c>
      <c r="B433" s="27" t="s">
        <v>864</v>
      </c>
      <c r="C433" s="29" t="s">
        <v>224</v>
      </c>
      <c r="D433" s="34" t="n">
        <f aca="false">'PL.Khoi luong'!D428</f>
        <v>15</v>
      </c>
      <c r="E433" s="34" t="n">
        <f aca="false">'PL.Khoi luong'!E428</f>
        <v>0</v>
      </c>
      <c r="F433" s="34" t="n">
        <f aca="false">'PL.Khoi luong'!F428</f>
        <v>0</v>
      </c>
      <c r="G433" s="32" t="n">
        <f aca="false">E433+F433</f>
        <v>0</v>
      </c>
      <c r="H433" s="35" t="n">
        <v>951835</v>
      </c>
      <c r="I433" s="14" t="n">
        <f aca="false">D433*H433</f>
        <v>14277525</v>
      </c>
      <c r="J433" s="14" t="n">
        <f aca="false">E433*H433</f>
        <v>0</v>
      </c>
      <c r="K433" s="14" t="n">
        <f aca="false">F433*H433</f>
        <v>0</v>
      </c>
      <c r="L433" s="14" t="n">
        <f aca="false">G433*H433</f>
        <v>0</v>
      </c>
      <c r="M433" s="27"/>
    </row>
    <row r="434" customFormat="false" ht="26.85" hidden="false" customHeight="false" outlineLevel="0" collapsed="false">
      <c r="A434" s="29" t="s">
        <v>865</v>
      </c>
      <c r="B434" s="27" t="s">
        <v>866</v>
      </c>
      <c r="C434" s="29" t="s">
        <v>224</v>
      </c>
      <c r="D434" s="34" t="n">
        <f aca="false">'PL.Khoi luong'!D429</f>
        <v>983</v>
      </c>
      <c r="E434" s="34" t="n">
        <f aca="false">'PL.Khoi luong'!E429</f>
        <v>0</v>
      </c>
      <c r="F434" s="34" t="n">
        <f aca="false">'PL.Khoi luong'!F429</f>
        <v>0</v>
      </c>
      <c r="G434" s="32" t="n">
        <f aca="false">E434+F434</f>
        <v>0</v>
      </c>
      <c r="H434" s="35" t="n">
        <v>329826</v>
      </c>
      <c r="I434" s="14" t="n">
        <f aca="false">D434*H434</f>
        <v>324218958</v>
      </c>
      <c r="J434" s="14" t="n">
        <f aca="false">E434*H434</f>
        <v>0</v>
      </c>
      <c r="K434" s="14" t="n">
        <f aca="false">F434*H434</f>
        <v>0</v>
      </c>
      <c r="L434" s="14" t="n">
        <f aca="false">G434*H434</f>
        <v>0</v>
      </c>
      <c r="M434" s="27"/>
    </row>
    <row r="435" customFormat="false" ht="15" hidden="false" customHeight="false" outlineLevel="0" collapsed="false">
      <c r="A435" s="29" t="s">
        <v>867</v>
      </c>
      <c r="B435" s="27" t="s">
        <v>868</v>
      </c>
      <c r="C435" s="29" t="s">
        <v>224</v>
      </c>
      <c r="D435" s="34" t="n">
        <f aca="false">'PL.Khoi luong'!D430</f>
        <v>993</v>
      </c>
      <c r="E435" s="34" t="n">
        <f aca="false">'PL.Khoi luong'!E430</f>
        <v>0</v>
      </c>
      <c r="F435" s="34" t="n">
        <f aca="false">'PL.Khoi luong'!F430</f>
        <v>0</v>
      </c>
      <c r="G435" s="32" t="n">
        <f aca="false">E435+F435</f>
        <v>0</v>
      </c>
      <c r="H435" s="35" t="n">
        <v>66779</v>
      </c>
      <c r="I435" s="14" t="n">
        <f aca="false">D435*H435</f>
        <v>66311547</v>
      </c>
      <c r="J435" s="14" t="n">
        <f aca="false">E435*H435</f>
        <v>0</v>
      </c>
      <c r="K435" s="14" t="n">
        <f aca="false">F435*H435</f>
        <v>0</v>
      </c>
      <c r="L435" s="14" t="n">
        <f aca="false">G435*H435</f>
        <v>0</v>
      </c>
      <c r="M435" s="27"/>
    </row>
    <row r="436" customFormat="false" ht="15" hidden="false" customHeight="false" outlineLevel="0" collapsed="false">
      <c r="A436" s="29" t="s">
        <v>869</v>
      </c>
      <c r="B436" s="27" t="s">
        <v>870</v>
      </c>
      <c r="C436" s="29" t="s">
        <v>193</v>
      </c>
      <c r="D436" s="34" t="n">
        <f aca="false">'PL.Khoi luong'!D431</f>
        <v>1</v>
      </c>
      <c r="E436" s="34" t="n">
        <f aca="false">'PL.Khoi luong'!E431</f>
        <v>0</v>
      </c>
      <c r="F436" s="34" t="n">
        <f aca="false">'PL.Khoi luong'!F431</f>
        <v>0</v>
      </c>
      <c r="G436" s="32" t="n">
        <f aca="false">E436+F436</f>
        <v>0</v>
      </c>
      <c r="H436" s="35" t="n">
        <v>3613994</v>
      </c>
      <c r="I436" s="14" t="n">
        <f aca="false">D436*H436</f>
        <v>3613994</v>
      </c>
      <c r="J436" s="14" t="n">
        <f aca="false">E436*H436</f>
        <v>0</v>
      </c>
      <c r="K436" s="14" t="n">
        <f aca="false">F436*H436</f>
        <v>0</v>
      </c>
      <c r="L436" s="14" t="n">
        <f aca="false">G436*H436</f>
        <v>0</v>
      </c>
      <c r="M436" s="27"/>
    </row>
    <row r="437" customFormat="false" ht="15" hidden="false" customHeight="false" outlineLevel="0" collapsed="false">
      <c r="A437" s="29" t="s">
        <v>871</v>
      </c>
      <c r="B437" s="27" t="s">
        <v>872</v>
      </c>
      <c r="C437" s="29" t="s">
        <v>731</v>
      </c>
      <c r="D437" s="34" t="n">
        <f aca="false">'PL.Khoi luong'!D432</f>
        <v>29</v>
      </c>
      <c r="E437" s="34" t="n">
        <f aca="false">'PL.Khoi luong'!E432</f>
        <v>0</v>
      </c>
      <c r="F437" s="34" t="n">
        <f aca="false">'PL.Khoi luong'!F432</f>
        <v>0</v>
      </c>
      <c r="G437" s="32" t="n">
        <f aca="false">E437+F437</f>
        <v>0</v>
      </c>
      <c r="H437" s="35" t="n">
        <v>816304</v>
      </c>
      <c r="I437" s="14" t="n">
        <f aca="false">D437*H437</f>
        <v>23672816</v>
      </c>
      <c r="J437" s="14" t="n">
        <f aca="false">E437*H437</f>
        <v>0</v>
      </c>
      <c r="K437" s="14" t="n">
        <f aca="false">F437*H437</f>
        <v>0</v>
      </c>
      <c r="L437" s="14" t="n">
        <f aca="false">G437*H437</f>
        <v>0</v>
      </c>
      <c r="M437" s="27"/>
    </row>
    <row r="438" customFormat="false" ht="15" hidden="false" customHeight="false" outlineLevel="0" collapsed="false">
      <c r="A438" s="29" t="s">
        <v>873</v>
      </c>
      <c r="B438" s="27" t="s">
        <v>874</v>
      </c>
      <c r="C438" s="29" t="s">
        <v>224</v>
      </c>
      <c r="D438" s="34" t="n">
        <f aca="false">'PL.Khoi luong'!D433</f>
        <v>8</v>
      </c>
      <c r="E438" s="34" t="n">
        <f aca="false">'PL.Khoi luong'!E433</f>
        <v>0</v>
      </c>
      <c r="F438" s="34" t="n">
        <f aca="false">'PL.Khoi luong'!F433</f>
        <v>0</v>
      </c>
      <c r="G438" s="32" t="n">
        <f aca="false">E438+F438</f>
        <v>0</v>
      </c>
      <c r="H438" s="35" t="n">
        <v>165183</v>
      </c>
      <c r="I438" s="14" t="n">
        <f aca="false">D438*H438</f>
        <v>1321464</v>
      </c>
      <c r="J438" s="14" t="n">
        <f aca="false">E438*H438</f>
        <v>0</v>
      </c>
      <c r="K438" s="14" t="n">
        <f aca="false">F438*H438</f>
        <v>0</v>
      </c>
      <c r="L438" s="14" t="n">
        <f aca="false">G438*H438</f>
        <v>0</v>
      </c>
      <c r="M438" s="27"/>
    </row>
    <row r="439" customFormat="false" ht="15" hidden="false" customHeight="false" outlineLevel="0" collapsed="false">
      <c r="A439" s="29" t="s">
        <v>875</v>
      </c>
      <c r="B439" s="27" t="s">
        <v>876</v>
      </c>
      <c r="C439" s="29" t="s">
        <v>224</v>
      </c>
      <c r="D439" s="34" t="n">
        <f aca="false">'PL.Khoi luong'!D434</f>
        <v>144</v>
      </c>
      <c r="E439" s="34" t="n">
        <f aca="false">'PL.Khoi luong'!E434</f>
        <v>0</v>
      </c>
      <c r="F439" s="34" t="n">
        <f aca="false">'PL.Khoi luong'!F434</f>
        <v>0</v>
      </c>
      <c r="G439" s="32" t="n">
        <f aca="false">E439+F439</f>
        <v>0</v>
      </c>
      <c r="H439" s="35" t="n">
        <v>165183</v>
      </c>
      <c r="I439" s="14" t="n">
        <f aca="false">D439*H439</f>
        <v>23786352</v>
      </c>
      <c r="J439" s="14" t="n">
        <f aca="false">E439*H439</f>
        <v>0</v>
      </c>
      <c r="K439" s="14" t="n">
        <f aca="false">F439*H439</f>
        <v>0</v>
      </c>
      <c r="L439" s="14" t="n">
        <f aca="false">G439*H439</f>
        <v>0</v>
      </c>
      <c r="M439" s="27"/>
    </row>
    <row r="440" customFormat="false" ht="15" hidden="false" customHeight="false" outlineLevel="0" collapsed="false">
      <c r="A440" s="29" t="s">
        <v>877</v>
      </c>
      <c r="B440" s="27" t="s">
        <v>878</v>
      </c>
      <c r="C440" s="29" t="s">
        <v>224</v>
      </c>
      <c r="D440" s="34" t="n">
        <f aca="false">'PL.Khoi luong'!D435</f>
        <v>933</v>
      </c>
      <c r="E440" s="34" t="n">
        <f aca="false">'PL.Khoi luong'!E435</f>
        <v>0</v>
      </c>
      <c r="F440" s="34" t="n">
        <f aca="false">'PL.Khoi luong'!F435</f>
        <v>0</v>
      </c>
      <c r="G440" s="32" t="n">
        <f aca="false">E440+F440</f>
        <v>0</v>
      </c>
      <c r="H440" s="35" t="n">
        <v>34894</v>
      </c>
      <c r="I440" s="14" t="n">
        <f aca="false">D440*H440</f>
        <v>32556102</v>
      </c>
      <c r="J440" s="14" t="n">
        <f aca="false">E440*H440</f>
        <v>0</v>
      </c>
      <c r="K440" s="14" t="n">
        <f aca="false">F440*H440</f>
        <v>0</v>
      </c>
      <c r="L440" s="14" t="n">
        <f aca="false">G440*H440</f>
        <v>0</v>
      </c>
      <c r="M440" s="27"/>
    </row>
    <row r="441" customFormat="false" ht="15" hidden="false" customHeight="false" outlineLevel="0" collapsed="false">
      <c r="A441" s="29" t="s">
        <v>879</v>
      </c>
      <c r="B441" s="27" t="s">
        <v>880</v>
      </c>
      <c r="C441" s="29" t="s">
        <v>224</v>
      </c>
      <c r="D441" s="34" t="n">
        <f aca="false">'PL.Khoi luong'!D436</f>
        <v>9</v>
      </c>
      <c r="E441" s="34" t="n">
        <f aca="false">'PL.Khoi luong'!E436</f>
        <v>0</v>
      </c>
      <c r="F441" s="34" t="n">
        <f aca="false">'PL.Khoi luong'!F436</f>
        <v>0</v>
      </c>
      <c r="G441" s="32" t="n">
        <f aca="false">E441+F441</f>
        <v>0</v>
      </c>
      <c r="H441" s="35" t="n">
        <v>311609</v>
      </c>
      <c r="I441" s="14" t="n">
        <f aca="false">D441*H441</f>
        <v>2804481</v>
      </c>
      <c r="J441" s="14" t="n">
        <f aca="false">E441*H441</f>
        <v>0</v>
      </c>
      <c r="K441" s="14" t="n">
        <f aca="false">F441*H441</f>
        <v>0</v>
      </c>
      <c r="L441" s="14" t="n">
        <f aca="false">G441*H441</f>
        <v>0</v>
      </c>
      <c r="M441" s="27"/>
    </row>
    <row r="442" customFormat="false" ht="15" hidden="false" customHeight="false" outlineLevel="0" collapsed="false">
      <c r="A442" s="29" t="s">
        <v>881</v>
      </c>
      <c r="B442" s="27" t="s">
        <v>882</v>
      </c>
      <c r="C442" s="29" t="s">
        <v>778</v>
      </c>
      <c r="D442" s="34" t="n">
        <f aca="false">'PL.Khoi luong'!D437</f>
        <v>232</v>
      </c>
      <c r="E442" s="34" t="n">
        <f aca="false">'PL.Khoi luong'!E437</f>
        <v>0</v>
      </c>
      <c r="F442" s="34" t="n">
        <f aca="false">'PL.Khoi luong'!F437</f>
        <v>0</v>
      </c>
      <c r="G442" s="32" t="n">
        <f aca="false">E442+F442</f>
        <v>0</v>
      </c>
      <c r="H442" s="35" t="n">
        <v>37556</v>
      </c>
      <c r="I442" s="14" t="n">
        <f aca="false">D442*H442</f>
        <v>8712992</v>
      </c>
      <c r="J442" s="14" t="n">
        <f aca="false">E442*H442</f>
        <v>0</v>
      </c>
      <c r="K442" s="14" t="n">
        <f aca="false">F442*H442</f>
        <v>0</v>
      </c>
      <c r="L442" s="14" t="n">
        <f aca="false">G442*H442</f>
        <v>0</v>
      </c>
      <c r="M442" s="27"/>
    </row>
    <row r="443" customFormat="false" ht="15" hidden="false" customHeight="false" outlineLevel="0" collapsed="false">
      <c r="A443" s="29" t="s">
        <v>883</v>
      </c>
      <c r="B443" s="27" t="s">
        <v>848</v>
      </c>
      <c r="C443" s="29" t="s">
        <v>778</v>
      </c>
      <c r="D443" s="34" t="n">
        <f aca="false">'PL.Khoi luong'!D438</f>
        <v>8</v>
      </c>
      <c r="E443" s="34" t="n">
        <f aca="false">'PL.Khoi luong'!E438</f>
        <v>0</v>
      </c>
      <c r="F443" s="34" t="n">
        <f aca="false">'PL.Khoi luong'!F438</f>
        <v>0</v>
      </c>
      <c r="G443" s="32" t="n">
        <f aca="false">E443+F443</f>
        <v>0</v>
      </c>
      <c r="H443" s="35" t="n">
        <v>57091</v>
      </c>
      <c r="I443" s="14" t="n">
        <f aca="false">D443*H443</f>
        <v>456728</v>
      </c>
      <c r="J443" s="14" t="n">
        <f aca="false">E443*H443</f>
        <v>0</v>
      </c>
      <c r="K443" s="14" t="n">
        <f aca="false">F443*H443</f>
        <v>0</v>
      </c>
      <c r="L443" s="14" t="n">
        <f aca="false">G443*H443</f>
        <v>0</v>
      </c>
      <c r="M443" s="27"/>
    </row>
    <row r="444" customFormat="false" ht="15" hidden="false" customHeight="false" outlineLevel="0" collapsed="false">
      <c r="A444" s="29" t="s">
        <v>884</v>
      </c>
      <c r="B444" s="27" t="s">
        <v>788</v>
      </c>
      <c r="C444" s="29" t="s">
        <v>759</v>
      </c>
      <c r="D444" s="34" t="n">
        <f aca="false">'PL.Khoi luong'!D439</f>
        <v>7</v>
      </c>
      <c r="E444" s="34" t="n">
        <f aca="false">'PL.Khoi luong'!E439</f>
        <v>0</v>
      </c>
      <c r="F444" s="34" t="n">
        <f aca="false">'PL.Khoi luong'!F439</f>
        <v>0</v>
      </c>
      <c r="G444" s="32" t="n">
        <f aca="false">E444+F444</f>
        <v>0</v>
      </c>
      <c r="H444" s="35" t="n">
        <v>68023</v>
      </c>
      <c r="I444" s="14" t="n">
        <f aca="false">D444*H444</f>
        <v>476161</v>
      </c>
      <c r="J444" s="14" t="n">
        <f aca="false">E444*H444</f>
        <v>0</v>
      </c>
      <c r="K444" s="14" t="n">
        <f aca="false">F444*H444</f>
        <v>0</v>
      </c>
      <c r="L444" s="14" t="n">
        <f aca="false">G444*H444</f>
        <v>0</v>
      </c>
      <c r="M444" s="27"/>
    </row>
    <row r="445" customFormat="false" ht="26.85" hidden="false" customHeight="false" outlineLevel="0" collapsed="false">
      <c r="A445" s="29" t="s">
        <v>885</v>
      </c>
      <c r="B445" s="27" t="s">
        <v>886</v>
      </c>
      <c r="C445" s="29" t="s">
        <v>193</v>
      </c>
      <c r="D445" s="34" t="n">
        <f aca="false">'PL.Khoi luong'!D440</f>
        <v>27</v>
      </c>
      <c r="E445" s="34" t="n">
        <f aca="false">'PL.Khoi luong'!E440</f>
        <v>0</v>
      </c>
      <c r="F445" s="34" t="n">
        <f aca="false">'PL.Khoi luong'!F440</f>
        <v>0</v>
      </c>
      <c r="G445" s="32" t="n">
        <f aca="false">E445+F445</f>
        <v>0</v>
      </c>
      <c r="H445" s="35" t="n">
        <v>7034449</v>
      </c>
      <c r="I445" s="14" t="n">
        <f aca="false">D445*H445</f>
        <v>189930123</v>
      </c>
      <c r="J445" s="14" t="n">
        <f aca="false">E445*H445</f>
        <v>0</v>
      </c>
      <c r="K445" s="14" t="n">
        <f aca="false">F445*H445</f>
        <v>0</v>
      </c>
      <c r="L445" s="14" t="n">
        <f aca="false">G445*H445</f>
        <v>0</v>
      </c>
      <c r="M445" s="27"/>
    </row>
    <row r="446" customFormat="false" ht="26.85" hidden="false" customHeight="false" outlineLevel="0" collapsed="false">
      <c r="A446" s="29" t="s">
        <v>887</v>
      </c>
      <c r="B446" s="27" t="s">
        <v>888</v>
      </c>
      <c r="C446" s="29" t="s">
        <v>193</v>
      </c>
      <c r="D446" s="34" t="n">
        <f aca="false">'PL.Khoi luong'!D441</f>
        <v>2</v>
      </c>
      <c r="E446" s="34" t="n">
        <f aca="false">'PL.Khoi luong'!E441</f>
        <v>0</v>
      </c>
      <c r="F446" s="34" t="n">
        <f aca="false">'PL.Khoi luong'!F441</f>
        <v>0</v>
      </c>
      <c r="G446" s="32" t="n">
        <f aca="false">E446+F446</f>
        <v>0</v>
      </c>
      <c r="H446" s="35" t="n">
        <v>9952470</v>
      </c>
      <c r="I446" s="14" t="n">
        <f aca="false">D446*H446</f>
        <v>19904940</v>
      </c>
      <c r="J446" s="14" t="n">
        <f aca="false">E446*H446</f>
        <v>0</v>
      </c>
      <c r="K446" s="14" t="n">
        <f aca="false">F446*H446</f>
        <v>0</v>
      </c>
      <c r="L446" s="14" t="n">
        <f aca="false">G446*H446</f>
        <v>0</v>
      </c>
      <c r="M446" s="27"/>
    </row>
    <row r="447" customFormat="false" ht="15" hidden="false" customHeight="false" outlineLevel="0" collapsed="false">
      <c r="A447" s="29" t="s">
        <v>889</v>
      </c>
      <c r="B447" s="27" t="s">
        <v>890</v>
      </c>
      <c r="C447" s="29" t="s">
        <v>891</v>
      </c>
      <c r="D447" s="34" t="n">
        <f aca="false">'PL.Khoi luong'!D442</f>
        <v>31</v>
      </c>
      <c r="E447" s="34" t="n">
        <f aca="false">'PL.Khoi luong'!E442</f>
        <v>0</v>
      </c>
      <c r="F447" s="34" t="n">
        <f aca="false">'PL.Khoi luong'!F442</f>
        <v>0</v>
      </c>
      <c r="G447" s="32" t="n">
        <f aca="false">E447+F447</f>
        <v>0</v>
      </c>
      <c r="H447" s="35" t="n">
        <v>3937997</v>
      </c>
      <c r="I447" s="14" t="n">
        <f aca="false">D447*H447</f>
        <v>122077907</v>
      </c>
      <c r="J447" s="14" t="n">
        <f aca="false">E447*H447</f>
        <v>0</v>
      </c>
      <c r="K447" s="14" t="n">
        <f aca="false">F447*H447</f>
        <v>0</v>
      </c>
      <c r="L447" s="14" t="n">
        <f aca="false">G447*H447</f>
        <v>0</v>
      </c>
      <c r="M447" s="27"/>
    </row>
    <row r="448" customFormat="false" ht="15" hidden="false" customHeight="false" outlineLevel="0" collapsed="false">
      <c r="A448" s="29" t="s">
        <v>892</v>
      </c>
      <c r="B448" s="27" t="s">
        <v>893</v>
      </c>
      <c r="C448" s="29" t="s">
        <v>224</v>
      </c>
      <c r="D448" s="34" t="n">
        <f aca="false">'PL.Khoi luong'!D443</f>
        <v>372</v>
      </c>
      <c r="E448" s="34" t="n">
        <f aca="false">'PL.Khoi luong'!E443</f>
        <v>0</v>
      </c>
      <c r="F448" s="34" t="n">
        <f aca="false">'PL.Khoi luong'!F443</f>
        <v>0</v>
      </c>
      <c r="G448" s="32" t="n">
        <f aca="false">E448+F448</f>
        <v>0</v>
      </c>
      <c r="H448" s="35" t="n">
        <v>62194</v>
      </c>
      <c r="I448" s="14" t="n">
        <f aca="false">D448*H448</f>
        <v>23136168</v>
      </c>
      <c r="J448" s="14" t="n">
        <f aca="false">E448*H448</f>
        <v>0</v>
      </c>
      <c r="K448" s="14" t="n">
        <f aca="false">F448*H448</f>
        <v>0</v>
      </c>
      <c r="L448" s="14" t="n">
        <f aca="false">G448*H448</f>
        <v>0</v>
      </c>
      <c r="M448" s="27"/>
    </row>
    <row r="449" customFormat="false" ht="15" hidden="false" customHeight="false" outlineLevel="0" collapsed="false">
      <c r="A449" s="29" t="s">
        <v>894</v>
      </c>
      <c r="B449" s="27" t="s">
        <v>792</v>
      </c>
      <c r="C449" s="29" t="s">
        <v>574</v>
      </c>
      <c r="D449" s="34" t="n">
        <f aca="false">'PL.Khoi luong'!D444</f>
        <v>2</v>
      </c>
      <c r="E449" s="34" t="n">
        <f aca="false">'PL.Khoi luong'!E444</f>
        <v>0</v>
      </c>
      <c r="F449" s="34" t="n">
        <f aca="false">'PL.Khoi luong'!F444</f>
        <v>0</v>
      </c>
      <c r="G449" s="32" t="n">
        <f aca="false">E449+F449</f>
        <v>0</v>
      </c>
      <c r="H449" s="35" t="n">
        <v>3025561</v>
      </c>
      <c r="I449" s="14" t="n">
        <f aca="false">D449*H449</f>
        <v>6051122</v>
      </c>
      <c r="J449" s="14" t="n">
        <f aca="false">E449*H449</f>
        <v>0</v>
      </c>
      <c r="K449" s="14" t="n">
        <f aca="false">F449*H449</f>
        <v>0</v>
      </c>
      <c r="L449" s="14" t="n">
        <f aca="false">G449*H449</f>
        <v>0</v>
      </c>
      <c r="M449" s="27"/>
    </row>
    <row r="450" customFormat="false" ht="26.85" hidden="false" customHeight="false" outlineLevel="0" collapsed="false">
      <c r="A450" s="12" t="s">
        <v>895</v>
      </c>
      <c r="B450" s="13" t="s">
        <v>896</v>
      </c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</row>
    <row r="451" customFormat="false" ht="26.85" hidden="false" customHeight="false" outlineLevel="0" collapsed="false">
      <c r="A451" s="29" t="s">
        <v>897</v>
      </c>
      <c r="B451" s="27" t="s">
        <v>898</v>
      </c>
      <c r="C451" s="29" t="s">
        <v>731</v>
      </c>
      <c r="D451" s="34" t="n">
        <f aca="false">'PL.Khoi luong'!D446</f>
        <v>1</v>
      </c>
      <c r="E451" s="34" t="n">
        <f aca="false">'PL.Khoi luong'!E446</f>
        <v>0</v>
      </c>
      <c r="F451" s="34" t="n">
        <f aca="false">'PL.Khoi luong'!F446</f>
        <v>0</v>
      </c>
      <c r="G451" s="32" t="n">
        <f aca="false">E451+F451</f>
        <v>0</v>
      </c>
      <c r="H451" s="35" t="n">
        <v>374720</v>
      </c>
      <c r="I451" s="14" t="n">
        <f aca="false">D451*H451</f>
        <v>374720</v>
      </c>
      <c r="J451" s="14" t="n">
        <f aca="false">E451*H451</f>
        <v>0</v>
      </c>
      <c r="K451" s="14" t="n">
        <f aca="false">F451*H451</f>
        <v>0</v>
      </c>
      <c r="L451" s="14" t="n">
        <f aca="false">G451*H451</f>
        <v>0</v>
      </c>
      <c r="M451" s="27"/>
    </row>
    <row r="452" customFormat="false" ht="15" hidden="false" customHeight="false" outlineLevel="0" collapsed="false">
      <c r="A452" s="29" t="s">
        <v>899</v>
      </c>
      <c r="B452" s="27" t="s">
        <v>900</v>
      </c>
      <c r="C452" s="29" t="s">
        <v>901</v>
      </c>
      <c r="D452" s="34" t="n">
        <f aca="false">'PL.Khoi luong'!D447</f>
        <v>1</v>
      </c>
      <c r="E452" s="34" t="n">
        <f aca="false">'PL.Khoi luong'!E447</f>
        <v>0</v>
      </c>
      <c r="F452" s="34" t="n">
        <f aca="false">'PL.Khoi luong'!F447</f>
        <v>0</v>
      </c>
      <c r="G452" s="32" t="n">
        <f aca="false">E452+F452</f>
        <v>0</v>
      </c>
      <c r="H452" s="35" t="n">
        <v>242931</v>
      </c>
      <c r="I452" s="14" t="n">
        <f aca="false">D452*H452</f>
        <v>242931</v>
      </c>
      <c r="J452" s="14" t="n">
        <f aca="false">E452*H452</f>
        <v>0</v>
      </c>
      <c r="K452" s="14" t="n">
        <f aca="false">F452*H452</f>
        <v>0</v>
      </c>
      <c r="L452" s="14" t="n">
        <f aca="false">G452*H452</f>
        <v>0</v>
      </c>
      <c r="M452" s="27"/>
    </row>
    <row r="453" customFormat="false" ht="26.85" hidden="false" customHeight="false" outlineLevel="0" collapsed="false">
      <c r="A453" s="29" t="s">
        <v>902</v>
      </c>
      <c r="B453" s="27" t="s">
        <v>903</v>
      </c>
      <c r="C453" s="29" t="s">
        <v>901</v>
      </c>
      <c r="D453" s="34" t="n">
        <f aca="false">'PL.Khoi luong'!D448</f>
        <v>2</v>
      </c>
      <c r="E453" s="34" t="n">
        <f aca="false">'PL.Khoi luong'!E448</f>
        <v>0</v>
      </c>
      <c r="F453" s="34" t="n">
        <f aca="false">'PL.Khoi luong'!F448</f>
        <v>0</v>
      </c>
      <c r="G453" s="32" t="n">
        <f aca="false">E453+F453</f>
        <v>0</v>
      </c>
      <c r="H453" s="35" t="n">
        <v>194342</v>
      </c>
      <c r="I453" s="14" t="n">
        <f aca="false">D453*H453</f>
        <v>388684</v>
      </c>
      <c r="J453" s="14" t="n">
        <f aca="false">E453*H453</f>
        <v>0</v>
      </c>
      <c r="K453" s="14" t="n">
        <f aca="false">F453*H453</f>
        <v>0</v>
      </c>
      <c r="L453" s="14" t="n">
        <f aca="false">G453*H453</f>
        <v>0</v>
      </c>
      <c r="M453" s="27"/>
    </row>
    <row r="454" customFormat="false" ht="15" hidden="false" customHeight="false" outlineLevel="0" collapsed="false">
      <c r="A454" s="29" t="s">
        <v>904</v>
      </c>
      <c r="B454" s="27" t="s">
        <v>905</v>
      </c>
      <c r="C454" s="29" t="s">
        <v>731</v>
      </c>
      <c r="D454" s="34" t="n">
        <f aca="false">'PL.Khoi luong'!D449</f>
        <v>1</v>
      </c>
      <c r="E454" s="34" t="n">
        <f aca="false">'PL.Khoi luong'!E449</f>
        <v>0</v>
      </c>
      <c r="F454" s="34" t="n">
        <f aca="false">'PL.Khoi luong'!F449</f>
        <v>0</v>
      </c>
      <c r="G454" s="32" t="n">
        <f aca="false">E454+F454</f>
        <v>0</v>
      </c>
      <c r="H454" s="35" t="n">
        <v>2465618</v>
      </c>
      <c r="I454" s="14" t="n">
        <f aca="false">D454*H454</f>
        <v>2465618</v>
      </c>
      <c r="J454" s="14" t="n">
        <f aca="false">E454*H454</f>
        <v>0</v>
      </c>
      <c r="K454" s="14" t="n">
        <f aca="false">F454*H454</f>
        <v>0</v>
      </c>
      <c r="L454" s="14" t="n">
        <f aca="false">G454*H454</f>
        <v>0</v>
      </c>
      <c r="M454" s="27"/>
    </row>
    <row r="455" customFormat="false" ht="15" hidden="false" customHeight="false" outlineLevel="0" collapsed="false">
      <c r="A455" s="29" t="s">
        <v>906</v>
      </c>
      <c r="B455" s="27" t="s">
        <v>907</v>
      </c>
      <c r="C455" s="29" t="s">
        <v>908</v>
      </c>
      <c r="D455" s="34" t="n">
        <f aca="false">'PL.Khoi luong'!D450</f>
        <v>8</v>
      </c>
      <c r="E455" s="34" t="n">
        <f aca="false">'PL.Khoi luong'!E450</f>
        <v>0</v>
      </c>
      <c r="F455" s="34" t="n">
        <f aca="false">'PL.Khoi luong'!F450</f>
        <v>0</v>
      </c>
      <c r="G455" s="32" t="n">
        <f aca="false">E455+F455</f>
        <v>0</v>
      </c>
      <c r="H455" s="35" t="n">
        <v>38215</v>
      </c>
      <c r="I455" s="14" t="n">
        <f aca="false">D455*H455</f>
        <v>305720</v>
      </c>
      <c r="J455" s="14" t="n">
        <f aca="false">E455*H455</f>
        <v>0</v>
      </c>
      <c r="K455" s="14" t="n">
        <f aca="false">F455*H455</f>
        <v>0</v>
      </c>
      <c r="L455" s="14" t="n">
        <f aca="false">G455*H455</f>
        <v>0</v>
      </c>
      <c r="M455" s="27"/>
    </row>
    <row r="456" customFormat="false" ht="15" hidden="false" customHeight="false" outlineLevel="0" collapsed="false">
      <c r="A456" s="29" t="s">
        <v>909</v>
      </c>
      <c r="B456" s="27" t="s">
        <v>910</v>
      </c>
      <c r="C456" s="29" t="s">
        <v>911</v>
      </c>
      <c r="D456" s="34" t="n">
        <f aca="false">'PL.Khoi luong'!D451</f>
        <v>1</v>
      </c>
      <c r="E456" s="34" t="n">
        <f aca="false">'PL.Khoi luong'!E451</f>
        <v>0</v>
      </c>
      <c r="F456" s="34" t="n">
        <f aca="false">'PL.Khoi luong'!F451</f>
        <v>0</v>
      </c>
      <c r="G456" s="32" t="n">
        <f aca="false">E456+F456</f>
        <v>0</v>
      </c>
      <c r="H456" s="35" t="n">
        <v>17502028</v>
      </c>
      <c r="I456" s="14" t="n">
        <f aca="false">D456*H456</f>
        <v>17502028</v>
      </c>
      <c r="J456" s="14" t="n">
        <f aca="false">E456*H456</f>
        <v>0</v>
      </c>
      <c r="K456" s="14" t="n">
        <f aca="false">F456*H456</f>
        <v>0</v>
      </c>
      <c r="L456" s="14" t="n">
        <f aca="false">G456*H456</f>
        <v>0</v>
      </c>
      <c r="M456" s="27"/>
    </row>
    <row r="457" customFormat="false" ht="15" hidden="false" customHeight="false" outlineLevel="0" collapsed="false">
      <c r="A457" s="29" t="s">
        <v>912</v>
      </c>
      <c r="B457" s="27" t="s">
        <v>913</v>
      </c>
      <c r="C457" s="29" t="s">
        <v>240</v>
      </c>
      <c r="D457" s="34" t="n">
        <f aca="false">'PL.Khoi luong'!D452</f>
        <v>1</v>
      </c>
      <c r="E457" s="34" t="n">
        <f aca="false">'PL.Khoi luong'!E452</f>
        <v>0</v>
      </c>
      <c r="F457" s="34" t="n">
        <f aca="false">'PL.Khoi luong'!F452</f>
        <v>0</v>
      </c>
      <c r="G457" s="32" t="n">
        <f aca="false">E457+F457</f>
        <v>0</v>
      </c>
      <c r="H457" s="35" t="n">
        <v>5586531</v>
      </c>
      <c r="I457" s="14" t="n">
        <f aca="false">D457*H457</f>
        <v>5586531</v>
      </c>
      <c r="J457" s="14" t="n">
        <f aca="false">E457*H457</f>
        <v>0</v>
      </c>
      <c r="K457" s="14" t="n">
        <f aca="false">F457*H457</f>
        <v>0</v>
      </c>
      <c r="L457" s="14" t="n">
        <f aca="false">G457*H457</f>
        <v>0</v>
      </c>
      <c r="M457" s="27"/>
    </row>
    <row r="458" customFormat="false" ht="15" hidden="false" customHeight="false" outlineLevel="0" collapsed="false">
      <c r="A458" s="29" t="s">
        <v>914</v>
      </c>
      <c r="B458" s="27" t="s">
        <v>915</v>
      </c>
      <c r="C458" s="29" t="s">
        <v>193</v>
      </c>
      <c r="D458" s="34" t="n">
        <f aca="false">'PL.Khoi luong'!D453</f>
        <v>1</v>
      </c>
      <c r="E458" s="34" t="n">
        <f aca="false">'PL.Khoi luong'!E453</f>
        <v>0</v>
      </c>
      <c r="F458" s="34" t="n">
        <f aca="false">'PL.Khoi luong'!F453</f>
        <v>0</v>
      </c>
      <c r="G458" s="32" t="n">
        <f aca="false">E458+F458</f>
        <v>0</v>
      </c>
      <c r="H458" s="35" t="n">
        <v>5023533</v>
      </c>
      <c r="I458" s="14" t="n">
        <f aca="false">D458*H458</f>
        <v>5023533</v>
      </c>
      <c r="J458" s="14" t="n">
        <f aca="false">E458*H458</f>
        <v>0</v>
      </c>
      <c r="K458" s="14" t="n">
        <f aca="false">F458*H458</f>
        <v>0</v>
      </c>
      <c r="L458" s="14" t="n">
        <f aca="false">G458*H458</f>
        <v>0</v>
      </c>
      <c r="M458" s="27"/>
    </row>
    <row r="459" customFormat="false" ht="15" hidden="false" customHeight="false" outlineLevel="0" collapsed="false">
      <c r="A459" s="29" t="s">
        <v>916</v>
      </c>
      <c r="B459" s="27" t="s">
        <v>917</v>
      </c>
      <c r="C459" s="29" t="s">
        <v>240</v>
      </c>
      <c r="D459" s="34" t="n">
        <f aca="false">'PL.Khoi luong'!D454</f>
        <v>1</v>
      </c>
      <c r="E459" s="34" t="n">
        <f aca="false">'PL.Khoi luong'!E454</f>
        <v>0</v>
      </c>
      <c r="F459" s="34" t="n">
        <f aca="false">'PL.Khoi luong'!F454</f>
        <v>0</v>
      </c>
      <c r="G459" s="32" t="n">
        <f aca="false">E459+F459</f>
        <v>0</v>
      </c>
      <c r="H459" s="35" t="n">
        <v>1972119</v>
      </c>
      <c r="I459" s="14" t="n">
        <f aca="false">D459*H459</f>
        <v>1972119</v>
      </c>
      <c r="J459" s="14" t="n">
        <f aca="false">E459*H459</f>
        <v>0</v>
      </c>
      <c r="K459" s="14" t="n">
        <f aca="false">F459*H459</f>
        <v>0</v>
      </c>
      <c r="L459" s="14" t="n">
        <f aca="false">G459*H459</f>
        <v>0</v>
      </c>
      <c r="M459" s="27"/>
    </row>
    <row r="460" customFormat="false" ht="15" hidden="false" customHeight="false" outlineLevel="0" collapsed="false">
      <c r="A460" s="29" t="s">
        <v>918</v>
      </c>
      <c r="B460" s="27" t="s">
        <v>919</v>
      </c>
      <c r="C460" s="29" t="s">
        <v>920</v>
      </c>
      <c r="D460" s="34" t="n">
        <f aca="false">'PL.Khoi luong'!D455</f>
        <v>1</v>
      </c>
      <c r="E460" s="34" t="n">
        <f aca="false">'PL.Khoi luong'!E455</f>
        <v>0</v>
      </c>
      <c r="F460" s="34" t="n">
        <f aca="false">'PL.Khoi luong'!F455</f>
        <v>0</v>
      </c>
      <c r="G460" s="32" t="n">
        <f aca="false">E460+F460</f>
        <v>0</v>
      </c>
      <c r="H460" s="35" t="n">
        <v>25535895</v>
      </c>
      <c r="I460" s="14" t="n">
        <f aca="false">D460*H460</f>
        <v>25535895</v>
      </c>
      <c r="J460" s="14" t="n">
        <f aca="false">E460*H460</f>
        <v>0</v>
      </c>
      <c r="K460" s="14" t="n">
        <f aca="false">F460*H460</f>
        <v>0</v>
      </c>
      <c r="L460" s="14" t="n">
        <f aca="false">G460*H460</f>
        <v>0</v>
      </c>
      <c r="M460" s="27"/>
    </row>
    <row r="461" customFormat="false" ht="15" hidden="false" customHeight="false" outlineLevel="0" collapsed="false">
      <c r="A461" s="29" t="s">
        <v>921</v>
      </c>
      <c r="B461" s="27" t="s">
        <v>922</v>
      </c>
      <c r="C461" s="29" t="s">
        <v>193</v>
      </c>
      <c r="D461" s="34" t="n">
        <f aca="false">'PL.Khoi luong'!D456</f>
        <v>3</v>
      </c>
      <c r="E461" s="34" t="n">
        <f aca="false">'PL.Khoi luong'!E456</f>
        <v>0</v>
      </c>
      <c r="F461" s="34" t="n">
        <f aca="false">'PL.Khoi luong'!F456</f>
        <v>0</v>
      </c>
      <c r="G461" s="32" t="n">
        <f aca="false">E461+F461</f>
        <v>0</v>
      </c>
      <c r="H461" s="35" t="n">
        <v>4465298</v>
      </c>
      <c r="I461" s="14" t="n">
        <f aca="false">D461*H461</f>
        <v>13395894</v>
      </c>
      <c r="J461" s="14" t="n">
        <f aca="false">E461*H461</f>
        <v>0</v>
      </c>
      <c r="K461" s="14" t="n">
        <f aca="false">F461*H461</f>
        <v>0</v>
      </c>
      <c r="L461" s="14" t="n">
        <f aca="false">G461*H461</f>
        <v>0</v>
      </c>
      <c r="M461" s="27"/>
    </row>
    <row r="462" customFormat="false" ht="15" hidden="false" customHeight="false" outlineLevel="0" collapsed="false">
      <c r="A462" s="29" t="s">
        <v>923</v>
      </c>
      <c r="B462" s="27" t="s">
        <v>924</v>
      </c>
      <c r="C462" s="29" t="s">
        <v>193</v>
      </c>
      <c r="D462" s="34" t="n">
        <f aca="false">'PL.Khoi luong'!D457</f>
        <v>1</v>
      </c>
      <c r="E462" s="34" t="n">
        <f aca="false">'PL.Khoi luong'!E457</f>
        <v>0</v>
      </c>
      <c r="F462" s="34" t="n">
        <f aca="false">'PL.Khoi luong'!F457</f>
        <v>0</v>
      </c>
      <c r="G462" s="32" t="n">
        <f aca="false">E462+F462</f>
        <v>0</v>
      </c>
      <c r="H462" s="35" t="n">
        <v>2877292</v>
      </c>
      <c r="I462" s="14" t="n">
        <f aca="false">D462*H462</f>
        <v>2877292</v>
      </c>
      <c r="J462" s="14" t="n">
        <f aca="false">E462*H462</f>
        <v>0</v>
      </c>
      <c r="K462" s="14" t="n">
        <f aca="false">F462*H462</f>
        <v>0</v>
      </c>
      <c r="L462" s="14" t="n">
        <f aca="false">G462*H462</f>
        <v>0</v>
      </c>
      <c r="M462" s="27"/>
    </row>
    <row r="463" customFormat="false" ht="15" hidden="false" customHeight="false" outlineLevel="0" collapsed="false">
      <c r="A463" s="29" t="s">
        <v>925</v>
      </c>
      <c r="B463" s="27" t="s">
        <v>926</v>
      </c>
      <c r="C463" s="29" t="s">
        <v>731</v>
      </c>
      <c r="D463" s="34" t="n">
        <f aca="false">'PL.Khoi luong'!D458</f>
        <v>1</v>
      </c>
      <c r="E463" s="34" t="n">
        <f aca="false">'PL.Khoi luong'!E458</f>
        <v>0</v>
      </c>
      <c r="F463" s="34" t="n">
        <f aca="false">'PL.Khoi luong'!F458</f>
        <v>0</v>
      </c>
      <c r="G463" s="32" t="n">
        <f aca="false">E463+F463</f>
        <v>0</v>
      </c>
      <c r="H463" s="35" t="n">
        <v>3082211</v>
      </c>
      <c r="I463" s="14" t="n">
        <f aca="false">D463*H463</f>
        <v>3082211</v>
      </c>
      <c r="J463" s="14" t="n">
        <f aca="false">E463*H463</f>
        <v>0</v>
      </c>
      <c r="K463" s="14" t="n">
        <f aca="false">F463*H463</f>
        <v>0</v>
      </c>
      <c r="L463" s="14" t="n">
        <f aca="false">G463*H463</f>
        <v>0</v>
      </c>
      <c r="M463" s="27"/>
    </row>
    <row r="464" customFormat="false" ht="15" hidden="false" customHeight="false" outlineLevel="0" collapsed="false">
      <c r="A464" s="29" t="s">
        <v>927</v>
      </c>
      <c r="B464" s="27" t="s">
        <v>928</v>
      </c>
      <c r="C464" s="29" t="s">
        <v>240</v>
      </c>
      <c r="D464" s="34" t="n">
        <f aca="false">'PL.Khoi luong'!D459</f>
        <v>3</v>
      </c>
      <c r="E464" s="34" t="n">
        <f aca="false">'PL.Khoi luong'!E459</f>
        <v>0</v>
      </c>
      <c r="F464" s="34" t="n">
        <f aca="false">'PL.Khoi luong'!F459</f>
        <v>0</v>
      </c>
      <c r="G464" s="32" t="n">
        <f aca="false">E464+F464</f>
        <v>0</v>
      </c>
      <c r="H464" s="35" t="n">
        <v>464994</v>
      </c>
      <c r="I464" s="14" t="n">
        <f aca="false">D464*H464</f>
        <v>1394982</v>
      </c>
      <c r="J464" s="14" t="n">
        <f aca="false">E464*H464</f>
        <v>0</v>
      </c>
      <c r="K464" s="14" t="n">
        <f aca="false">F464*H464</f>
        <v>0</v>
      </c>
      <c r="L464" s="14" t="n">
        <f aca="false">G464*H464</f>
        <v>0</v>
      </c>
      <c r="M464" s="27"/>
    </row>
    <row r="465" customFormat="false" ht="15" hidden="false" customHeight="false" outlineLevel="0" collapsed="false">
      <c r="A465" s="29" t="s">
        <v>929</v>
      </c>
      <c r="B465" s="27" t="s">
        <v>930</v>
      </c>
      <c r="C465" s="29" t="s">
        <v>240</v>
      </c>
      <c r="D465" s="34" t="n">
        <f aca="false">'PL.Khoi luong'!D460</f>
        <v>2</v>
      </c>
      <c r="E465" s="34" t="n">
        <f aca="false">'PL.Khoi luong'!E460</f>
        <v>0</v>
      </c>
      <c r="F465" s="34" t="n">
        <f aca="false">'PL.Khoi luong'!F460</f>
        <v>0</v>
      </c>
      <c r="G465" s="32" t="n">
        <f aca="false">E465+F465</f>
        <v>0</v>
      </c>
      <c r="H465" s="35" t="n">
        <v>464994</v>
      </c>
      <c r="I465" s="14" t="n">
        <f aca="false">D465*H465</f>
        <v>929988</v>
      </c>
      <c r="J465" s="14" t="n">
        <f aca="false">E465*H465</f>
        <v>0</v>
      </c>
      <c r="K465" s="14" t="n">
        <f aca="false">F465*H465</f>
        <v>0</v>
      </c>
      <c r="L465" s="14" t="n">
        <f aca="false">G465*H465</f>
        <v>0</v>
      </c>
      <c r="M465" s="27"/>
    </row>
    <row r="466" customFormat="false" ht="15" hidden="false" customHeight="false" outlineLevel="0" collapsed="false">
      <c r="A466" s="29" t="s">
        <v>931</v>
      </c>
      <c r="B466" s="27" t="s">
        <v>932</v>
      </c>
      <c r="C466" s="29" t="s">
        <v>240</v>
      </c>
      <c r="D466" s="34" t="n">
        <f aca="false">'PL.Khoi luong'!D461</f>
        <v>1</v>
      </c>
      <c r="E466" s="34" t="n">
        <f aca="false">'PL.Khoi luong'!E461</f>
        <v>0</v>
      </c>
      <c r="F466" s="34" t="n">
        <f aca="false">'PL.Khoi luong'!F461</f>
        <v>0</v>
      </c>
      <c r="G466" s="32" t="n">
        <f aca="false">E466+F466</f>
        <v>0</v>
      </c>
      <c r="H466" s="35" t="n">
        <v>916730</v>
      </c>
      <c r="I466" s="14" t="n">
        <f aca="false">D466*H466</f>
        <v>916730</v>
      </c>
      <c r="J466" s="14" t="n">
        <f aca="false">E466*H466</f>
        <v>0</v>
      </c>
      <c r="K466" s="14" t="n">
        <f aca="false">F466*H466</f>
        <v>0</v>
      </c>
      <c r="L466" s="14" t="n">
        <f aca="false">G466*H466</f>
        <v>0</v>
      </c>
      <c r="M466" s="27"/>
    </row>
    <row r="467" customFormat="false" ht="15" hidden="false" customHeight="false" outlineLevel="0" collapsed="false">
      <c r="A467" s="29" t="s">
        <v>933</v>
      </c>
      <c r="B467" s="27" t="s">
        <v>934</v>
      </c>
      <c r="C467" s="29" t="s">
        <v>193</v>
      </c>
      <c r="D467" s="34" t="n">
        <f aca="false">'PL.Khoi luong'!D462</f>
        <v>1</v>
      </c>
      <c r="E467" s="34" t="n">
        <f aca="false">'PL.Khoi luong'!E462</f>
        <v>0</v>
      </c>
      <c r="F467" s="34" t="n">
        <f aca="false">'PL.Khoi luong'!F462</f>
        <v>0</v>
      </c>
      <c r="G467" s="32" t="n">
        <f aca="false">E467+F467</f>
        <v>0</v>
      </c>
      <c r="H467" s="35" t="n">
        <v>277731</v>
      </c>
      <c r="I467" s="14" t="n">
        <f aca="false">D467*H467</f>
        <v>277731</v>
      </c>
      <c r="J467" s="14" t="n">
        <f aca="false">E467*H467</f>
        <v>0</v>
      </c>
      <c r="K467" s="14" t="n">
        <f aca="false">F467*H467</f>
        <v>0</v>
      </c>
      <c r="L467" s="14" t="n">
        <f aca="false">G467*H467</f>
        <v>0</v>
      </c>
      <c r="M467" s="27"/>
    </row>
    <row r="468" customFormat="false" ht="26.85" hidden="false" customHeight="false" outlineLevel="0" collapsed="false">
      <c r="A468" s="29" t="s">
        <v>935</v>
      </c>
      <c r="B468" s="27" t="s">
        <v>898</v>
      </c>
      <c r="C468" s="29" t="s">
        <v>193</v>
      </c>
      <c r="D468" s="34" t="n">
        <f aca="false">'PL.Khoi luong'!D463</f>
        <v>38</v>
      </c>
      <c r="E468" s="34" t="n">
        <f aca="false">'PL.Khoi luong'!E463</f>
        <v>0</v>
      </c>
      <c r="F468" s="34" t="n">
        <f aca="false">'PL.Khoi luong'!F463</f>
        <v>0</v>
      </c>
      <c r="G468" s="32" t="n">
        <f aca="false">E468+F468</f>
        <v>0</v>
      </c>
      <c r="H468" s="35" t="n">
        <v>374720</v>
      </c>
      <c r="I468" s="14" t="n">
        <f aca="false">D468*H468</f>
        <v>14239360</v>
      </c>
      <c r="J468" s="14" t="n">
        <f aca="false">E468*H468</f>
        <v>0</v>
      </c>
      <c r="K468" s="14" t="n">
        <f aca="false">F468*H468</f>
        <v>0</v>
      </c>
      <c r="L468" s="14" t="n">
        <f aca="false">G468*H468</f>
        <v>0</v>
      </c>
      <c r="M468" s="27"/>
    </row>
    <row r="469" customFormat="false" ht="15" hidden="false" customHeight="false" outlineLevel="0" collapsed="false">
      <c r="A469" s="29" t="s">
        <v>936</v>
      </c>
      <c r="B469" s="27" t="s">
        <v>937</v>
      </c>
      <c r="C469" s="29" t="s">
        <v>938</v>
      </c>
      <c r="D469" s="34" t="n">
        <f aca="false">'PL.Khoi luong'!D464</f>
        <v>1</v>
      </c>
      <c r="E469" s="34" t="n">
        <f aca="false">'PL.Khoi luong'!E464</f>
        <v>0</v>
      </c>
      <c r="F469" s="34" t="n">
        <f aca="false">'PL.Khoi luong'!F464</f>
        <v>0</v>
      </c>
      <c r="G469" s="32" t="n">
        <f aca="false">E469+F469</f>
        <v>0</v>
      </c>
      <c r="H469" s="35" t="n">
        <v>15514612</v>
      </c>
      <c r="I469" s="14" t="n">
        <f aca="false">D469*H469</f>
        <v>15514612</v>
      </c>
      <c r="J469" s="14" t="n">
        <f aca="false">E469*H469</f>
        <v>0</v>
      </c>
      <c r="K469" s="14" t="n">
        <f aca="false">F469*H469</f>
        <v>0</v>
      </c>
      <c r="L469" s="14" t="n">
        <f aca="false">G469*H469</f>
        <v>0</v>
      </c>
      <c r="M469" s="27"/>
    </row>
    <row r="470" customFormat="false" ht="15" hidden="false" customHeight="false" outlineLevel="0" collapsed="false">
      <c r="A470" s="29" t="s">
        <v>939</v>
      </c>
      <c r="B470" s="27" t="s">
        <v>940</v>
      </c>
      <c r="C470" s="29" t="s">
        <v>778</v>
      </c>
      <c r="D470" s="34" t="n">
        <f aca="false">'PL.Khoi luong'!D465</f>
        <v>1</v>
      </c>
      <c r="E470" s="34" t="n">
        <f aca="false">'PL.Khoi luong'!E465</f>
        <v>0</v>
      </c>
      <c r="F470" s="34" t="n">
        <f aca="false">'PL.Khoi luong'!F465</f>
        <v>0</v>
      </c>
      <c r="G470" s="32" t="n">
        <f aca="false">E470+F470</f>
        <v>0</v>
      </c>
      <c r="H470" s="35" t="n">
        <v>7047288</v>
      </c>
      <c r="I470" s="14" t="n">
        <f aca="false">D470*H470</f>
        <v>7047288</v>
      </c>
      <c r="J470" s="14" t="n">
        <f aca="false">E470*H470</f>
        <v>0</v>
      </c>
      <c r="K470" s="14" t="n">
        <f aca="false">F470*H470</f>
        <v>0</v>
      </c>
      <c r="L470" s="14" t="n">
        <f aca="false">G470*H470</f>
        <v>0</v>
      </c>
      <c r="M470" s="27"/>
    </row>
    <row r="471" customFormat="false" ht="15" hidden="false" customHeight="false" outlineLevel="0" collapsed="false">
      <c r="A471" s="12" t="s">
        <v>941</v>
      </c>
      <c r="B471" s="13" t="s">
        <v>942</v>
      </c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</row>
    <row r="472" customFormat="false" ht="15" hidden="false" customHeight="false" outlineLevel="0" collapsed="false">
      <c r="A472" s="29" t="s">
        <v>943</v>
      </c>
      <c r="B472" s="27" t="s">
        <v>944</v>
      </c>
      <c r="C472" s="29" t="s">
        <v>111</v>
      </c>
      <c r="D472" s="34" t="n">
        <f aca="false">'PL.Khoi luong'!D467</f>
        <v>3.6936</v>
      </c>
      <c r="E472" s="34" t="n">
        <f aca="false">'PL.Khoi luong'!E467</f>
        <v>0</v>
      </c>
      <c r="F472" s="34" t="n">
        <f aca="false">'PL.Khoi luong'!F467</f>
        <v>0</v>
      </c>
      <c r="G472" s="32" t="n">
        <f aca="false">E472+F472</f>
        <v>0</v>
      </c>
      <c r="H472" s="35" t="n">
        <v>1537187.02620749</v>
      </c>
      <c r="I472" s="14" t="n">
        <f aca="false">D472*H472</f>
        <v>5677753.99999999</v>
      </c>
      <c r="J472" s="14" t="n">
        <f aca="false">E472*H472</f>
        <v>0</v>
      </c>
      <c r="K472" s="14" t="n">
        <f aca="false">F472*H472</f>
        <v>0</v>
      </c>
      <c r="L472" s="14" t="n">
        <f aca="false">G472*H472</f>
        <v>0</v>
      </c>
      <c r="M472" s="27"/>
    </row>
    <row r="473" customFormat="false" ht="15" hidden="false" customHeight="false" outlineLevel="0" collapsed="false">
      <c r="A473" s="29" t="s">
        <v>945</v>
      </c>
      <c r="B473" s="27" t="s">
        <v>946</v>
      </c>
      <c r="C473" s="29" t="s">
        <v>106</v>
      </c>
      <c r="D473" s="34" t="n">
        <f aca="false">'PL.Khoi luong'!D468</f>
        <v>0.0402</v>
      </c>
      <c r="E473" s="34" t="n">
        <f aca="false">'PL.Khoi luong'!E468</f>
        <v>0</v>
      </c>
      <c r="F473" s="34" t="n">
        <f aca="false">'PL.Khoi luong'!F468</f>
        <v>0</v>
      </c>
      <c r="G473" s="32" t="n">
        <f aca="false">E473+F473</f>
        <v>0</v>
      </c>
      <c r="H473" s="35" t="n">
        <v>6286542.28855721</v>
      </c>
      <c r="I473" s="14" t="n">
        <f aca="false">D473*H473</f>
        <v>252719</v>
      </c>
      <c r="J473" s="14" t="n">
        <f aca="false">E473*H473</f>
        <v>0</v>
      </c>
      <c r="K473" s="14" t="n">
        <f aca="false">F473*H473</f>
        <v>0</v>
      </c>
      <c r="L473" s="14" t="n">
        <f aca="false">G473*H473</f>
        <v>0</v>
      </c>
      <c r="M473" s="27"/>
    </row>
    <row r="474" customFormat="false" ht="15" hidden="false" customHeight="false" outlineLevel="0" collapsed="false">
      <c r="A474" s="29" t="s">
        <v>947</v>
      </c>
      <c r="B474" s="27" t="s">
        <v>180</v>
      </c>
      <c r="C474" s="29" t="s">
        <v>116</v>
      </c>
      <c r="D474" s="34" t="n">
        <f aca="false">'PL.Khoi luong'!D469</f>
        <v>7.238</v>
      </c>
      <c r="E474" s="34" t="n">
        <f aca="false">'PL.Khoi luong'!E469</f>
        <v>0</v>
      </c>
      <c r="F474" s="34" t="n">
        <f aca="false">'PL.Khoi luong'!F469</f>
        <v>0</v>
      </c>
      <c r="G474" s="32" t="n">
        <f aca="false">E474+F474</f>
        <v>0</v>
      </c>
      <c r="H474" s="35" t="n">
        <v>1254177.94970986</v>
      </c>
      <c r="I474" s="14" t="n">
        <f aca="false">D474*H474</f>
        <v>9077739.99999997</v>
      </c>
      <c r="J474" s="14" t="n">
        <f aca="false">E474*H474</f>
        <v>0</v>
      </c>
      <c r="K474" s="14" t="n">
        <f aca="false">F474*H474</f>
        <v>0</v>
      </c>
      <c r="L474" s="14" t="n">
        <f aca="false">G474*H474</f>
        <v>0</v>
      </c>
      <c r="M474" s="27"/>
    </row>
    <row r="475" customFormat="false" ht="15" hidden="false" customHeight="false" outlineLevel="0" collapsed="false">
      <c r="A475" s="29" t="s">
        <v>948</v>
      </c>
      <c r="B475" s="27" t="s">
        <v>946</v>
      </c>
      <c r="C475" s="29" t="s">
        <v>106</v>
      </c>
      <c r="D475" s="34" t="n">
        <f aca="false">'PL.Khoi luong'!D470</f>
        <v>0.0985</v>
      </c>
      <c r="E475" s="34" t="n">
        <f aca="false">'PL.Khoi luong'!E470</f>
        <v>0</v>
      </c>
      <c r="F475" s="34" t="n">
        <f aca="false">'PL.Khoi luong'!F470</f>
        <v>0</v>
      </c>
      <c r="G475" s="32" t="n">
        <f aca="false">E475+F475</f>
        <v>0</v>
      </c>
      <c r="H475" s="35" t="n">
        <v>6286548.22335025</v>
      </c>
      <c r="I475" s="14" t="n">
        <f aca="false">D475*H475</f>
        <v>619225</v>
      </c>
      <c r="J475" s="14" t="n">
        <f aca="false">E475*H475</f>
        <v>0</v>
      </c>
      <c r="K475" s="14" t="n">
        <f aca="false">F475*H475</f>
        <v>0</v>
      </c>
      <c r="L475" s="14" t="n">
        <f aca="false">G475*H475</f>
        <v>0</v>
      </c>
      <c r="M475" s="27"/>
    </row>
    <row r="476" customFormat="false" ht="15" hidden="false" customHeight="false" outlineLevel="0" collapsed="false">
      <c r="A476" s="29" t="s">
        <v>949</v>
      </c>
      <c r="B476" s="27" t="s">
        <v>950</v>
      </c>
      <c r="C476" s="29" t="s">
        <v>116</v>
      </c>
      <c r="D476" s="34" t="n">
        <f aca="false">'PL.Khoi luong'!D471</f>
        <v>17.1</v>
      </c>
      <c r="E476" s="34" t="n">
        <f aca="false">'PL.Khoi luong'!E471</f>
        <v>0</v>
      </c>
      <c r="F476" s="34" t="n">
        <f aca="false">'PL.Khoi luong'!F471</f>
        <v>0</v>
      </c>
      <c r="G476" s="32" t="n">
        <f aca="false">E476+F476</f>
        <v>0</v>
      </c>
      <c r="H476" s="35" t="n">
        <v>1697979.00584795</v>
      </c>
      <c r="I476" s="14" t="n">
        <f aca="false">D476*H476</f>
        <v>29035440.9999999</v>
      </c>
      <c r="J476" s="14" t="n">
        <f aca="false">E476*H476</f>
        <v>0</v>
      </c>
      <c r="K476" s="14" t="n">
        <f aca="false">F476*H476</f>
        <v>0</v>
      </c>
      <c r="L476" s="14" t="n">
        <f aca="false">G476*H476</f>
        <v>0</v>
      </c>
      <c r="M476" s="27"/>
    </row>
    <row r="477" customFormat="false" ht="26.85" hidden="false" customHeight="false" outlineLevel="0" collapsed="false">
      <c r="A477" s="29" t="s">
        <v>951</v>
      </c>
      <c r="B477" s="27" t="s">
        <v>952</v>
      </c>
      <c r="C477" s="29" t="s">
        <v>106</v>
      </c>
      <c r="D477" s="34" t="n">
        <f aca="false">'PL.Khoi luong'!D472</f>
        <v>4.4835</v>
      </c>
      <c r="E477" s="34" t="n">
        <f aca="false">'PL.Khoi luong'!E472</f>
        <v>0</v>
      </c>
      <c r="F477" s="34" t="n">
        <f aca="false">'PL.Khoi luong'!F472</f>
        <v>0</v>
      </c>
      <c r="G477" s="32" t="n">
        <f aca="false">E477+F477</f>
        <v>0</v>
      </c>
      <c r="H477" s="35" t="n">
        <v>10390889.9297424</v>
      </c>
      <c r="I477" s="14" t="n">
        <f aca="false">D477*H477</f>
        <v>46587555.0000001</v>
      </c>
      <c r="J477" s="14" t="n">
        <f aca="false">E477*H477</f>
        <v>0</v>
      </c>
      <c r="K477" s="14" t="n">
        <f aca="false">F477*H477</f>
        <v>0</v>
      </c>
      <c r="L477" s="14" t="n">
        <f aca="false">G477*H477</f>
        <v>0</v>
      </c>
      <c r="M477" s="27"/>
    </row>
    <row r="478" customFormat="false" ht="15" hidden="false" customHeight="false" outlineLevel="0" collapsed="false">
      <c r="A478" s="29" t="s">
        <v>953</v>
      </c>
      <c r="B478" s="27" t="s">
        <v>950</v>
      </c>
      <c r="C478" s="29" t="s">
        <v>116</v>
      </c>
      <c r="D478" s="34" t="n">
        <f aca="false">'PL.Khoi luong'!D473</f>
        <v>44.835</v>
      </c>
      <c r="E478" s="34" t="n">
        <f aca="false">'PL.Khoi luong'!E473</f>
        <v>0</v>
      </c>
      <c r="F478" s="34" t="n">
        <f aca="false">'PL.Khoi luong'!F473</f>
        <v>0</v>
      </c>
      <c r="G478" s="32" t="n">
        <f aca="false">E478+F478</f>
        <v>0</v>
      </c>
      <c r="H478" s="35" t="n">
        <v>1697978.98962864</v>
      </c>
      <c r="I478" s="14" t="n">
        <f aca="false">D478*H478</f>
        <v>76128888.0000001</v>
      </c>
      <c r="J478" s="14" t="n">
        <f aca="false">E478*H478</f>
        <v>0</v>
      </c>
      <c r="K478" s="14" t="n">
        <f aca="false">F478*H478</f>
        <v>0</v>
      </c>
      <c r="L478" s="14" t="n">
        <f aca="false">G478*H478</f>
        <v>0</v>
      </c>
      <c r="M478" s="27"/>
    </row>
    <row r="479" customFormat="false" ht="15" hidden="false" customHeight="false" outlineLevel="0" collapsed="false">
      <c r="A479" s="29" t="s">
        <v>954</v>
      </c>
      <c r="B479" s="27" t="s">
        <v>955</v>
      </c>
      <c r="C479" s="29" t="s">
        <v>106</v>
      </c>
      <c r="D479" s="34" t="n">
        <f aca="false">'PL.Khoi luong'!D474</f>
        <v>1.1529</v>
      </c>
      <c r="E479" s="34" t="n">
        <f aca="false">'PL.Khoi luong'!E474</f>
        <v>0</v>
      </c>
      <c r="F479" s="34" t="n">
        <f aca="false">'PL.Khoi luong'!F474</f>
        <v>0</v>
      </c>
      <c r="G479" s="32" t="n">
        <f aca="false">E479+F479</f>
        <v>0</v>
      </c>
      <c r="H479" s="35" t="n">
        <v>17061955.9372018</v>
      </c>
      <c r="I479" s="14" t="n">
        <f aca="false">D479*H479</f>
        <v>19670729</v>
      </c>
      <c r="J479" s="14" t="n">
        <f aca="false">E479*H479</f>
        <v>0</v>
      </c>
      <c r="K479" s="14" t="n">
        <f aca="false">F479*H479</f>
        <v>0</v>
      </c>
      <c r="L479" s="14" t="n">
        <f aca="false">G479*H479</f>
        <v>0</v>
      </c>
      <c r="M479" s="27"/>
    </row>
    <row r="480" customFormat="false" ht="15" hidden="false" customHeight="false" outlineLevel="0" collapsed="false">
      <c r="A480" s="29" t="s">
        <v>956</v>
      </c>
      <c r="B480" s="27" t="s">
        <v>957</v>
      </c>
      <c r="C480" s="29" t="s">
        <v>116</v>
      </c>
      <c r="D480" s="34" t="n">
        <f aca="false">'PL.Khoi luong'!D475</f>
        <v>13.302</v>
      </c>
      <c r="E480" s="34" t="n">
        <f aca="false">'PL.Khoi luong'!E475</f>
        <v>0</v>
      </c>
      <c r="F480" s="34" t="n">
        <f aca="false">'PL.Khoi luong'!F475</f>
        <v>0</v>
      </c>
      <c r="G480" s="32" t="n">
        <f aca="false">E480+F480</f>
        <v>0</v>
      </c>
      <c r="H480" s="35" t="n">
        <v>2084986.01714028</v>
      </c>
      <c r="I480" s="14" t="n">
        <f aca="false">D480*H480</f>
        <v>27734484</v>
      </c>
      <c r="J480" s="14" t="n">
        <f aca="false">E480*H480</f>
        <v>0</v>
      </c>
      <c r="K480" s="14" t="n">
        <f aca="false">F480*H480</f>
        <v>0</v>
      </c>
      <c r="L480" s="14" t="n">
        <f aca="false">G480*H480</f>
        <v>0</v>
      </c>
      <c r="M480" s="27"/>
    </row>
    <row r="481" customFormat="false" ht="15" hidden="false" customHeight="false" outlineLevel="0" collapsed="false">
      <c r="A481" s="29" t="s">
        <v>958</v>
      </c>
      <c r="B481" s="27" t="s">
        <v>959</v>
      </c>
      <c r="C481" s="29" t="s">
        <v>149</v>
      </c>
      <c r="D481" s="34" t="n">
        <f aca="false">'PL.Khoi luong'!D476</f>
        <v>1.7107</v>
      </c>
      <c r="E481" s="34" t="n">
        <f aca="false">'PL.Khoi luong'!E476</f>
        <v>0</v>
      </c>
      <c r="F481" s="34" t="n">
        <f aca="false">'PL.Khoi luong'!F476</f>
        <v>0</v>
      </c>
      <c r="G481" s="32" t="n">
        <f aca="false">E481+F481</f>
        <v>0</v>
      </c>
      <c r="H481" s="35" t="n">
        <v>22904380.0783305</v>
      </c>
      <c r="I481" s="14" t="n">
        <f aca="false">D481*H481</f>
        <v>39182523</v>
      </c>
      <c r="J481" s="14" t="n">
        <f aca="false">E481*H481</f>
        <v>0</v>
      </c>
      <c r="K481" s="14" t="n">
        <f aca="false">F481*H481</f>
        <v>0</v>
      </c>
      <c r="L481" s="14" t="n">
        <f aca="false">G481*H481</f>
        <v>0</v>
      </c>
      <c r="M481" s="27"/>
    </row>
    <row r="482" customFormat="false" ht="15" hidden="false" customHeight="false" outlineLevel="0" collapsed="false">
      <c r="A482" s="29" t="s">
        <v>960</v>
      </c>
      <c r="B482" s="27" t="s">
        <v>961</v>
      </c>
      <c r="C482" s="29" t="s">
        <v>149</v>
      </c>
      <c r="D482" s="34" t="n">
        <f aca="false">'PL.Khoi luong'!D477</f>
        <v>10.9979</v>
      </c>
      <c r="E482" s="34" t="n">
        <f aca="false">'PL.Khoi luong'!E477</f>
        <v>0</v>
      </c>
      <c r="F482" s="34" t="n">
        <f aca="false">'PL.Khoi luong'!F477</f>
        <v>0</v>
      </c>
      <c r="G482" s="32" t="n">
        <f aca="false">E482+F482</f>
        <v>0</v>
      </c>
      <c r="H482" s="35" t="n">
        <v>22691077.0237955</v>
      </c>
      <c r="I482" s="14" t="n">
        <f aca="false">D482*H482</f>
        <v>249554196.000001</v>
      </c>
      <c r="J482" s="14" t="n">
        <f aca="false">E482*H482</f>
        <v>0</v>
      </c>
      <c r="K482" s="14" t="n">
        <f aca="false">F482*H482</f>
        <v>0</v>
      </c>
      <c r="L482" s="14" t="n">
        <f aca="false">G482*H482</f>
        <v>0</v>
      </c>
      <c r="M482" s="27"/>
    </row>
    <row r="483" customFormat="false" ht="15" hidden="false" customHeight="false" outlineLevel="0" collapsed="false">
      <c r="A483" s="29" t="s">
        <v>962</v>
      </c>
      <c r="B483" s="27" t="s">
        <v>963</v>
      </c>
      <c r="C483" s="29" t="s">
        <v>149</v>
      </c>
      <c r="D483" s="34" t="n">
        <f aca="false">'PL.Khoi luong'!D478</f>
        <v>1.0158</v>
      </c>
      <c r="E483" s="34" t="n">
        <f aca="false">'PL.Khoi luong'!E478</f>
        <v>0</v>
      </c>
      <c r="F483" s="34" t="n">
        <f aca="false">'PL.Khoi luong'!F478</f>
        <v>0</v>
      </c>
      <c r="G483" s="32" t="n">
        <f aca="false">E483+F483</f>
        <v>0</v>
      </c>
      <c r="H483" s="35" t="n">
        <v>22000315.0226423</v>
      </c>
      <c r="I483" s="14" t="n">
        <f aca="false">D483*H483</f>
        <v>22347920.0000001</v>
      </c>
      <c r="J483" s="14" t="n">
        <f aca="false">E483*H483</f>
        <v>0</v>
      </c>
      <c r="K483" s="14" t="n">
        <f aca="false">F483*H483</f>
        <v>0</v>
      </c>
      <c r="L483" s="14" t="n">
        <f aca="false">G483*H483</f>
        <v>0</v>
      </c>
      <c r="M483" s="27"/>
    </row>
    <row r="484" customFormat="false" ht="15" hidden="false" customHeight="false" outlineLevel="0" collapsed="false">
      <c r="A484" s="29" t="s">
        <v>964</v>
      </c>
      <c r="B484" s="27" t="s">
        <v>965</v>
      </c>
      <c r="C484" s="29" t="s">
        <v>106</v>
      </c>
      <c r="D484" s="34" t="n">
        <f aca="false">'PL.Khoi luong'!D479</f>
        <v>0.4978</v>
      </c>
      <c r="E484" s="34" t="n">
        <f aca="false">'PL.Khoi luong'!E479</f>
        <v>0</v>
      </c>
      <c r="F484" s="34" t="n">
        <f aca="false">'PL.Khoi luong'!F479</f>
        <v>0</v>
      </c>
      <c r="G484" s="32" t="n">
        <f aca="false">E484+F484</f>
        <v>0</v>
      </c>
      <c r="H484" s="35" t="n">
        <v>15305640.8196063</v>
      </c>
      <c r="I484" s="14" t="n">
        <f aca="false">D484*H484</f>
        <v>7619148.00000002</v>
      </c>
      <c r="J484" s="14" t="n">
        <f aca="false">E484*H484</f>
        <v>0</v>
      </c>
      <c r="K484" s="14" t="n">
        <f aca="false">F484*H484</f>
        <v>0</v>
      </c>
      <c r="L484" s="14" t="n">
        <f aca="false">G484*H484</f>
        <v>0</v>
      </c>
      <c r="M484" s="27"/>
    </row>
    <row r="485" customFormat="false" ht="15" hidden="false" customHeight="false" outlineLevel="0" collapsed="false">
      <c r="A485" s="29" t="s">
        <v>966</v>
      </c>
      <c r="B485" s="27" t="s">
        <v>967</v>
      </c>
      <c r="C485" s="29" t="s">
        <v>116</v>
      </c>
      <c r="D485" s="34" t="n">
        <f aca="false">'PL.Khoi luong'!D480</f>
        <v>0.0747</v>
      </c>
      <c r="E485" s="34" t="n">
        <f aca="false">'PL.Khoi luong'!E480</f>
        <v>0</v>
      </c>
      <c r="F485" s="34" t="n">
        <f aca="false">'PL.Khoi luong'!F480</f>
        <v>0</v>
      </c>
      <c r="G485" s="32" t="n">
        <f aca="false">E485+F485</f>
        <v>0</v>
      </c>
      <c r="H485" s="35" t="n">
        <v>1848366.80053548</v>
      </c>
      <c r="I485" s="14" t="n">
        <f aca="false">D485*H485</f>
        <v>138073</v>
      </c>
      <c r="J485" s="14" t="n">
        <f aca="false">E485*H485</f>
        <v>0</v>
      </c>
      <c r="K485" s="14" t="n">
        <f aca="false">F485*H485</f>
        <v>0</v>
      </c>
      <c r="L485" s="14" t="n">
        <f aca="false">G485*H485</f>
        <v>0</v>
      </c>
      <c r="M485" s="27"/>
    </row>
    <row r="486" customFormat="false" ht="15" hidden="false" customHeight="false" outlineLevel="0" collapsed="false">
      <c r="A486" s="12" t="s">
        <v>968</v>
      </c>
      <c r="B486" s="13" t="s">
        <v>969</v>
      </c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</row>
    <row r="487" customFormat="false" ht="15" hidden="false" customHeight="false" outlineLevel="0" collapsed="false">
      <c r="A487" s="12" t="s">
        <v>970</v>
      </c>
      <c r="B487" s="28" t="s">
        <v>971</v>
      </c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</row>
    <row r="488" customFormat="false" ht="15" hidden="false" customHeight="false" outlineLevel="0" collapsed="false">
      <c r="A488" s="29" t="s">
        <v>972</v>
      </c>
      <c r="B488" s="27" t="s">
        <v>944</v>
      </c>
      <c r="C488" s="29" t="s">
        <v>111</v>
      </c>
      <c r="D488" s="34" t="n">
        <f aca="false">'PL.Khoi luong'!D483</f>
        <v>0.6318</v>
      </c>
      <c r="E488" s="34" t="n">
        <f aca="false">'PL.Khoi luong'!E483</f>
        <v>0</v>
      </c>
      <c r="F488" s="34" t="n">
        <f aca="false">'PL.Khoi luong'!F483</f>
        <v>0</v>
      </c>
      <c r="G488" s="32" t="n">
        <f aca="false">E488+F488</f>
        <v>0</v>
      </c>
      <c r="H488" s="35" t="n">
        <v>3817749.28774929</v>
      </c>
      <c r="I488" s="14" t="n">
        <f aca="false">D488*H488</f>
        <v>2412054</v>
      </c>
      <c r="J488" s="14" t="n">
        <f aca="false">E488*H488</f>
        <v>0</v>
      </c>
      <c r="K488" s="14" t="n">
        <f aca="false">F488*H488</f>
        <v>0</v>
      </c>
      <c r="L488" s="14" t="n">
        <f aca="false">G488*H488</f>
        <v>0</v>
      </c>
      <c r="M488" s="27"/>
    </row>
    <row r="489" customFormat="false" ht="15" hidden="false" customHeight="false" outlineLevel="0" collapsed="false">
      <c r="A489" s="29" t="s">
        <v>973</v>
      </c>
      <c r="B489" s="27" t="s">
        <v>946</v>
      </c>
      <c r="C489" s="29" t="s">
        <v>106</v>
      </c>
      <c r="D489" s="34" t="n">
        <f aca="false">'PL.Khoi luong'!D484</f>
        <v>0.0592</v>
      </c>
      <c r="E489" s="34" t="n">
        <f aca="false">'PL.Khoi luong'!E484</f>
        <v>0</v>
      </c>
      <c r="F489" s="34" t="n">
        <f aca="false">'PL.Khoi luong'!F484</f>
        <v>0</v>
      </c>
      <c r="G489" s="32" t="n">
        <f aca="false">E489+F489</f>
        <v>0</v>
      </c>
      <c r="H489" s="35" t="n">
        <v>6286554.05405405</v>
      </c>
      <c r="I489" s="14" t="n">
        <f aca="false">D489*H489</f>
        <v>372164</v>
      </c>
      <c r="J489" s="14" t="n">
        <f aca="false">E489*H489</f>
        <v>0</v>
      </c>
      <c r="K489" s="14" t="n">
        <f aca="false">F489*H489</f>
        <v>0</v>
      </c>
      <c r="L489" s="14" t="n">
        <f aca="false">G489*H489</f>
        <v>0</v>
      </c>
      <c r="M489" s="27"/>
    </row>
    <row r="490" customFormat="false" ht="15" hidden="false" customHeight="false" outlineLevel="0" collapsed="false">
      <c r="A490" s="29" t="s">
        <v>974</v>
      </c>
      <c r="B490" s="27" t="s">
        <v>975</v>
      </c>
      <c r="C490" s="29" t="s">
        <v>116</v>
      </c>
      <c r="D490" s="34" t="n">
        <f aca="false">'PL.Khoi luong'!D485</f>
        <v>0.676</v>
      </c>
      <c r="E490" s="34" t="n">
        <f aca="false">'PL.Khoi luong'!E485</f>
        <v>0</v>
      </c>
      <c r="F490" s="34" t="n">
        <f aca="false">'PL.Khoi luong'!F485</f>
        <v>0</v>
      </c>
      <c r="G490" s="32" t="n">
        <f aca="false">E490+F490</f>
        <v>0</v>
      </c>
      <c r="H490" s="35" t="n">
        <v>1329213.01775148</v>
      </c>
      <c r="I490" s="14" t="n">
        <f aca="false">D490*H490</f>
        <v>898548.000000001</v>
      </c>
      <c r="J490" s="14" t="n">
        <f aca="false">E490*H490</f>
        <v>0</v>
      </c>
      <c r="K490" s="14" t="n">
        <f aca="false">F490*H490</f>
        <v>0</v>
      </c>
      <c r="L490" s="14" t="n">
        <f aca="false">G490*H490</f>
        <v>0</v>
      </c>
      <c r="M490" s="27"/>
    </row>
    <row r="491" customFormat="false" ht="15" hidden="false" customHeight="false" outlineLevel="0" collapsed="false">
      <c r="A491" s="29" t="s">
        <v>976</v>
      </c>
      <c r="B491" s="27" t="s">
        <v>977</v>
      </c>
      <c r="C491" s="29" t="s">
        <v>116</v>
      </c>
      <c r="D491" s="34" t="n">
        <f aca="false">'PL.Khoi luong'!D486</f>
        <v>1.5625</v>
      </c>
      <c r="E491" s="34" t="n">
        <f aca="false">'PL.Khoi luong'!E486</f>
        <v>0</v>
      </c>
      <c r="F491" s="34" t="n">
        <f aca="false">'PL.Khoi luong'!F486</f>
        <v>0</v>
      </c>
      <c r="G491" s="32" t="n">
        <f aca="false">E491+F491</f>
        <v>0</v>
      </c>
      <c r="H491" s="35" t="n">
        <v>1462108.16</v>
      </c>
      <c r="I491" s="14" t="n">
        <f aca="false">D491*H491</f>
        <v>2284544</v>
      </c>
      <c r="J491" s="14" t="n">
        <f aca="false">E491*H491</f>
        <v>0</v>
      </c>
      <c r="K491" s="14" t="n">
        <f aca="false">F491*H491</f>
        <v>0</v>
      </c>
      <c r="L491" s="14" t="n">
        <f aca="false">G491*H491</f>
        <v>0</v>
      </c>
      <c r="M491" s="27"/>
    </row>
    <row r="492" customFormat="false" ht="15" hidden="false" customHeight="false" outlineLevel="0" collapsed="false">
      <c r="A492" s="29" t="s">
        <v>978</v>
      </c>
      <c r="B492" s="27" t="s">
        <v>946</v>
      </c>
      <c r="C492" s="29" t="s">
        <v>106</v>
      </c>
      <c r="D492" s="34" t="n">
        <f aca="false">'PL.Khoi luong'!D487</f>
        <v>0.0388</v>
      </c>
      <c r="E492" s="34" t="n">
        <f aca="false">'PL.Khoi luong'!E487</f>
        <v>0</v>
      </c>
      <c r="F492" s="34" t="n">
        <f aca="false">'PL.Khoi luong'!F487</f>
        <v>0</v>
      </c>
      <c r="G492" s="32" t="n">
        <f aca="false">E492+F492</f>
        <v>0</v>
      </c>
      <c r="H492" s="35" t="n">
        <v>6286546.39175258</v>
      </c>
      <c r="I492" s="14" t="n">
        <f aca="false">D492*H492</f>
        <v>243918</v>
      </c>
      <c r="J492" s="14" t="n">
        <f aca="false">E492*H492</f>
        <v>0</v>
      </c>
      <c r="K492" s="14" t="n">
        <f aca="false">F492*H492</f>
        <v>0</v>
      </c>
      <c r="L492" s="14" t="n">
        <f aca="false">G492*H492</f>
        <v>0</v>
      </c>
      <c r="M492" s="27"/>
    </row>
    <row r="493" customFormat="false" ht="15" hidden="false" customHeight="false" outlineLevel="0" collapsed="false">
      <c r="A493" s="29" t="s">
        <v>979</v>
      </c>
      <c r="B493" s="27" t="s">
        <v>980</v>
      </c>
      <c r="C493" s="29" t="s">
        <v>116</v>
      </c>
      <c r="D493" s="34" t="n">
        <f aca="false">'PL.Khoi luong'!D488</f>
        <v>0.6208</v>
      </c>
      <c r="E493" s="34" t="n">
        <f aca="false">'PL.Khoi luong'!E488</f>
        <v>0</v>
      </c>
      <c r="F493" s="34" t="n">
        <f aca="false">'PL.Khoi luong'!F488</f>
        <v>0</v>
      </c>
      <c r="G493" s="32" t="n">
        <f aca="false">E493+F493</f>
        <v>0</v>
      </c>
      <c r="H493" s="35" t="n">
        <v>1329212.30670103</v>
      </c>
      <c r="I493" s="14" t="n">
        <f aca="false">D493*H493</f>
        <v>825174.999999999</v>
      </c>
      <c r="J493" s="14" t="n">
        <f aca="false">E493*H493</f>
        <v>0</v>
      </c>
      <c r="K493" s="14" t="n">
        <f aca="false">F493*H493</f>
        <v>0</v>
      </c>
      <c r="L493" s="14" t="n">
        <f aca="false">G493*H493</f>
        <v>0</v>
      </c>
      <c r="M493" s="27"/>
    </row>
    <row r="494" customFormat="false" ht="15" hidden="false" customHeight="false" outlineLevel="0" collapsed="false">
      <c r="A494" s="29" t="s">
        <v>981</v>
      </c>
      <c r="B494" s="27" t="s">
        <v>946</v>
      </c>
      <c r="C494" s="29" t="s">
        <v>106</v>
      </c>
      <c r="D494" s="34" t="n">
        <f aca="false">'PL.Khoi luong'!D489</f>
        <v>0.1552</v>
      </c>
      <c r="E494" s="34" t="n">
        <f aca="false">'PL.Khoi luong'!E489</f>
        <v>0</v>
      </c>
      <c r="F494" s="34" t="n">
        <f aca="false">'PL.Khoi luong'!F489</f>
        <v>0</v>
      </c>
      <c r="G494" s="32" t="n">
        <f aca="false">E494+F494</f>
        <v>0</v>
      </c>
      <c r="H494" s="35" t="n">
        <v>6286552.83505155</v>
      </c>
      <c r="I494" s="14" t="n">
        <f aca="false">D494*H494</f>
        <v>975673.000000001</v>
      </c>
      <c r="J494" s="14" t="n">
        <f aca="false">E494*H494</f>
        <v>0</v>
      </c>
      <c r="K494" s="14" t="n">
        <f aca="false">F494*H494</f>
        <v>0</v>
      </c>
      <c r="L494" s="14" t="n">
        <f aca="false">G494*H494</f>
        <v>0</v>
      </c>
      <c r="M494" s="27"/>
    </row>
    <row r="495" customFormat="false" ht="15" hidden="false" customHeight="false" outlineLevel="0" collapsed="false">
      <c r="A495" s="29" t="s">
        <v>982</v>
      </c>
      <c r="B495" s="27" t="s">
        <v>983</v>
      </c>
      <c r="C495" s="29" t="s">
        <v>116</v>
      </c>
      <c r="D495" s="34" t="n">
        <f aca="false">'PL.Khoi luong'!D490</f>
        <v>1.7072</v>
      </c>
      <c r="E495" s="34" t="n">
        <f aca="false">'PL.Khoi luong'!E490</f>
        <v>0</v>
      </c>
      <c r="F495" s="34" t="n">
        <f aca="false">'PL.Khoi luong'!F490</f>
        <v>0</v>
      </c>
      <c r="G495" s="32" t="n">
        <f aca="false">E495+F495</f>
        <v>0</v>
      </c>
      <c r="H495" s="35" t="n">
        <v>1974820.75913777</v>
      </c>
      <c r="I495" s="14" t="n">
        <f aca="false">D495*H495</f>
        <v>3371414</v>
      </c>
      <c r="J495" s="14" t="n">
        <f aca="false">E495*H495</f>
        <v>0</v>
      </c>
      <c r="K495" s="14" t="n">
        <f aca="false">F495*H495</f>
        <v>0</v>
      </c>
      <c r="L495" s="14" t="n">
        <f aca="false">G495*H495</f>
        <v>0</v>
      </c>
      <c r="M495" s="27"/>
    </row>
    <row r="496" customFormat="false" ht="15" hidden="false" customHeight="false" outlineLevel="0" collapsed="false">
      <c r="A496" s="29" t="s">
        <v>984</v>
      </c>
      <c r="B496" s="27" t="s">
        <v>946</v>
      </c>
      <c r="C496" s="29" t="s">
        <v>106</v>
      </c>
      <c r="D496" s="34" t="n">
        <f aca="false">'PL.Khoi luong'!D491</f>
        <v>0.0388</v>
      </c>
      <c r="E496" s="34" t="n">
        <f aca="false">'PL.Khoi luong'!E491</f>
        <v>0</v>
      </c>
      <c r="F496" s="34" t="n">
        <f aca="false">'PL.Khoi luong'!F491</f>
        <v>0</v>
      </c>
      <c r="G496" s="32" t="n">
        <f aca="false">E496+F496</f>
        <v>0</v>
      </c>
      <c r="H496" s="35" t="n">
        <v>6286546.39175258</v>
      </c>
      <c r="I496" s="14" t="n">
        <f aca="false">D496*H496</f>
        <v>243918</v>
      </c>
      <c r="J496" s="14" t="n">
        <f aca="false">E496*H496</f>
        <v>0</v>
      </c>
      <c r="K496" s="14" t="n">
        <f aca="false">F496*H496</f>
        <v>0</v>
      </c>
      <c r="L496" s="14" t="n">
        <f aca="false">G496*H496</f>
        <v>0</v>
      </c>
      <c r="M496" s="27"/>
    </row>
    <row r="497" customFormat="false" ht="15" hidden="false" customHeight="false" outlineLevel="0" collapsed="false">
      <c r="A497" s="29" t="s">
        <v>985</v>
      </c>
      <c r="B497" s="27" t="s">
        <v>983</v>
      </c>
      <c r="C497" s="29" t="s">
        <v>116</v>
      </c>
      <c r="D497" s="34" t="n">
        <f aca="false">'PL.Khoi luong'!D492</f>
        <v>0.4268</v>
      </c>
      <c r="E497" s="34" t="n">
        <f aca="false">'PL.Khoi luong'!E492</f>
        <v>0</v>
      </c>
      <c r="F497" s="34" t="n">
        <f aca="false">'PL.Khoi luong'!F492</f>
        <v>0</v>
      </c>
      <c r="G497" s="32" t="n">
        <f aca="false">E497+F497</f>
        <v>0</v>
      </c>
      <c r="H497" s="35" t="n">
        <v>1974821.93064667</v>
      </c>
      <c r="I497" s="14" t="n">
        <f aca="false">D497*H497</f>
        <v>842853.999999999</v>
      </c>
      <c r="J497" s="14" t="n">
        <f aca="false">E497*H497</f>
        <v>0</v>
      </c>
      <c r="K497" s="14" t="n">
        <f aca="false">F497*H497</f>
        <v>0</v>
      </c>
      <c r="L497" s="14" t="n">
        <f aca="false">G497*H497</f>
        <v>0</v>
      </c>
      <c r="M497" s="27"/>
    </row>
    <row r="498" customFormat="false" ht="15" hidden="false" customHeight="false" outlineLevel="0" collapsed="false">
      <c r="A498" s="29" t="s">
        <v>986</v>
      </c>
      <c r="B498" s="27" t="s">
        <v>987</v>
      </c>
      <c r="C498" s="29" t="s">
        <v>106</v>
      </c>
      <c r="D498" s="34" t="n">
        <f aca="false">'PL.Khoi luong'!D493</f>
        <v>0.0493</v>
      </c>
      <c r="E498" s="34" t="n">
        <f aca="false">'PL.Khoi luong'!E493</f>
        <v>0</v>
      </c>
      <c r="F498" s="34" t="n">
        <f aca="false">'PL.Khoi luong'!F493</f>
        <v>0</v>
      </c>
      <c r="G498" s="32" t="n">
        <f aca="false">E498+F498</f>
        <v>0</v>
      </c>
      <c r="H498" s="35" t="n">
        <v>15424604.4624746</v>
      </c>
      <c r="I498" s="14" t="n">
        <f aca="false">D498*H498</f>
        <v>760432.999999998</v>
      </c>
      <c r="J498" s="14" t="n">
        <f aca="false">E498*H498</f>
        <v>0</v>
      </c>
      <c r="K498" s="14" t="n">
        <f aca="false">F498*H498</f>
        <v>0</v>
      </c>
      <c r="L498" s="14" t="n">
        <f aca="false">G498*H498</f>
        <v>0</v>
      </c>
      <c r="M498" s="27"/>
    </row>
    <row r="499" customFormat="false" ht="15" hidden="false" customHeight="false" outlineLevel="0" collapsed="false">
      <c r="A499" s="29" t="s">
        <v>988</v>
      </c>
      <c r="B499" s="27" t="s">
        <v>989</v>
      </c>
      <c r="C499" s="29" t="s">
        <v>116</v>
      </c>
      <c r="D499" s="34" t="n">
        <f aca="false">'PL.Khoi luong'!D494</f>
        <v>0.271</v>
      </c>
      <c r="E499" s="34" t="n">
        <f aca="false">'PL.Khoi luong'!E494</f>
        <v>0</v>
      </c>
      <c r="F499" s="34" t="n">
        <f aca="false">'PL.Khoi luong'!F494</f>
        <v>0</v>
      </c>
      <c r="G499" s="32" t="n">
        <f aca="false">E499+F499</f>
        <v>0</v>
      </c>
      <c r="H499" s="35" t="n">
        <v>2172225.09225092</v>
      </c>
      <c r="I499" s="14" t="n">
        <f aca="false">D499*H499</f>
        <v>588672.999999999</v>
      </c>
      <c r="J499" s="14" t="n">
        <f aca="false">E499*H499</f>
        <v>0</v>
      </c>
      <c r="K499" s="14" t="n">
        <f aca="false">F499*H499</f>
        <v>0</v>
      </c>
      <c r="L499" s="14" t="n">
        <f aca="false">G499*H499</f>
        <v>0</v>
      </c>
      <c r="M499" s="27"/>
    </row>
    <row r="500" customFormat="false" ht="15" hidden="false" customHeight="false" outlineLevel="0" collapsed="false">
      <c r="A500" s="29" t="s">
        <v>990</v>
      </c>
      <c r="B500" s="27" t="s">
        <v>959</v>
      </c>
      <c r="C500" s="29" t="s">
        <v>149</v>
      </c>
      <c r="D500" s="34" t="n">
        <f aca="false">'PL.Khoi luong'!D495</f>
        <v>0.412</v>
      </c>
      <c r="E500" s="34" t="n">
        <f aca="false">'PL.Khoi luong'!E495</f>
        <v>0</v>
      </c>
      <c r="F500" s="34" t="n">
        <f aca="false">'PL.Khoi luong'!F495</f>
        <v>0</v>
      </c>
      <c r="G500" s="32" t="n">
        <f aca="false">E500+F500</f>
        <v>0</v>
      </c>
      <c r="H500" s="35" t="n">
        <v>22904381.0679612</v>
      </c>
      <c r="I500" s="14" t="n">
        <f aca="false">D500*H500</f>
        <v>9436605.00000002</v>
      </c>
      <c r="J500" s="14" t="n">
        <f aca="false">E500*H500</f>
        <v>0</v>
      </c>
      <c r="K500" s="14" t="n">
        <f aca="false">F500*H500</f>
        <v>0</v>
      </c>
      <c r="L500" s="14" t="n">
        <f aca="false">G500*H500</f>
        <v>0</v>
      </c>
      <c r="M500" s="27"/>
    </row>
    <row r="501" customFormat="false" ht="15" hidden="false" customHeight="false" outlineLevel="0" collapsed="false">
      <c r="A501" s="29" t="s">
        <v>991</v>
      </c>
      <c r="B501" s="27" t="s">
        <v>961</v>
      </c>
      <c r="C501" s="29" t="s">
        <v>149</v>
      </c>
      <c r="D501" s="34" t="n">
        <f aca="false">'PL.Khoi luong'!D496</f>
        <v>0.5446</v>
      </c>
      <c r="E501" s="34" t="n">
        <f aca="false">'PL.Khoi luong'!E496</f>
        <v>0</v>
      </c>
      <c r="F501" s="34" t="n">
        <f aca="false">'PL.Khoi luong'!F496</f>
        <v>0</v>
      </c>
      <c r="G501" s="32" t="n">
        <f aca="false">E501+F501</f>
        <v>0</v>
      </c>
      <c r="H501" s="35" t="n">
        <v>22691077.8553066</v>
      </c>
      <c r="I501" s="14" t="n">
        <f aca="false">D501*H501</f>
        <v>12357561</v>
      </c>
      <c r="J501" s="14" t="n">
        <f aca="false">E501*H501</f>
        <v>0</v>
      </c>
      <c r="K501" s="14" t="n">
        <f aca="false">F501*H501</f>
        <v>0</v>
      </c>
      <c r="L501" s="14" t="n">
        <f aca="false">G501*H501</f>
        <v>0</v>
      </c>
      <c r="M501" s="27"/>
    </row>
    <row r="502" customFormat="false" ht="26.85" hidden="false" customHeight="false" outlineLevel="0" collapsed="false">
      <c r="A502" s="29" t="s">
        <v>992</v>
      </c>
      <c r="B502" s="27" t="s">
        <v>993</v>
      </c>
      <c r="C502" s="29" t="s">
        <v>116</v>
      </c>
      <c r="D502" s="34" t="n">
        <f aca="false">'PL.Khoi luong'!D497</f>
        <v>3.2987</v>
      </c>
      <c r="E502" s="34" t="n">
        <f aca="false">'PL.Khoi luong'!E497</f>
        <v>0</v>
      </c>
      <c r="F502" s="34" t="n">
        <f aca="false">'PL.Khoi luong'!F497</f>
        <v>0</v>
      </c>
      <c r="G502" s="32" t="n">
        <f aca="false">E502+F502</f>
        <v>0</v>
      </c>
      <c r="H502" s="35" t="n">
        <v>1691858.00466851</v>
      </c>
      <c r="I502" s="14" t="n">
        <f aca="false">D502*H502</f>
        <v>5580932.00000001</v>
      </c>
      <c r="J502" s="14" t="n">
        <f aca="false">E502*H502</f>
        <v>0</v>
      </c>
      <c r="K502" s="14" t="n">
        <f aca="false">F502*H502</f>
        <v>0</v>
      </c>
      <c r="L502" s="14" t="n">
        <f aca="false">G502*H502</f>
        <v>0</v>
      </c>
      <c r="M502" s="27"/>
    </row>
    <row r="503" customFormat="false" ht="15" hidden="false" customHeight="false" outlineLevel="0" collapsed="false">
      <c r="A503" s="29" t="s">
        <v>994</v>
      </c>
      <c r="B503" s="27" t="s">
        <v>995</v>
      </c>
      <c r="C503" s="29" t="s">
        <v>116</v>
      </c>
      <c r="D503" s="34" t="n">
        <f aca="false">'PL.Khoi luong'!D498</f>
        <v>0.5034</v>
      </c>
      <c r="E503" s="34" t="n">
        <f aca="false">'PL.Khoi luong'!E498</f>
        <v>0</v>
      </c>
      <c r="F503" s="34" t="n">
        <f aca="false">'PL.Khoi luong'!F498</f>
        <v>0</v>
      </c>
      <c r="G503" s="32" t="n">
        <f aca="false">E503+F503</f>
        <v>0</v>
      </c>
      <c r="H503" s="35" t="n">
        <v>2286756.05880016</v>
      </c>
      <c r="I503" s="14" t="n">
        <f aca="false">D503*H503</f>
        <v>1151153</v>
      </c>
      <c r="J503" s="14" t="n">
        <f aca="false">E503*H503</f>
        <v>0</v>
      </c>
      <c r="K503" s="14" t="n">
        <f aca="false">F503*H503</f>
        <v>0</v>
      </c>
      <c r="L503" s="14" t="n">
        <f aca="false">G503*H503</f>
        <v>0</v>
      </c>
      <c r="M503" s="27"/>
    </row>
    <row r="504" customFormat="false" ht="15" hidden="false" customHeight="false" outlineLevel="0" collapsed="false">
      <c r="A504" s="29" t="s">
        <v>996</v>
      </c>
      <c r="B504" s="27" t="s">
        <v>997</v>
      </c>
      <c r="C504" s="29" t="s">
        <v>106</v>
      </c>
      <c r="D504" s="34" t="n">
        <f aca="false">'PL.Khoi luong'!D499</f>
        <v>0.0915</v>
      </c>
      <c r="E504" s="34" t="n">
        <f aca="false">'PL.Khoi luong'!E499</f>
        <v>0</v>
      </c>
      <c r="F504" s="34" t="n">
        <f aca="false">'PL.Khoi luong'!F499</f>
        <v>0</v>
      </c>
      <c r="G504" s="32" t="n">
        <f aca="false">E504+F504</f>
        <v>0</v>
      </c>
      <c r="H504" s="35" t="n">
        <v>16548043.715847</v>
      </c>
      <c r="I504" s="14" t="n">
        <f aca="false">D504*H504</f>
        <v>1514146</v>
      </c>
      <c r="J504" s="14" t="n">
        <f aca="false">E504*H504</f>
        <v>0</v>
      </c>
      <c r="K504" s="14" t="n">
        <f aca="false">F504*H504</f>
        <v>0</v>
      </c>
      <c r="L504" s="14" t="n">
        <f aca="false">G504*H504</f>
        <v>0</v>
      </c>
      <c r="M504" s="27"/>
    </row>
    <row r="505" customFormat="false" ht="26.85" hidden="false" customHeight="false" outlineLevel="0" collapsed="false">
      <c r="A505" s="29" t="s">
        <v>998</v>
      </c>
      <c r="B505" s="27" t="s">
        <v>993</v>
      </c>
      <c r="C505" s="29" t="s">
        <v>116</v>
      </c>
      <c r="D505" s="34" t="n">
        <f aca="false">'PL.Khoi luong'!D500</f>
        <v>4.3124</v>
      </c>
      <c r="E505" s="34" t="n">
        <f aca="false">'PL.Khoi luong'!E500</f>
        <v>0</v>
      </c>
      <c r="F505" s="34" t="n">
        <f aca="false">'PL.Khoi luong'!F500</f>
        <v>0</v>
      </c>
      <c r="G505" s="32" t="n">
        <f aca="false">E505+F505</f>
        <v>0</v>
      </c>
      <c r="H505" s="35" t="n">
        <v>1883531.90798627</v>
      </c>
      <c r="I505" s="14" t="n">
        <f aca="false">D505*H505</f>
        <v>8122542.99999999</v>
      </c>
      <c r="J505" s="14" t="n">
        <f aca="false">E505*H505</f>
        <v>0</v>
      </c>
      <c r="K505" s="14" t="n">
        <f aca="false">F505*H505</f>
        <v>0</v>
      </c>
      <c r="L505" s="14" t="n">
        <f aca="false">G505*H505</f>
        <v>0</v>
      </c>
      <c r="M505" s="27"/>
    </row>
    <row r="506" customFormat="false" ht="15" hidden="false" customHeight="false" outlineLevel="0" collapsed="false">
      <c r="A506" s="29" t="s">
        <v>999</v>
      </c>
      <c r="B506" s="27" t="s">
        <v>1000</v>
      </c>
      <c r="C506" s="29" t="s">
        <v>131</v>
      </c>
      <c r="D506" s="34" t="n">
        <f aca="false">'PL.Khoi luong'!D501</f>
        <v>39.2036</v>
      </c>
      <c r="E506" s="34" t="n">
        <f aca="false">'PL.Khoi luong'!E501</f>
        <v>0</v>
      </c>
      <c r="F506" s="34" t="n">
        <f aca="false">'PL.Khoi luong'!F501</f>
        <v>0</v>
      </c>
      <c r="G506" s="32" t="n">
        <f aca="false">E506+F506</f>
        <v>0</v>
      </c>
      <c r="H506" s="35" t="n">
        <v>104068.988562275</v>
      </c>
      <c r="I506" s="14" t="n">
        <f aca="false">D506*H506</f>
        <v>4079879</v>
      </c>
      <c r="J506" s="14" t="n">
        <f aca="false">E506*H506</f>
        <v>0</v>
      </c>
      <c r="K506" s="14" t="n">
        <f aca="false">F506*H506</f>
        <v>0</v>
      </c>
      <c r="L506" s="14" t="n">
        <f aca="false">G506*H506</f>
        <v>0</v>
      </c>
      <c r="M506" s="27"/>
    </row>
    <row r="507" customFormat="false" ht="15" hidden="false" customHeight="false" outlineLevel="0" collapsed="false">
      <c r="A507" s="29" t="s">
        <v>1001</v>
      </c>
      <c r="B507" s="27" t="s">
        <v>1002</v>
      </c>
      <c r="C507" s="29" t="s">
        <v>131</v>
      </c>
      <c r="D507" s="34" t="n">
        <f aca="false">'PL.Khoi luong'!D502</f>
        <v>39.2036</v>
      </c>
      <c r="E507" s="34" t="n">
        <f aca="false">'PL.Khoi luong'!E502</f>
        <v>0</v>
      </c>
      <c r="F507" s="34" t="n">
        <f aca="false">'PL.Khoi luong'!F502</f>
        <v>0</v>
      </c>
      <c r="G507" s="32" t="n">
        <f aca="false">E507+F507</f>
        <v>0</v>
      </c>
      <c r="H507" s="35" t="n">
        <v>83491.005928027</v>
      </c>
      <c r="I507" s="14" t="n">
        <f aca="false">D507*H507</f>
        <v>3273148</v>
      </c>
      <c r="J507" s="14" t="n">
        <f aca="false">E507*H507</f>
        <v>0</v>
      </c>
      <c r="K507" s="14" t="n">
        <f aca="false">F507*H507</f>
        <v>0</v>
      </c>
      <c r="L507" s="14" t="n">
        <f aca="false">G507*H507</f>
        <v>0</v>
      </c>
      <c r="M507" s="27"/>
    </row>
    <row r="508" customFormat="false" ht="26.85" hidden="false" customHeight="false" outlineLevel="0" collapsed="false">
      <c r="A508" s="29" t="s">
        <v>1003</v>
      </c>
      <c r="B508" s="27" t="s">
        <v>1004</v>
      </c>
      <c r="C508" s="29" t="s">
        <v>131</v>
      </c>
      <c r="D508" s="34" t="n">
        <f aca="false">'PL.Khoi luong'!D503</f>
        <v>39.2036</v>
      </c>
      <c r="E508" s="34" t="n">
        <f aca="false">'PL.Khoi luong'!E503</f>
        <v>0</v>
      </c>
      <c r="F508" s="34" t="n">
        <f aca="false">'PL.Khoi luong'!F503</f>
        <v>0</v>
      </c>
      <c r="G508" s="32" t="n">
        <f aca="false">E508+F508</f>
        <v>0</v>
      </c>
      <c r="H508" s="35" t="n">
        <v>70201.9967554</v>
      </c>
      <c r="I508" s="14" t="n">
        <f aca="false">D508*H508</f>
        <v>2752171</v>
      </c>
      <c r="J508" s="14" t="n">
        <f aca="false">E508*H508</f>
        <v>0</v>
      </c>
      <c r="K508" s="14" t="n">
        <f aca="false">F508*H508</f>
        <v>0</v>
      </c>
      <c r="L508" s="14" t="n">
        <f aca="false">G508*H508</f>
        <v>0</v>
      </c>
      <c r="M508" s="27"/>
    </row>
    <row r="509" customFormat="false" ht="26.85" hidden="false" customHeight="false" outlineLevel="0" collapsed="false">
      <c r="A509" s="29" t="s">
        <v>1005</v>
      </c>
      <c r="B509" s="27" t="s">
        <v>1006</v>
      </c>
      <c r="C509" s="29" t="s">
        <v>131</v>
      </c>
      <c r="D509" s="34" t="n">
        <f aca="false">'PL.Khoi luong'!D504</f>
        <v>59.9972</v>
      </c>
      <c r="E509" s="34" t="n">
        <f aca="false">'PL.Khoi luong'!E504</f>
        <v>0</v>
      </c>
      <c r="F509" s="34" t="n">
        <f aca="false">'PL.Khoi luong'!F504</f>
        <v>0</v>
      </c>
      <c r="G509" s="32" t="n">
        <f aca="false">E509+F509</f>
        <v>0</v>
      </c>
      <c r="H509" s="35" t="n">
        <v>53237.0010600495</v>
      </c>
      <c r="I509" s="14" t="n">
        <f aca="false">D509*H509</f>
        <v>3194071</v>
      </c>
      <c r="J509" s="14" t="n">
        <f aca="false">E509*H509</f>
        <v>0</v>
      </c>
      <c r="K509" s="14" t="n">
        <f aca="false">F509*H509</f>
        <v>0</v>
      </c>
      <c r="L509" s="14" t="n">
        <f aca="false">G509*H509</f>
        <v>0</v>
      </c>
      <c r="M509" s="27"/>
    </row>
    <row r="510" customFormat="false" ht="15" hidden="false" customHeight="false" outlineLevel="0" collapsed="false">
      <c r="A510" s="29" t="s">
        <v>1007</v>
      </c>
      <c r="B510" s="27" t="s">
        <v>965</v>
      </c>
      <c r="C510" s="29" t="s">
        <v>106</v>
      </c>
      <c r="D510" s="34" t="n">
        <f aca="false">'PL.Khoi luong'!D505</f>
        <v>0.2079</v>
      </c>
      <c r="E510" s="34" t="n">
        <f aca="false">'PL.Khoi luong'!E505</f>
        <v>0</v>
      </c>
      <c r="F510" s="34" t="n">
        <f aca="false">'PL.Khoi luong'!F505</f>
        <v>0</v>
      </c>
      <c r="G510" s="32" t="n">
        <f aca="false">E510+F510</f>
        <v>0</v>
      </c>
      <c r="H510" s="35" t="n">
        <v>15305642.1356421</v>
      </c>
      <c r="I510" s="14" t="n">
        <f aca="false">D510*H510</f>
        <v>3182042.99999999</v>
      </c>
      <c r="J510" s="14" t="n">
        <f aca="false">E510*H510</f>
        <v>0</v>
      </c>
      <c r="K510" s="14" t="n">
        <f aca="false">F510*H510</f>
        <v>0</v>
      </c>
      <c r="L510" s="14" t="n">
        <f aca="false">G510*H510</f>
        <v>0</v>
      </c>
      <c r="M510" s="27"/>
    </row>
    <row r="511" customFormat="false" ht="15" hidden="false" customHeight="false" outlineLevel="0" collapsed="false">
      <c r="A511" s="29" t="s">
        <v>1008</v>
      </c>
      <c r="B511" s="27" t="s">
        <v>967</v>
      </c>
      <c r="C511" s="29" t="s">
        <v>116</v>
      </c>
      <c r="D511" s="34" t="n">
        <f aca="false">'PL.Khoi luong'!D506</f>
        <v>2.0794</v>
      </c>
      <c r="E511" s="34" t="n">
        <f aca="false">'PL.Khoi luong'!E506</f>
        <v>0</v>
      </c>
      <c r="F511" s="34" t="n">
        <f aca="false">'PL.Khoi luong'!F506</f>
        <v>0</v>
      </c>
      <c r="G511" s="32" t="n">
        <f aca="false">E511+F511</f>
        <v>0</v>
      </c>
      <c r="H511" s="35" t="n">
        <v>1848366.83658748</v>
      </c>
      <c r="I511" s="14" t="n">
        <f aca="false">D511*H511</f>
        <v>3843494.00000001</v>
      </c>
      <c r="J511" s="14" t="n">
        <f aca="false">E511*H511</f>
        <v>0</v>
      </c>
      <c r="K511" s="14" t="n">
        <f aca="false">F511*H511</f>
        <v>0</v>
      </c>
      <c r="L511" s="14" t="n">
        <f aca="false">G511*H511</f>
        <v>0</v>
      </c>
      <c r="M511" s="27"/>
    </row>
    <row r="512" customFormat="false" ht="15" hidden="false" customHeight="false" outlineLevel="0" collapsed="false">
      <c r="A512" s="29" t="s">
        <v>1009</v>
      </c>
      <c r="B512" s="27" t="s">
        <v>955</v>
      </c>
      <c r="C512" s="29" t="s">
        <v>106</v>
      </c>
      <c r="D512" s="34" t="n">
        <f aca="false">'PL.Khoi luong'!D507</f>
        <v>0.36</v>
      </c>
      <c r="E512" s="34" t="n">
        <f aca="false">'PL.Khoi luong'!E507</f>
        <v>0</v>
      </c>
      <c r="F512" s="34" t="n">
        <f aca="false">'PL.Khoi luong'!F507</f>
        <v>0</v>
      </c>
      <c r="G512" s="32" t="n">
        <f aca="false">E512+F512</f>
        <v>0</v>
      </c>
      <c r="H512" s="35" t="n">
        <v>17061955.5555556</v>
      </c>
      <c r="I512" s="14" t="n">
        <f aca="false">D512*H512</f>
        <v>6142304.00000002</v>
      </c>
      <c r="J512" s="14" t="n">
        <f aca="false">E512*H512</f>
        <v>0</v>
      </c>
      <c r="K512" s="14" t="n">
        <f aca="false">F512*H512</f>
        <v>0</v>
      </c>
      <c r="L512" s="14" t="n">
        <f aca="false">G512*H512</f>
        <v>0</v>
      </c>
      <c r="M512" s="27"/>
    </row>
    <row r="513" customFormat="false" ht="15" hidden="false" customHeight="false" outlineLevel="0" collapsed="false">
      <c r="A513" s="29" t="s">
        <v>1010</v>
      </c>
      <c r="B513" s="27" t="s">
        <v>1011</v>
      </c>
      <c r="C513" s="29" t="s">
        <v>131</v>
      </c>
      <c r="D513" s="34" t="n">
        <f aca="false">'PL.Khoi luong'!D508</f>
        <v>36</v>
      </c>
      <c r="E513" s="34" t="n">
        <f aca="false">'PL.Khoi luong'!E508</f>
        <v>0</v>
      </c>
      <c r="F513" s="34" t="n">
        <f aca="false">'PL.Khoi luong'!F508</f>
        <v>0</v>
      </c>
      <c r="G513" s="32" t="n">
        <f aca="false">E513+F513</f>
        <v>0</v>
      </c>
      <c r="H513" s="35" t="n">
        <v>44400</v>
      </c>
      <c r="I513" s="14" t="n">
        <f aca="false">D513*H513</f>
        <v>1598400</v>
      </c>
      <c r="J513" s="14" t="n">
        <f aca="false">E513*H513</f>
        <v>0</v>
      </c>
      <c r="K513" s="14" t="n">
        <f aca="false">F513*H513</f>
        <v>0</v>
      </c>
      <c r="L513" s="14" t="n">
        <f aca="false">G513*H513</f>
        <v>0</v>
      </c>
      <c r="M513" s="27"/>
    </row>
    <row r="514" customFormat="false" ht="15" hidden="false" customHeight="false" outlineLevel="0" collapsed="false">
      <c r="A514" s="29" t="s">
        <v>1012</v>
      </c>
      <c r="B514" s="27" t="s">
        <v>1013</v>
      </c>
      <c r="C514" s="29" t="s">
        <v>131</v>
      </c>
      <c r="D514" s="34" t="n">
        <f aca="false">'PL.Khoi luong'!D509</f>
        <v>19.4256</v>
      </c>
      <c r="E514" s="34" t="n">
        <f aca="false">'PL.Khoi luong'!E509</f>
        <v>0</v>
      </c>
      <c r="F514" s="34" t="n">
        <f aca="false">'PL.Khoi luong'!F509</f>
        <v>0</v>
      </c>
      <c r="G514" s="32" t="n">
        <f aca="false">E514+F514</f>
        <v>0</v>
      </c>
      <c r="H514" s="35" t="n">
        <v>389412.991104522</v>
      </c>
      <c r="I514" s="14" t="n">
        <f aca="false">D514*H514</f>
        <v>7564581</v>
      </c>
      <c r="J514" s="14" t="n">
        <f aca="false">E514*H514</f>
        <v>0</v>
      </c>
      <c r="K514" s="14" t="n">
        <f aca="false">F514*H514</f>
        <v>0</v>
      </c>
      <c r="L514" s="14" t="n">
        <f aca="false">G514*H514</f>
        <v>0</v>
      </c>
      <c r="M514" s="27"/>
    </row>
    <row r="515" customFormat="false" ht="26.85" hidden="false" customHeight="false" outlineLevel="0" collapsed="false">
      <c r="A515" s="29" t="s">
        <v>1014</v>
      </c>
      <c r="B515" s="27" t="s">
        <v>1015</v>
      </c>
      <c r="C515" s="29" t="s">
        <v>131</v>
      </c>
      <c r="D515" s="34" t="n">
        <f aca="false">'PL.Khoi luong'!D510</f>
        <v>1.98</v>
      </c>
      <c r="E515" s="34" t="n">
        <f aca="false">'PL.Khoi luong'!E510</f>
        <v>0</v>
      </c>
      <c r="F515" s="34" t="n">
        <f aca="false">'PL.Khoi luong'!F510</f>
        <v>0</v>
      </c>
      <c r="G515" s="32" t="n">
        <f aca="false">E515+F515</f>
        <v>0</v>
      </c>
      <c r="H515" s="35" t="n">
        <v>3145427.77777778</v>
      </c>
      <c r="I515" s="14" t="n">
        <f aca="false">D515*H515</f>
        <v>6227947</v>
      </c>
      <c r="J515" s="14" t="n">
        <f aca="false">E515*H515</f>
        <v>0</v>
      </c>
      <c r="K515" s="14" t="n">
        <f aca="false">F515*H515</f>
        <v>0</v>
      </c>
      <c r="L515" s="14" t="n">
        <f aca="false">G515*H515</f>
        <v>0</v>
      </c>
      <c r="M515" s="27"/>
    </row>
    <row r="516" customFormat="false" ht="26.85" hidden="false" customHeight="false" outlineLevel="0" collapsed="false">
      <c r="A516" s="29" t="s">
        <v>1016</v>
      </c>
      <c r="B516" s="27" t="s">
        <v>1017</v>
      </c>
      <c r="C516" s="29" t="s">
        <v>131</v>
      </c>
      <c r="D516" s="34" t="n">
        <f aca="false">'PL.Khoi luong'!D511</f>
        <v>7.54</v>
      </c>
      <c r="E516" s="34" t="n">
        <f aca="false">'PL.Khoi luong'!E511</f>
        <v>0</v>
      </c>
      <c r="F516" s="34" t="n">
        <f aca="false">'PL.Khoi luong'!F511</f>
        <v>0</v>
      </c>
      <c r="G516" s="32" t="n">
        <f aca="false">E516+F516</f>
        <v>0</v>
      </c>
      <c r="H516" s="35" t="n">
        <v>3117255.96816976</v>
      </c>
      <c r="I516" s="14" t="n">
        <f aca="false">D516*H516</f>
        <v>23504110</v>
      </c>
      <c r="J516" s="14" t="n">
        <f aca="false">E516*H516</f>
        <v>0</v>
      </c>
      <c r="K516" s="14" t="n">
        <f aca="false">F516*H516</f>
        <v>0</v>
      </c>
      <c r="L516" s="14" t="n">
        <f aca="false">G516*H516</f>
        <v>0</v>
      </c>
      <c r="M516" s="27"/>
    </row>
    <row r="517" customFormat="false" ht="15" hidden="false" customHeight="false" outlineLevel="0" collapsed="false">
      <c r="A517" s="29" t="s">
        <v>1018</v>
      </c>
      <c r="B517" s="27" t="s">
        <v>1019</v>
      </c>
      <c r="C517" s="29" t="s">
        <v>240</v>
      </c>
      <c r="D517" s="34" t="n">
        <f aca="false">'PL.Khoi luong'!D512</f>
        <v>1</v>
      </c>
      <c r="E517" s="34" t="n">
        <f aca="false">'PL.Khoi luong'!E512</f>
        <v>0</v>
      </c>
      <c r="F517" s="34" t="n">
        <f aca="false">'PL.Khoi luong'!F512</f>
        <v>0</v>
      </c>
      <c r="G517" s="32" t="n">
        <f aca="false">E517+F517</f>
        <v>0</v>
      </c>
      <c r="H517" s="35" t="n">
        <v>3062138</v>
      </c>
      <c r="I517" s="14" t="n">
        <f aca="false">D517*H517</f>
        <v>3062138</v>
      </c>
      <c r="J517" s="14" t="n">
        <f aca="false">E517*H517</f>
        <v>0</v>
      </c>
      <c r="K517" s="14" t="n">
        <f aca="false">F517*H517</f>
        <v>0</v>
      </c>
      <c r="L517" s="14" t="n">
        <f aca="false">G517*H517</f>
        <v>0</v>
      </c>
      <c r="M517" s="27"/>
    </row>
    <row r="518" customFormat="false" ht="15" hidden="false" customHeight="false" outlineLevel="0" collapsed="false">
      <c r="A518" s="12" t="s">
        <v>1020</v>
      </c>
      <c r="B518" s="28" t="s">
        <v>1021</v>
      </c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</row>
    <row r="519" customFormat="false" ht="15" hidden="false" customHeight="false" outlineLevel="0" collapsed="false">
      <c r="A519" s="29" t="s">
        <v>1022</v>
      </c>
      <c r="B519" s="27" t="s">
        <v>1023</v>
      </c>
      <c r="C519" s="29" t="s">
        <v>116</v>
      </c>
      <c r="D519" s="34" t="n">
        <f aca="false">'PL.Khoi luong'!D514</f>
        <v>0.507</v>
      </c>
      <c r="E519" s="34" t="n">
        <f aca="false">'PL.Khoi luong'!E514</f>
        <v>0</v>
      </c>
      <c r="F519" s="34" t="n">
        <f aca="false">'PL.Khoi luong'!F514</f>
        <v>0</v>
      </c>
      <c r="G519" s="32" t="n">
        <f aca="false">E519+F519</f>
        <v>0</v>
      </c>
      <c r="H519" s="35" t="n">
        <v>1424090.72978304</v>
      </c>
      <c r="I519" s="14" t="n">
        <f aca="false">D519*H519</f>
        <v>722014.000000001</v>
      </c>
      <c r="J519" s="14" t="n">
        <f aca="false">E519*H519</f>
        <v>0</v>
      </c>
      <c r="K519" s="14" t="n">
        <f aca="false">F519*H519</f>
        <v>0</v>
      </c>
      <c r="L519" s="14" t="n">
        <f aca="false">G519*H519</f>
        <v>0</v>
      </c>
      <c r="M519" s="27"/>
    </row>
    <row r="520" customFormat="false" ht="26.85" hidden="false" customHeight="false" outlineLevel="0" collapsed="false">
      <c r="A520" s="29" t="s">
        <v>1024</v>
      </c>
      <c r="B520" s="27" t="s">
        <v>993</v>
      </c>
      <c r="C520" s="29" t="s">
        <v>116</v>
      </c>
      <c r="D520" s="34" t="n">
        <f aca="false">'PL.Khoi luong'!D515</f>
        <v>1.1035</v>
      </c>
      <c r="E520" s="34" t="n">
        <f aca="false">'PL.Khoi luong'!E515</f>
        <v>0</v>
      </c>
      <c r="F520" s="34" t="n">
        <f aca="false">'PL.Khoi luong'!F515</f>
        <v>0</v>
      </c>
      <c r="G520" s="32" t="n">
        <f aca="false">E520+F520</f>
        <v>0</v>
      </c>
      <c r="H520" s="35" t="n">
        <v>1691857.72541912</v>
      </c>
      <c r="I520" s="14" t="n">
        <f aca="false">D520*H520</f>
        <v>1866965</v>
      </c>
      <c r="J520" s="14" t="n">
        <f aca="false">E520*H520</f>
        <v>0</v>
      </c>
      <c r="K520" s="14" t="n">
        <f aca="false">F520*H520</f>
        <v>0</v>
      </c>
      <c r="L520" s="14" t="n">
        <f aca="false">G520*H520</f>
        <v>0</v>
      </c>
      <c r="M520" s="27"/>
    </row>
    <row r="521" customFormat="false" ht="15" hidden="false" customHeight="false" outlineLevel="0" collapsed="false">
      <c r="A521" s="29" t="s">
        <v>1025</v>
      </c>
      <c r="B521" s="27" t="s">
        <v>1026</v>
      </c>
      <c r="C521" s="29" t="s">
        <v>116</v>
      </c>
      <c r="D521" s="34" t="n">
        <f aca="false">'PL.Khoi luong'!D516</f>
        <v>0.2006</v>
      </c>
      <c r="E521" s="34" t="n">
        <f aca="false">'PL.Khoi luong'!E516</f>
        <v>0</v>
      </c>
      <c r="F521" s="34" t="n">
        <f aca="false">'PL.Khoi luong'!F516</f>
        <v>0</v>
      </c>
      <c r="G521" s="32" t="n">
        <f aca="false">E521+F521</f>
        <v>0</v>
      </c>
      <c r="H521" s="35" t="n">
        <v>2029456.63010967</v>
      </c>
      <c r="I521" s="14" t="n">
        <f aca="false">D521*H521</f>
        <v>407109</v>
      </c>
      <c r="J521" s="14" t="n">
        <f aca="false">E521*H521</f>
        <v>0</v>
      </c>
      <c r="K521" s="14" t="n">
        <f aca="false">F521*H521</f>
        <v>0</v>
      </c>
      <c r="L521" s="14" t="n">
        <f aca="false">G521*H521</f>
        <v>0</v>
      </c>
      <c r="M521" s="27"/>
    </row>
    <row r="522" customFormat="false" ht="26.85" hidden="false" customHeight="false" outlineLevel="0" collapsed="false">
      <c r="A522" s="29" t="s">
        <v>1027</v>
      </c>
      <c r="B522" s="27" t="s">
        <v>1028</v>
      </c>
      <c r="C522" s="29" t="s">
        <v>116</v>
      </c>
      <c r="D522" s="34" t="n">
        <f aca="false">'PL.Khoi luong'!D517</f>
        <v>0.0677</v>
      </c>
      <c r="E522" s="34" t="n">
        <f aca="false">'PL.Khoi luong'!E517</f>
        <v>0</v>
      </c>
      <c r="F522" s="34" t="n">
        <f aca="false">'PL.Khoi luong'!F517</f>
        <v>0</v>
      </c>
      <c r="G522" s="32" t="n">
        <f aca="false">E522+F522</f>
        <v>0</v>
      </c>
      <c r="H522" s="35" t="n">
        <v>2057400.29542098</v>
      </c>
      <c r="I522" s="14" t="n">
        <f aca="false">D522*H522</f>
        <v>139286</v>
      </c>
      <c r="J522" s="14" t="n">
        <f aca="false">E522*H522</f>
        <v>0</v>
      </c>
      <c r="K522" s="14" t="n">
        <f aca="false">F522*H522</f>
        <v>0</v>
      </c>
      <c r="L522" s="14" t="n">
        <f aca="false">G522*H522</f>
        <v>0</v>
      </c>
      <c r="M522" s="27"/>
    </row>
    <row r="523" customFormat="false" ht="26.85" hidden="false" customHeight="false" outlineLevel="0" collapsed="false">
      <c r="A523" s="29" t="s">
        <v>1029</v>
      </c>
      <c r="B523" s="27" t="s">
        <v>1030</v>
      </c>
      <c r="C523" s="29" t="s">
        <v>149</v>
      </c>
      <c r="D523" s="34" t="n">
        <f aca="false">'PL.Khoi luong'!D518</f>
        <v>0.0683</v>
      </c>
      <c r="E523" s="34" t="n">
        <f aca="false">'PL.Khoi luong'!E518</f>
        <v>0</v>
      </c>
      <c r="F523" s="34" t="n">
        <f aca="false">'PL.Khoi luong'!F518</f>
        <v>0</v>
      </c>
      <c r="G523" s="32" t="n">
        <f aca="false">E523+F523</f>
        <v>0</v>
      </c>
      <c r="H523" s="35" t="n">
        <v>25003382.1376281</v>
      </c>
      <c r="I523" s="14" t="n">
        <f aca="false">D523*H523</f>
        <v>1707731</v>
      </c>
      <c r="J523" s="14" t="n">
        <f aca="false">E523*H523</f>
        <v>0</v>
      </c>
      <c r="K523" s="14" t="n">
        <f aca="false">F523*H523</f>
        <v>0</v>
      </c>
      <c r="L523" s="14" t="n">
        <f aca="false">G523*H523</f>
        <v>0</v>
      </c>
      <c r="M523" s="27"/>
    </row>
    <row r="524" customFormat="false" ht="26.85" hidden="false" customHeight="false" outlineLevel="0" collapsed="false">
      <c r="A524" s="29" t="s">
        <v>1031</v>
      </c>
      <c r="B524" s="27" t="s">
        <v>1032</v>
      </c>
      <c r="C524" s="29" t="s">
        <v>131</v>
      </c>
      <c r="D524" s="34" t="n">
        <f aca="false">'PL.Khoi luong'!D519</f>
        <v>8.8</v>
      </c>
      <c r="E524" s="34" t="n">
        <f aca="false">'PL.Khoi luong'!E519</f>
        <v>0</v>
      </c>
      <c r="F524" s="34" t="n">
        <f aca="false">'PL.Khoi luong'!F519</f>
        <v>0</v>
      </c>
      <c r="G524" s="32" t="n">
        <f aca="false">E524+F524</f>
        <v>0</v>
      </c>
      <c r="H524" s="35" t="n">
        <v>104068.977272727</v>
      </c>
      <c r="I524" s="14" t="n">
        <f aca="false">D524*H524</f>
        <v>915806.999999998</v>
      </c>
      <c r="J524" s="14" t="n">
        <f aca="false">E524*H524</f>
        <v>0</v>
      </c>
      <c r="K524" s="14" t="n">
        <f aca="false">F524*H524</f>
        <v>0</v>
      </c>
      <c r="L524" s="14" t="n">
        <f aca="false">G524*H524</f>
        <v>0</v>
      </c>
      <c r="M524" s="27"/>
    </row>
    <row r="525" customFormat="false" ht="15" hidden="false" customHeight="false" outlineLevel="0" collapsed="false">
      <c r="A525" s="29" t="s">
        <v>1033</v>
      </c>
      <c r="B525" s="27" t="s">
        <v>1034</v>
      </c>
      <c r="C525" s="29" t="s">
        <v>131</v>
      </c>
      <c r="D525" s="34" t="n">
        <f aca="false">'PL.Khoi luong'!D520</f>
        <v>5.72</v>
      </c>
      <c r="E525" s="34" t="n">
        <f aca="false">'PL.Khoi luong'!E520</f>
        <v>0</v>
      </c>
      <c r="F525" s="34" t="n">
        <f aca="false">'PL.Khoi luong'!F520</f>
        <v>0</v>
      </c>
      <c r="G525" s="32" t="n">
        <f aca="false">E525+F525</f>
        <v>0</v>
      </c>
      <c r="H525" s="35" t="n">
        <v>188325</v>
      </c>
      <c r="I525" s="14" t="n">
        <f aca="false">D525*H525</f>
        <v>1077219</v>
      </c>
      <c r="J525" s="14" t="n">
        <f aca="false">E525*H525</f>
        <v>0</v>
      </c>
      <c r="K525" s="14" t="n">
        <f aca="false">F525*H525</f>
        <v>0</v>
      </c>
      <c r="L525" s="14" t="n">
        <f aca="false">G525*H525</f>
        <v>0</v>
      </c>
      <c r="M525" s="27"/>
    </row>
    <row r="526" customFormat="false" ht="15" hidden="false" customHeight="false" outlineLevel="0" collapsed="false">
      <c r="A526" s="12" t="s">
        <v>1035</v>
      </c>
      <c r="B526" s="28" t="s">
        <v>1036</v>
      </c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</row>
    <row r="527" customFormat="false" ht="15" hidden="false" customHeight="false" outlineLevel="0" collapsed="false">
      <c r="A527" s="29" t="s">
        <v>1037</v>
      </c>
      <c r="B527" s="27" t="s">
        <v>944</v>
      </c>
      <c r="C527" s="29" t="s">
        <v>111</v>
      </c>
      <c r="D527" s="34" t="n">
        <f aca="false">'PL.Khoi luong'!D522</f>
        <v>2.52</v>
      </c>
      <c r="E527" s="34" t="n">
        <f aca="false">'PL.Khoi luong'!E522</f>
        <v>0</v>
      </c>
      <c r="F527" s="34" t="n">
        <f aca="false">'PL.Khoi luong'!F522</f>
        <v>0</v>
      </c>
      <c r="G527" s="32" t="n">
        <f aca="false">E527+F527</f>
        <v>0</v>
      </c>
      <c r="H527" s="35" t="n">
        <v>3817748.80952381</v>
      </c>
      <c r="I527" s="14" t="n">
        <f aca="false">D527*H527</f>
        <v>9620727</v>
      </c>
      <c r="J527" s="14" t="n">
        <f aca="false">E527*H527</f>
        <v>0</v>
      </c>
      <c r="K527" s="14" t="n">
        <f aca="false">F527*H527</f>
        <v>0</v>
      </c>
      <c r="L527" s="14" t="n">
        <f aca="false">G527*H527</f>
        <v>0</v>
      </c>
      <c r="M527" s="27"/>
    </row>
    <row r="528" customFormat="false" ht="15" hidden="false" customHeight="false" outlineLevel="0" collapsed="false">
      <c r="A528" s="29" t="s">
        <v>1038</v>
      </c>
      <c r="B528" s="27" t="s">
        <v>1039</v>
      </c>
      <c r="C528" s="29" t="s">
        <v>106</v>
      </c>
      <c r="D528" s="34" t="n">
        <f aca="false">'PL.Khoi luong'!D523</f>
        <v>0.078</v>
      </c>
      <c r="E528" s="34" t="n">
        <f aca="false">'PL.Khoi luong'!E523</f>
        <v>0</v>
      </c>
      <c r="F528" s="34" t="n">
        <f aca="false">'PL.Khoi luong'!F523</f>
        <v>0</v>
      </c>
      <c r="G528" s="32" t="n">
        <f aca="false">E528+F528</f>
        <v>0</v>
      </c>
      <c r="H528" s="35" t="n">
        <v>10047076.9230769</v>
      </c>
      <c r="I528" s="14" t="n">
        <f aca="false">D528*H528</f>
        <v>783671.999999998</v>
      </c>
      <c r="J528" s="14" t="n">
        <f aca="false">E528*H528</f>
        <v>0</v>
      </c>
      <c r="K528" s="14" t="n">
        <f aca="false">F528*H528</f>
        <v>0</v>
      </c>
      <c r="L528" s="14" t="n">
        <f aca="false">G528*H528</f>
        <v>0</v>
      </c>
      <c r="M528" s="27"/>
    </row>
    <row r="529" customFormat="false" ht="15" hidden="false" customHeight="false" outlineLevel="0" collapsed="false">
      <c r="A529" s="29" t="s">
        <v>1040</v>
      </c>
      <c r="B529" s="27" t="s">
        <v>1041</v>
      </c>
      <c r="C529" s="29" t="s">
        <v>116</v>
      </c>
      <c r="D529" s="34" t="n">
        <f aca="false">'PL.Khoi luong'!D524</f>
        <v>6.735</v>
      </c>
      <c r="E529" s="34" t="n">
        <f aca="false">'PL.Khoi luong'!E524</f>
        <v>0</v>
      </c>
      <c r="F529" s="34" t="n">
        <f aca="false">'PL.Khoi luong'!F524</f>
        <v>0</v>
      </c>
      <c r="G529" s="32" t="n">
        <f aca="false">E529+F529</f>
        <v>0</v>
      </c>
      <c r="H529" s="35" t="n">
        <v>1309795.99109131</v>
      </c>
      <c r="I529" s="14" t="n">
        <f aca="false">D529*H529</f>
        <v>8821475.99999997</v>
      </c>
      <c r="J529" s="14" t="n">
        <f aca="false">E529*H529</f>
        <v>0</v>
      </c>
      <c r="K529" s="14" t="n">
        <f aca="false">F529*H529</f>
        <v>0</v>
      </c>
      <c r="L529" s="14" t="n">
        <f aca="false">G529*H529</f>
        <v>0</v>
      </c>
      <c r="M529" s="27"/>
    </row>
    <row r="530" customFormat="false" ht="15" hidden="false" customHeight="false" outlineLevel="0" collapsed="false">
      <c r="A530" s="29" t="s">
        <v>1042</v>
      </c>
      <c r="B530" s="27" t="s">
        <v>955</v>
      </c>
      <c r="C530" s="29" t="s">
        <v>106</v>
      </c>
      <c r="D530" s="34" t="n">
        <f aca="false">'PL.Khoi luong'!D525</f>
        <v>0.39</v>
      </c>
      <c r="E530" s="34" t="n">
        <f aca="false">'PL.Khoi luong'!E525</f>
        <v>0</v>
      </c>
      <c r="F530" s="34" t="n">
        <f aca="false">'PL.Khoi luong'!F525</f>
        <v>0</v>
      </c>
      <c r="G530" s="32" t="n">
        <f aca="false">E530+F530</f>
        <v>0</v>
      </c>
      <c r="H530" s="35" t="n">
        <v>17061956.4102564</v>
      </c>
      <c r="I530" s="14" t="n">
        <f aca="false">D530*H530</f>
        <v>6654163</v>
      </c>
      <c r="J530" s="14" t="n">
        <f aca="false">E530*H530</f>
        <v>0</v>
      </c>
      <c r="K530" s="14" t="n">
        <f aca="false">F530*H530</f>
        <v>0</v>
      </c>
      <c r="L530" s="14" t="n">
        <f aca="false">G530*H530</f>
        <v>0</v>
      </c>
      <c r="M530" s="27"/>
    </row>
    <row r="531" customFormat="false" ht="15" hidden="false" customHeight="false" outlineLevel="0" collapsed="false">
      <c r="A531" s="29" t="s">
        <v>1043</v>
      </c>
      <c r="B531" s="27" t="s">
        <v>983</v>
      </c>
      <c r="C531" s="29" t="s">
        <v>116</v>
      </c>
      <c r="D531" s="34" t="n">
        <f aca="false">'PL.Khoi luong'!D526</f>
        <v>5.85</v>
      </c>
      <c r="E531" s="34" t="n">
        <f aca="false">'PL.Khoi luong'!E526</f>
        <v>0</v>
      </c>
      <c r="F531" s="34" t="n">
        <f aca="false">'PL.Khoi luong'!F526</f>
        <v>0</v>
      </c>
      <c r="G531" s="32" t="n">
        <f aca="false">E531+F531</f>
        <v>0</v>
      </c>
      <c r="H531" s="35" t="n">
        <v>1974821.02564103</v>
      </c>
      <c r="I531" s="14" t="n">
        <f aca="false">D531*H531</f>
        <v>11552703</v>
      </c>
      <c r="J531" s="14" t="n">
        <f aca="false">E531*H531</f>
        <v>0</v>
      </c>
      <c r="K531" s="14" t="n">
        <f aca="false">F531*H531</f>
        <v>0</v>
      </c>
      <c r="L531" s="14" t="n">
        <f aca="false">G531*H531</f>
        <v>0</v>
      </c>
      <c r="M531" s="27"/>
    </row>
    <row r="532" customFormat="false" ht="15" hidden="false" customHeight="false" outlineLevel="0" collapsed="false">
      <c r="A532" s="29" t="s">
        <v>1044</v>
      </c>
      <c r="B532" s="27" t="s">
        <v>1045</v>
      </c>
      <c r="C532" s="29" t="s">
        <v>116</v>
      </c>
      <c r="D532" s="34" t="n">
        <f aca="false">'PL.Khoi luong'!D527</f>
        <v>12.9375</v>
      </c>
      <c r="E532" s="34" t="n">
        <f aca="false">'PL.Khoi luong'!E527</f>
        <v>0</v>
      </c>
      <c r="F532" s="34" t="n">
        <f aca="false">'PL.Khoi luong'!F527</f>
        <v>0</v>
      </c>
      <c r="G532" s="32" t="n">
        <f aca="false">E532+F532</f>
        <v>0</v>
      </c>
      <c r="H532" s="35" t="n">
        <v>1448375.03381643</v>
      </c>
      <c r="I532" s="14" t="n">
        <f aca="false">D532*H532</f>
        <v>18738352.0000001</v>
      </c>
      <c r="J532" s="14" t="n">
        <f aca="false">E532*H532</f>
        <v>0</v>
      </c>
      <c r="K532" s="14" t="n">
        <f aca="false">F532*H532</f>
        <v>0</v>
      </c>
      <c r="L532" s="14" t="n">
        <f aca="false">G532*H532</f>
        <v>0</v>
      </c>
      <c r="M532" s="27"/>
    </row>
    <row r="533" customFormat="false" ht="26.85" hidden="false" customHeight="false" outlineLevel="0" collapsed="false">
      <c r="A533" s="29" t="s">
        <v>1046</v>
      </c>
      <c r="B533" s="27" t="s">
        <v>1047</v>
      </c>
      <c r="C533" s="29" t="s">
        <v>106</v>
      </c>
      <c r="D533" s="34" t="n">
        <f aca="false">'PL.Khoi luong'!D528</f>
        <v>2.4418</v>
      </c>
      <c r="E533" s="34" t="n">
        <f aca="false">'PL.Khoi luong'!E528</f>
        <v>0</v>
      </c>
      <c r="F533" s="34" t="n">
        <f aca="false">'PL.Khoi luong'!F528</f>
        <v>0</v>
      </c>
      <c r="G533" s="32" t="n">
        <f aca="false">E533+F533</f>
        <v>0</v>
      </c>
      <c r="H533" s="35" t="n">
        <v>13835457.8589565</v>
      </c>
      <c r="I533" s="14" t="n">
        <f aca="false">D533*H533</f>
        <v>33783421</v>
      </c>
      <c r="J533" s="14" t="n">
        <f aca="false">E533*H533</f>
        <v>0</v>
      </c>
      <c r="K533" s="14" t="n">
        <f aca="false">F533*H533</f>
        <v>0</v>
      </c>
      <c r="L533" s="14" t="n">
        <f aca="false">G533*H533</f>
        <v>0</v>
      </c>
      <c r="M533" s="27"/>
    </row>
    <row r="534" customFormat="false" ht="15" hidden="false" customHeight="false" outlineLevel="0" collapsed="false">
      <c r="A534" s="29" t="s">
        <v>1048</v>
      </c>
      <c r="B534" s="27" t="s">
        <v>1049</v>
      </c>
      <c r="C534" s="29" t="s">
        <v>116</v>
      </c>
      <c r="D534" s="34" t="n">
        <f aca="false">'PL.Khoi luong'!D529</f>
        <v>30.5225</v>
      </c>
      <c r="E534" s="34" t="n">
        <f aca="false">'PL.Khoi luong'!E529</f>
        <v>0</v>
      </c>
      <c r="F534" s="34" t="n">
        <f aca="false">'PL.Khoi luong'!F529</f>
        <v>0</v>
      </c>
      <c r="G534" s="32" t="n">
        <f aca="false">E534+F534</f>
        <v>0</v>
      </c>
      <c r="H534" s="35" t="n">
        <v>1953955.99967237</v>
      </c>
      <c r="I534" s="14" t="n">
        <f aca="false">D534*H534</f>
        <v>59639621.9999999</v>
      </c>
      <c r="J534" s="14" t="n">
        <f aca="false">E534*H534</f>
        <v>0</v>
      </c>
      <c r="K534" s="14" t="n">
        <f aca="false">F534*H534</f>
        <v>0</v>
      </c>
      <c r="L534" s="14" t="n">
        <f aca="false">G534*H534</f>
        <v>0</v>
      </c>
      <c r="M534" s="27"/>
    </row>
    <row r="535" customFormat="false" ht="15" hidden="false" customHeight="false" outlineLevel="0" collapsed="false">
      <c r="A535" s="29" t="s">
        <v>1050</v>
      </c>
      <c r="B535" s="27" t="s">
        <v>955</v>
      </c>
      <c r="C535" s="29" t="s">
        <v>106</v>
      </c>
      <c r="D535" s="34" t="n">
        <f aca="false">'PL.Khoi luong'!D530</f>
        <v>0.312</v>
      </c>
      <c r="E535" s="34" t="n">
        <f aca="false">'PL.Khoi luong'!E530</f>
        <v>0</v>
      </c>
      <c r="F535" s="34" t="n">
        <f aca="false">'PL.Khoi luong'!F530</f>
        <v>0</v>
      </c>
      <c r="G535" s="32" t="n">
        <f aca="false">E535+F535</f>
        <v>0</v>
      </c>
      <c r="H535" s="35" t="n">
        <v>17061955.1282051</v>
      </c>
      <c r="I535" s="14" t="n">
        <f aca="false">D535*H535</f>
        <v>5323329.99999999</v>
      </c>
      <c r="J535" s="14" t="n">
        <f aca="false">E535*H535</f>
        <v>0</v>
      </c>
      <c r="K535" s="14" t="n">
        <f aca="false">F535*H535</f>
        <v>0</v>
      </c>
      <c r="L535" s="14" t="n">
        <f aca="false">G535*H535</f>
        <v>0</v>
      </c>
      <c r="M535" s="27"/>
    </row>
    <row r="536" customFormat="false" ht="15" hidden="false" customHeight="false" outlineLevel="0" collapsed="false">
      <c r="A536" s="29" t="s">
        <v>1051</v>
      </c>
      <c r="B536" s="27" t="s">
        <v>983</v>
      </c>
      <c r="C536" s="29" t="s">
        <v>116</v>
      </c>
      <c r="D536" s="34" t="n">
        <f aca="false">'PL.Khoi luong'!D531</f>
        <v>3.9</v>
      </c>
      <c r="E536" s="34" t="n">
        <f aca="false">'PL.Khoi luong'!E531</f>
        <v>0</v>
      </c>
      <c r="F536" s="34" t="n">
        <f aca="false">'PL.Khoi luong'!F531</f>
        <v>0</v>
      </c>
      <c r="G536" s="32" t="n">
        <f aca="false">E536+F536</f>
        <v>0</v>
      </c>
      <c r="H536" s="35" t="n">
        <v>1974821.02564103</v>
      </c>
      <c r="I536" s="14" t="n">
        <f aca="false">D536*H536</f>
        <v>7701802.00000002</v>
      </c>
      <c r="J536" s="14" t="n">
        <f aca="false">E536*H536</f>
        <v>0</v>
      </c>
      <c r="K536" s="14" t="n">
        <f aca="false">F536*H536</f>
        <v>0</v>
      </c>
      <c r="L536" s="14" t="n">
        <f aca="false">G536*H536</f>
        <v>0</v>
      </c>
      <c r="M536" s="27"/>
    </row>
    <row r="537" customFormat="false" ht="15" hidden="false" customHeight="false" outlineLevel="0" collapsed="false">
      <c r="A537" s="29" t="s">
        <v>1052</v>
      </c>
      <c r="B537" s="27" t="s">
        <v>965</v>
      </c>
      <c r="C537" s="29" t="s">
        <v>106</v>
      </c>
      <c r="D537" s="34" t="n">
        <f aca="false">'PL.Khoi luong'!D532</f>
        <v>0.5175</v>
      </c>
      <c r="E537" s="34" t="n">
        <f aca="false">'PL.Khoi luong'!E532</f>
        <v>0</v>
      </c>
      <c r="F537" s="34" t="n">
        <f aca="false">'PL.Khoi luong'!F532</f>
        <v>0</v>
      </c>
      <c r="G537" s="32" t="n">
        <f aca="false">E537+F537</f>
        <v>0</v>
      </c>
      <c r="H537" s="35" t="n">
        <v>15305640.5797101</v>
      </c>
      <c r="I537" s="14" t="n">
        <f aca="false">D537*H537</f>
        <v>7920668.99999998</v>
      </c>
      <c r="J537" s="14" t="n">
        <f aca="false">E537*H537</f>
        <v>0</v>
      </c>
      <c r="K537" s="14" t="n">
        <f aca="false">F537*H537</f>
        <v>0</v>
      </c>
      <c r="L537" s="14" t="n">
        <f aca="false">G537*H537</f>
        <v>0</v>
      </c>
      <c r="M537" s="27"/>
    </row>
    <row r="538" customFormat="false" ht="15" hidden="false" customHeight="false" outlineLevel="0" collapsed="false">
      <c r="A538" s="29" t="s">
        <v>1053</v>
      </c>
      <c r="B538" s="27" t="s">
        <v>1054</v>
      </c>
      <c r="C538" s="29" t="s">
        <v>116</v>
      </c>
      <c r="D538" s="34" t="n">
        <f aca="false">'PL.Khoi luong'!D533</f>
        <v>7.7625</v>
      </c>
      <c r="E538" s="34" t="n">
        <f aca="false">'PL.Khoi luong'!E533</f>
        <v>0</v>
      </c>
      <c r="F538" s="34" t="n">
        <f aca="false">'PL.Khoi luong'!F533</f>
        <v>0</v>
      </c>
      <c r="G538" s="32" t="n">
        <f aca="false">E538+F538</f>
        <v>0</v>
      </c>
      <c r="H538" s="35" t="n">
        <v>1738200.06441224</v>
      </c>
      <c r="I538" s="14" t="n">
        <f aca="false">D538*H538</f>
        <v>13492778</v>
      </c>
      <c r="J538" s="14" t="n">
        <f aca="false">E538*H538</f>
        <v>0</v>
      </c>
      <c r="K538" s="14" t="n">
        <f aca="false">F538*H538</f>
        <v>0</v>
      </c>
      <c r="L538" s="14" t="n">
        <f aca="false">G538*H538</f>
        <v>0</v>
      </c>
      <c r="M538" s="27"/>
    </row>
    <row r="539" customFormat="false" ht="15" hidden="false" customHeight="false" outlineLevel="0" collapsed="false">
      <c r="A539" s="29" t="s">
        <v>1055</v>
      </c>
      <c r="B539" s="27" t="s">
        <v>959</v>
      </c>
      <c r="C539" s="29" t="s">
        <v>149</v>
      </c>
      <c r="D539" s="34" t="n">
        <f aca="false">'PL.Khoi luong'!D534</f>
        <v>1.4405</v>
      </c>
      <c r="E539" s="34" t="n">
        <f aca="false">'PL.Khoi luong'!E534</f>
        <v>0</v>
      </c>
      <c r="F539" s="34" t="n">
        <f aca="false">'PL.Khoi luong'!F534</f>
        <v>0</v>
      </c>
      <c r="G539" s="32" t="n">
        <f aca="false">E539+F539</f>
        <v>0</v>
      </c>
      <c r="H539" s="35" t="n">
        <v>22904379.7292607</v>
      </c>
      <c r="I539" s="14" t="n">
        <f aca="false">D539*H539</f>
        <v>32993759</v>
      </c>
      <c r="J539" s="14" t="n">
        <f aca="false">E539*H539</f>
        <v>0</v>
      </c>
      <c r="K539" s="14" t="n">
        <f aca="false">F539*H539</f>
        <v>0</v>
      </c>
      <c r="L539" s="14" t="n">
        <f aca="false">G539*H539</f>
        <v>0</v>
      </c>
      <c r="M539" s="27"/>
    </row>
    <row r="540" customFormat="false" ht="15" hidden="false" customHeight="false" outlineLevel="0" collapsed="false">
      <c r="A540" s="29" t="s">
        <v>1056</v>
      </c>
      <c r="B540" s="27" t="s">
        <v>961</v>
      </c>
      <c r="C540" s="29" t="s">
        <v>149</v>
      </c>
      <c r="D540" s="34" t="n">
        <f aca="false">'PL.Khoi luong'!D535</f>
        <v>5.6953</v>
      </c>
      <c r="E540" s="34" t="n">
        <f aca="false">'PL.Khoi luong'!E535</f>
        <v>0</v>
      </c>
      <c r="F540" s="34" t="n">
        <f aca="false">'PL.Khoi luong'!F535</f>
        <v>0</v>
      </c>
      <c r="G540" s="32" t="n">
        <f aca="false">E540+F540</f>
        <v>0</v>
      </c>
      <c r="H540" s="35" t="n">
        <v>22691077.028427</v>
      </c>
      <c r="I540" s="14" t="n">
        <f aca="false">D540*H540</f>
        <v>129232491</v>
      </c>
      <c r="J540" s="14" t="n">
        <f aca="false">E540*H540</f>
        <v>0</v>
      </c>
      <c r="K540" s="14" t="n">
        <f aca="false">F540*H540</f>
        <v>0</v>
      </c>
      <c r="L540" s="14" t="n">
        <f aca="false">G540*H540</f>
        <v>0</v>
      </c>
      <c r="M540" s="27"/>
    </row>
    <row r="541" customFormat="false" ht="15" hidden="false" customHeight="false" outlineLevel="0" collapsed="false">
      <c r="A541" s="29" t="s">
        <v>1057</v>
      </c>
      <c r="B541" s="27" t="s">
        <v>963</v>
      </c>
      <c r="C541" s="29" t="s">
        <v>149</v>
      </c>
      <c r="D541" s="34" t="n">
        <f aca="false">'PL.Khoi luong'!D536</f>
        <v>0.6629</v>
      </c>
      <c r="E541" s="34" t="n">
        <f aca="false">'PL.Khoi luong'!E536</f>
        <v>0</v>
      </c>
      <c r="F541" s="34" t="n">
        <f aca="false">'PL.Khoi luong'!F536</f>
        <v>0</v>
      </c>
      <c r="G541" s="32" t="n">
        <f aca="false">E541+F541</f>
        <v>0</v>
      </c>
      <c r="H541" s="35" t="n">
        <v>22000315.2813396</v>
      </c>
      <c r="I541" s="14" t="n">
        <f aca="false">D541*H541</f>
        <v>14584009</v>
      </c>
      <c r="J541" s="14" t="n">
        <f aca="false">E541*H541</f>
        <v>0</v>
      </c>
      <c r="K541" s="14" t="n">
        <f aca="false">F541*H541</f>
        <v>0</v>
      </c>
      <c r="L541" s="14" t="n">
        <f aca="false">G541*H541</f>
        <v>0</v>
      </c>
      <c r="M541" s="27"/>
    </row>
    <row r="542" customFormat="false" ht="15" hidden="false" customHeight="false" outlineLevel="0" collapsed="false">
      <c r="A542" s="12" t="s">
        <v>1058</v>
      </c>
      <c r="B542" s="28" t="s">
        <v>1059</v>
      </c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</row>
    <row r="543" customFormat="false" ht="15" hidden="false" customHeight="false" outlineLevel="0" collapsed="false">
      <c r="A543" s="29" t="s">
        <v>1060</v>
      </c>
      <c r="B543" s="27" t="s">
        <v>1061</v>
      </c>
      <c r="C543" s="29" t="s">
        <v>1062</v>
      </c>
      <c r="D543" s="34" t="n">
        <f aca="false">'PL.Khoi luong'!D538</f>
        <v>3</v>
      </c>
      <c r="E543" s="34" t="n">
        <f aca="false">'PL.Khoi luong'!E538</f>
        <v>0</v>
      </c>
      <c r="F543" s="34" t="n">
        <f aca="false">'PL.Khoi luong'!F538</f>
        <v>0</v>
      </c>
      <c r="G543" s="32" t="n">
        <f aca="false">E543+F543</f>
        <v>0</v>
      </c>
      <c r="H543" s="35" t="n">
        <v>1065448</v>
      </c>
      <c r="I543" s="14" t="n">
        <f aca="false">D543*H543</f>
        <v>3196344</v>
      </c>
      <c r="J543" s="14" t="n">
        <f aca="false">E543*H543</f>
        <v>0</v>
      </c>
      <c r="K543" s="14" t="n">
        <f aca="false">F543*H543</f>
        <v>0</v>
      </c>
      <c r="L543" s="14" t="n">
        <f aca="false">G543*H543</f>
        <v>0</v>
      </c>
      <c r="M543" s="27"/>
    </row>
    <row r="544" customFormat="false" ht="15" hidden="false" customHeight="false" outlineLevel="0" collapsed="false">
      <c r="A544" s="29" t="s">
        <v>1063</v>
      </c>
      <c r="B544" s="27" t="s">
        <v>1064</v>
      </c>
      <c r="C544" s="29" t="s">
        <v>1065</v>
      </c>
      <c r="D544" s="34" t="n">
        <f aca="false">'PL.Khoi luong'!D539</f>
        <v>1</v>
      </c>
      <c r="E544" s="34" t="n">
        <f aca="false">'PL.Khoi luong'!E539</f>
        <v>0</v>
      </c>
      <c r="F544" s="34" t="n">
        <f aca="false">'PL.Khoi luong'!F539</f>
        <v>0</v>
      </c>
      <c r="G544" s="32" t="n">
        <f aca="false">E544+F544</f>
        <v>0</v>
      </c>
      <c r="H544" s="35" t="n">
        <v>979017</v>
      </c>
      <c r="I544" s="14" t="n">
        <f aca="false">D544*H544</f>
        <v>979017</v>
      </c>
      <c r="J544" s="14" t="n">
        <f aca="false">E544*H544</f>
        <v>0</v>
      </c>
      <c r="K544" s="14" t="n">
        <f aca="false">F544*H544</f>
        <v>0</v>
      </c>
      <c r="L544" s="14" t="n">
        <f aca="false">G544*H544</f>
        <v>0</v>
      </c>
      <c r="M544" s="27"/>
    </row>
    <row r="545" customFormat="false" ht="15" hidden="false" customHeight="false" outlineLevel="0" collapsed="false">
      <c r="A545" s="29" t="s">
        <v>1066</v>
      </c>
      <c r="B545" s="27" t="s">
        <v>1067</v>
      </c>
      <c r="C545" s="29" t="s">
        <v>224</v>
      </c>
      <c r="D545" s="34" t="n">
        <f aca="false">'PL.Khoi luong'!D540</f>
        <v>18</v>
      </c>
      <c r="E545" s="34" t="n">
        <f aca="false">'PL.Khoi luong'!E540</f>
        <v>0</v>
      </c>
      <c r="F545" s="34" t="n">
        <f aca="false">'PL.Khoi luong'!F540</f>
        <v>0</v>
      </c>
      <c r="G545" s="32" t="n">
        <f aca="false">E545+F545</f>
        <v>0</v>
      </c>
      <c r="H545" s="35" t="n">
        <v>555750</v>
      </c>
      <c r="I545" s="14" t="n">
        <f aca="false">D545*H545</f>
        <v>10003500</v>
      </c>
      <c r="J545" s="14" t="n">
        <f aca="false">E545*H545</f>
        <v>0</v>
      </c>
      <c r="K545" s="14" t="n">
        <f aca="false">F545*H545</f>
        <v>0</v>
      </c>
      <c r="L545" s="14" t="n">
        <f aca="false">G545*H545</f>
        <v>0</v>
      </c>
      <c r="M545" s="27"/>
    </row>
    <row r="546" customFormat="false" ht="15" hidden="false" customHeight="false" outlineLevel="0" collapsed="false">
      <c r="A546" s="29" t="s">
        <v>1068</v>
      </c>
      <c r="B546" s="27" t="s">
        <v>1069</v>
      </c>
      <c r="C546" s="29" t="s">
        <v>224</v>
      </c>
      <c r="D546" s="34" t="n">
        <f aca="false">'PL.Khoi luong'!D541</f>
        <v>18</v>
      </c>
      <c r="E546" s="34" t="n">
        <f aca="false">'PL.Khoi luong'!E541</f>
        <v>0</v>
      </c>
      <c r="F546" s="34" t="n">
        <f aca="false">'PL.Khoi luong'!F541</f>
        <v>0</v>
      </c>
      <c r="G546" s="32" t="n">
        <f aca="false">E546+F546</f>
        <v>0</v>
      </c>
      <c r="H546" s="35" t="n">
        <v>169566</v>
      </c>
      <c r="I546" s="14" t="n">
        <f aca="false">D546*H546</f>
        <v>3052188</v>
      </c>
      <c r="J546" s="14" t="n">
        <f aca="false">E546*H546</f>
        <v>0</v>
      </c>
      <c r="K546" s="14" t="n">
        <f aca="false">F546*H546</f>
        <v>0</v>
      </c>
      <c r="L546" s="14" t="n">
        <f aca="false">G546*H546</f>
        <v>0</v>
      </c>
      <c r="M546" s="27"/>
    </row>
    <row r="547" customFormat="false" ht="15" hidden="false" customHeight="false" outlineLevel="0" collapsed="false">
      <c r="A547" s="29" t="s">
        <v>1070</v>
      </c>
      <c r="B547" s="27" t="s">
        <v>1071</v>
      </c>
      <c r="C547" s="29" t="s">
        <v>240</v>
      </c>
      <c r="D547" s="34" t="n">
        <f aca="false">'PL.Khoi luong'!D542</f>
        <v>3</v>
      </c>
      <c r="E547" s="34" t="n">
        <f aca="false">'PL.Khoi luong'!E542</f>
        <v>0</v>
      </c>
      <c r="F547" s="34" t="n">
        <f aca="false">'PL.Khoi luong'!F542</f>
        <v>0</v>
      </c>
      <c r="G547" s="32" t="n">
        <f aca="false">E547+F547</f>
        <v>0</v>
      </c>
      <c r="H547" s="35" t="n">
        <v>965253</v>
      </c>
      <c r="I547" s="14" t="n">
        <f aca="false">D547*H547</f>
        <v>2895759</v>
      </c>
      <c r="J547" s="14" t="n">
        <f aca="false">E547*H547</f>
        <v>0</v>
      </c>
      <c r="K547" s="14" t="n">
        <f aca="false">F547*H547</f>
        <v>0</v>
      </c>
      <c r="L547" s="14" t="n">
        <f aca="false">G547*H547</f>
        <v>0</v>
      </c>
      <c r="M547" s="27"/>
    </row>
    <row r="548" customFormat="false" ht="15" hidden="false" customHeight="false" outlineLevel="0" collapsed="false">
      <c r="A548" s="29" t="s">
        <v>1072</v>
      </c>
      <c r="B548" s="27" t="s">
        <v>1073</v>
      </c>
      <c r="C548" s="29" t="s">
        <v>193</v>
      </c>
      <c r="D548" s="34" t="n">
        <f aca="false">'PL.Khoi luong'!D543</f>
        <v>20</v>
      </c>
      <c r="E548" s="34" t="n">
        <f aca="false">'PL.Khoi luong'!E543</f>
        <v>0</v>
      </c>
      <c r="F548" s="34" t="n">
        <f aca="false">'PL.Khoi luong'!F543</f>
        <v>0</v>
      </c>
      <c r="G548" s="32" t="n">
        <f aca="false">E548+F548</f>
        <v>0</v>
      </c>
      <c r="H548" s="35" t="n">
        <v>722933</v>
      </c>
      <c r="I548" s="14" t="n">
        <f aca="false">D548*H548</f>
        <v>14458660</v>
      </c>
      <c r="J548" s="14" t="n">
        <f aca="false">E548*H548</f>
        <v>0</v>
      </c>
      <c r="K548" s="14" t="n">
        <f aca="false">F548*H548</f>
        <v>0</v>
      </c>
      <c r="L548" s="14" t="n">
        <f aca="false">G548*H548</f>
        <v>0</v>
      </c>
      <c r="M548" s="27"/>
    </row>
    <row r="549" customFormat="false" ht="15" hidden="false" customHeight="false" outlineLevel="0" collapsed="false">
      <c r="A549" s="29" t="s">
        <v>1074</v>
      </c>
      <c r="B549" s="27" t="s">
        <v>1075</v>
      </c>
      <c r="C549" s="29" t="s">
        <v>193</v>
      </c>
      <c r="D549" s="34" t="n">
        <f aca="false">'PL.Khoi luong'!D544</f>
        <v>8</v>
      </c>
      <c r="E549" s="34" t="n">
        <f aca="false">'PL.Khoi luong'!E544</f>
        <v>0</v>
      </c>
      <c r="F549" s="34" t="n">
        <f aca="false">'PL.Khoi luong'!F544</f>
        <v>0</v>
      </c>
      <c r="G549" s="32" t="n">
        <f aca="false">E549+F549</f>
        <v>0</v>
      </c>
      <c r="H549" s="35" t="n">
        <v>442867</v>
      </c>
      <c r="I549" s="14" t="n">
        <f aca="false">D549*H549</f>
        <v>3542936</v>
      </c>
      <c r="J549" s="14" t="n">
        <f aca="false">E549*H549</f>
        <v>0</v>
      </c>
      <c r="K549" s="14" t="n">
        <f aca="false">F549*H549</f>
        <v>0</v>
      </c>
      <c r="L549" s="14" t="n">
        <f aca="false">G549*H549</f>
        <v>0</v>
      </c>
      <c r="M549" s="27"/>
    </row>
    <row r="550" customFormat="false" ht="15" hidden="false" customHeight="false" outlineLevel="0" collapsed="false">
      <c r="A550" s="29" t="s">
        <v>1076</v>
      </c>
      <c r="B550" s="27" t="s">
        <v>1077</v>
      </c>
      <c r="C550" s="29" t="s">
        <v>245</v>
      </c>
      <c r="D550" s="34" t="n">
        <f aca="false">'PL.Khoi luong'!D545</f>
        <v>0.02</v>
      </c>
      <c r="E550" s="34" t="n">
        <f aca="false">'PL.Khoi luong'!E545</f>
        <v>0</v>
      </c>
      <c r="F550" s="34" t="n">
        <f aca="false">'PL.Khoi luong'!F545</f>
        <v>0</v>
      </c>
      <c r="G550" s="32" t="n">
        <f aca="false">E550+F550</f>
        <v>0</v>
      </c>
      <c r="H550" s="35" t="n">
        <v>118584200</v>
      </c>
      <c r="I550" s="14" t="n">
        <f aca="false">D550*H550</f>
        <v>2371684</v>
      </c>
      <c r="J550" s="14" t="n">
        <f aca="false">E550*H550</f>
        <v>0</v>
      </c>
      <c r="K550" s="14" t="n">
        <f aca="false">F550*H550</f>
        <v>0</v>
      </c>
      <c r="L550" s="14" t="n">
        <f aca="false">G550*H550</f>
        <v>0</v>
      </c>
      <c r="M550" s="27"/>
    </row>
    <row r="551" customFormat="false" ht="15" hidden="false" customHeight="false" outlineLevel="0" collapsed="false">
      <c r="A551" s="29" t="s">
        <v>1078</v>
      </c>
      <c r="B551" s="27" t="s">
        <v>1079</v>
      </c>
      <c r="C551" s="29" t="s">
        <v>193</v>
      </c>
      <c r="D551" s="34" t="n">
        <f aca="false">'PL.Khoi luong'!D546</f>
        <v>1</v>
      </c>
      <c r="E551" s="34" t="n">
        <f aca="false">'PL.Khoi luong'!E546</f>
        <v>0</v>
      </c>
      <c r="F551" s="34" t="n">
        <f aca="false">'PL.Khoi luong'!F546</f>
        <v>0</v>
      </c>
      <c r="G551" s="32" t="n">
        <f aca="false">E551+F551</f>
        <v>0</v>
      </c>
      <c r="H551" s="35" t="n">
        <v>1357340</v>
      </c>
      <c r="I551" s="14" t="n">
        <f aca="false">D551*H551</f>
        <v>1357340</v>
      </c>
      <c r="J551" s="14" t="n">
        <f aca="false">E551*H551</f>
        <v>0</v>
      </c>
      <c r="K551" s="14" t="n">
        <f aca="false">F551*H551</f>
        <v>0</v>
      </c>
      <c r="L551" s="14" t="n">
        <f aca="false">G551*H551</f>
        <v>0</v>
      </c>
      <c r="M551" s="27"/>
    </row>
    <row r="552" customFormat="false" ht="15" hidden="false" customHeight="false" outlineLevel="0" collapsed="false">
      <c r="A552" s="29" t="s">
        <v>1080</v>
      </c>
      <c r="B552" s="27" t="s">
        <v>1081</v>
      </c>
      <c r="C552" s="29" t="s">
        <v>245</v>
      </c>
      <c r="D552" s="34" t="n">
        <f aca="false">'PL.Khoi luong'!D547</f>
        <v>0.4</v>
      </c>
      <c r="E552" s="34" t="n">
        <f aca="false">'PL.Khoi luong'!E547</f>
        <v>0</v>
      </c>
      <c r="F552" s="34" t="n">
        <f aca="false">'PL.Khoi luong'!F547</f>
        <v>0</v>
      </c>
      <c r="G552" s="32" t="n">
        <f aca="false">E552+F552</f>
        <v>0</v>
      </c>
      <c r="H552" s="35" t="n">
        <v>44553962.5</v>
      </c>
      <c r="I552" s="14" t="n">
        <f aca="false">D552*H552</f>
        <v>17821585</v>
      </c>
      <c r="J552" s="14" t="n">
        <f aca="false">E552*H552</f>
        <v>0</v>
      </c>
      <c r="K552" s="14" t="n">
        <f aca="false">F552*H552</f>
        <v>0</v>
      </c>
      <c r="L552" s="14" t="n">
        <f aca="false">G552*H552</f>
        <v>0</v>
      </c>
      <c r="M552" s="27"/>
    </row>
    <row r="553" customFormat="false" ht="26.85" hidden="false" customHeight="false" outlineLevel="0" collapsed="false">
      <c r="A553" s="29" t="s">
        <v>1082</v>
      </c>
      <c r="B553" s="27" t="s">
        <v>1083</v>
      </c>
      <c r="C553" s="29" t="s">
        <v>245</v>
      </c>
      <c r="D553" s="34" t="n">
        <f aca="false">'PL.Khoi luong'!D548</f>
        <v>0.06</v>
      </c>
      <c r="E553" s="34" t="n">
        <f aca="false">'PL.Khoi luong'!E548</f>
        <v>0</v>
      </c>
      <c r="F553" s="34" t="n">
        <f aca="false">'PL.Khoi luong'!F548</f>
        <v>0</v>
      </c>
      <c r="G553" s="32" t="n">
        <f aca="false">E553+F553</f>
        <v>0</v>
      </c>
      <c r="H553" s="35" t="n">
        <v>20699050</v>
      </c>
      <c r="I553" s="14" t="n">
        <f aca="false">D553*H553</f>
        <v>1241943</v>
      </c>
      <c r="J553" s="14" t="n">
        <f aca="false">E553*H553</f>
        <v>0</v>
      </c>
      <c r="K553" s="14" t="n">
        <f aca="false">F553*H553</f>
        <v>0</v>
      </c>
      <c r="L553" s="14" t="n">
        <f aca="false">G553*H553</f>
        <v>0</v>
      </c>
      <c r="M553" s="27"/>
    </row>
    <row r="554" customFormat="false" ht="15" hidden="false" customHeight="false" outlineLevel="0" collapsed="false">
      <c r="A554" s="29" t="s">
        <v>1084</v>
      </c>
      <c r="B554" s="27" t="s">
        <v>1085</v>
      </c>
      <c r="C554" s="29" t="s">
        <v>240</v>
      </c>
      <c r="D554" s="34" t="n">
        <f aca="false">'PL.Khoi luong'!D549</f>
        <v>10</v>
      </c>
      <c r="E554" s="34" t="n">
        <f aca="false">'PL.Khoi luong'!E549</f>
        <v>0</v>
      </c>
      <c r="F554" s="34" t="n">
        <f aca="false">'PL.Khoi luong'!F549</f>
        <v>0</v>
      </c>
      <c r="G554" s="32" t="n">
        <f aca="false">E554+F554</f>
        <v>0</v>
      </c>
      <c r="H554" s="35" t="n">
        <v>266438</v>
      </c>
      <c r="I554" s="14" t="n">
        <f aca="false">D554*H554</f>
        <v>2664380</v>
      </c>
      <c r="J554" s="14" t="n">
        <f aca="false">E554*H554</f>
        <v>0</v>
      </c>
      <c r="K554" s="14" t="n">
        <f aca="false">F554*H554</f>
        <v>0</v>
      </c>
      <c r="L554" s="14" t="n">
        <f aca="false">G554*H554</f>
        <v>0</v>
      </c>
      <c r="M554" s="27"/>
    </row>
    <row r="555" customFormat="false" ht="15" hidden="false" customHeight="false" outlineLevel="0" collapsed="false">
      <c r="A555" s="29" t="s">
        <v>1086</v>
      </c>
      <c r="B555" s="27" t="s">
        <v>1087</v>
      </c>
      <c r="C555" s="29" t="s">
        <v>240</v>
      </c>
      <c r="D555" s="34" t="n">
        <f aca="false">'PL.Khoi luong'!D550</f>
        <v>14</v>
      </c>
      <c r="E555" s="34" t="n">
        <f aca="false">'PL.Khoi luong'!E550</f>
        <v>0</v>
      </c>
      <c r="F555" s="34" t="n">
        <f aca="false">'PL.Khoi luong'!F550</f>
        <v>0</v>
      </c>
      <c r="G555" s="32" t="n">
        <f aca="false">E555+F555</f>
        <v>0</v>
      </c>
      <c r="H555" s="35" t="n">
        <v>2904232</v>
      </c>
      <c r="I555" s="14" t="n">
        <f aca="false">D555*H555</f>
        <v>40659248</v>
      </c>
      <c r="J555" s="14" t="n">
        <f aca="false">E555*H555</f>
        <v>0</v>
      </c>
      <c r="K555" s="14" t="n">
        <f aca="false">F555*H555</f>
        <v>0</v>
      </c>
      <c r="L555" s="14" t="n">
        <f aca="false">G555*H555</f>
        <v>0</v>
      </c>
      <c r="M555" s="27"/>
    </row>
    <row r="556" customFormat="false" ht="15" hidden="false" customHeight="false" outlineLevel="0" collapsed="false">
      <c r="A556" s="29" t="s">
        <v>1088</v>
      </c>
      <c r="B556" s="27" t="s">
        <v>1089</v>
      </c>
      <c r="C556" s="29" t="s">
        <v>240</v>
      </c>
      <c r="D556" s="34" t="n">
        <f aca="false">'PL.Khoi luong'!D551</f>
        <v>4</v>
      </c>
      <c r="E556" s="34" t="n">
        <f aca="false">'PL.Khoi luong'!E551</f>
        <v>0</v>
      </c>
      <c r="F556" s="34" t="n">
        <f aca="false">'PL.Khoi luong'!F551</f>
        <v>0</v>
      </c>
      <c r="G556" s="32" t="n">
        <f aca="false">E556+F556</f>
        <v>0</v>
      </c>
      <c r="H556" s="35" t="n">
        <v>1809914</v>
      </c>
      <c r="I556" s="14" t="n">
        <f aca="false">D556*H556</f>
        <v>7239656</v>
      </c>
      <c r="J556" s="14" t="n">
        <f aca="false">E556*H556</f>
        <v>0</v>
      </c>
      <c r="K556" s="14" t="n">
        <f aca="false">F556*H556</f>
        <v>0</v>
      </c>
      <c r="L556" s="14" t="n">
        <f aca="false">G556*H556</f>
        <v>0</v>
      </c>
      <c r="M556" s="27"/>
    </row>
    <row r="557" customFormat="false" ht="15" hidden="false" customHeight="false" outlineLevel="0" collapsed="false">
      <c r="A557" s="29" t="s">
        <v>1090</v>
      </c>
      <c r="B557" s="27" t="s">
        <v>1091</v>
      </c>
      <c r="C557" s="29" t="s">
        <v>240</v>
      </c>
      <c r="D557" s="34" t="n">
        <f aca="false">'PL.Khoi luong'!D552</f>
        <v>18</v>
      </c>
      <c r="E557" s="34" t="n">
        <f aca="false">'PL.Khoi luong'!E552</f>
        <v>0</v>
      </c>
      <c r="F557" s="34" t="n">
        <f aca="false">'PL.Khoi luong'!F552</f>
        <v>0</v>
      </c>
      <c r="G557" s="32" t="n">
        <f aca="false">E557+F557</f>
        <v>0</v>
      </c>
      <c r="H557" s="35" t="n">
        <v>731532</v>
      </c>
      <c r="I557" s="14" t="n">
        <f aca="false">D557*H557</f>
        <v>13167576</v>
      </c>
      <c r="J557" s="14" t="n">
        <f aca="false">E557*H557</f>
        <v>0</v>
      </c>
      <c r="K557" s="14" t="n">
        <f aca="false">F557*H557</f>
        <v>0</v>
      </c>
      <c r="L557" s="14" t="n">
        <f aca="false">G557*H557</f>
        <v>0</v>
      </c>
      <c r="M557" s="27"/>
    </row>
    <row r="558" customFormat="false" ht="15" hidden="false" customHeight="false" outlineLevel="0" collapsed="false">
      <c r="A558" s="29" t="s">
        <v>1092</v>
      </c>
      <c r="B558" s="27" t="s">
        <v>1093</v>
      </c>
      <c r="C558" s="29" t="s">
        <v>245</v>
      </c>
      <c r="D558" s="34" t="n">
        <f aca="false">'PL.Khoi luong'!D553</f>
        <v>0.15</v>
      </c>
      <c r="E558" s="34" t="n">
        <f aca="false">'PL.Khoi luong'!E553</f>
        <v>0</v>
      </c>
      <c r="F558" s="34" t="n">
        <f aca="false">'PL.Khoi luong'!F553</f>
        <v>0</v>
      </c>
      <c r="G558" s="32" t="n">
        <f aca="false">E558+F558</f>
        <v>0</v>
      </c>
      <c r="H558" s="35" t="n">
        <v>7935313.33333333</v>
      </c>
      <c r="I558" s="14" t="n">
        <f aca="false">D558*H558</f>
        <v>1190297</v>
      </c>
      <c r="J558" s="14" t="n">
        <f aca="false">E558*H558</f>
        <v>0</v>
      </c>
      <c r="K558" s="14" t="n">
        <f aca="false">F558*H558</f>
        <v>0</v>
      </c>
      <c r="L558" s="14" t="n">
        <f aca="false">G558*H558</f>
        <v>0</v>
      </c>
      <c r="M558" s="27"/>
    </row>
    <row r="559" customFormat="false" ht="15" hidden="false" customHeight="false" outlineLevel="0" collapsed="false">
      <c r="A559" s="29" t="s">
        <v>1094</v>
      </c>
      <c r="B559" s="27" t="s">
        <v>1095</v>
      </c>
      <c r="C559" s="29" t="s">
        <v>240</v>
      </c>
      <c r="D559" s="34" t="n">
        <f aca="false">'PL.Khoi luong'!D554</f>
        <v>2</v>
      </c>
      <c r="E559" s="34" t="n">
        <f aca="false">'PL.Khoi luong'!E554</f>
        <v>0</v>
      </c>
      <c r="F559" s="34" t="n">
        <f aca="false">'PL.Khoi luong'!F554</f>
        <v>0</v>
      </c>
      <c r="G559" s="32" t="n">
        <f aca="false">E559+F559</f>
        <v>0</v>
      </c>
      <c r="H559" s="35" t="n">
        <v>249013</v>
      </c>
      <c r="I559" s="14" t="n">
        <f aca="false">D559*H559</f>
        <v>498026</v>
      </c>
      <c r="J559" s="14" t="n">
        <f aca="false">E559*H559</f>
        <v>0</v>
      </c>
      <c r="K559" s="14" t="n">
        <f aca="false">F559*H559</f>
        <v>0</v>
      </c>
      <c r="L559" s="14" t="n">
        <f aca="false">G559*H559</f>
        <v>0</v>
      </c>
      <c r="M559" s="27"/>
    </row>
    <row r="560" customFormat="false" ht="15" hidden="false" customHeight="false" outlineLevel="0" collapsed="false">
      <c r="A560" s="29" t="s">
        <v>1096</v>
      </c>
      <c r="B560" s="27" t="s">
        <v>1097</v>
      </c>
      <c r="C560" s="29" t="s">
        <v>224</v>
      </c>
      <c r="D560" s="34" t="n">
        <f aca="false">'PL.Khoi luong'!D555</f>
        <v>25</v>
      </c>
      <c r="E560" s="34" t="n">
        <f aca="false">'PL.Khoi luong'!E555</f>
        <v>0</v>
      </c>
      <c r="F560" s="34" t="n">
        <f aca="false">'PL.Khoi luong'!F555</f>
        <v>0</v>
      </c>
      <c r="G560" s="32" t="n">
        <f aca="false">E560+F560</f>
        <v>0</v>
      </c>
      <c r="H560" s="35" t="n">
        <v>45280</v>
      </c>
      <c r="I560" s="14" t="n">
        <f aca="false">D560*H560</f>
        <v>1132000</v>
      </c>
      <c r="J560" s="14" t="n">
        <f aca="false">E560*H560</f>
        <v>0</v>
      </c>
      <c r="K560" s="14" t="n">
        <f aca="false">F560*H560</f>
        <v>0</v>
      </c>
      <c r="L560" s="14" t="n">
        <f aca="false">G560*H560</f>
        <v>0</v>
      </c>
      <c r="M560" s="27"/>
    </row>
    <row r="561" customFormat="false" ht="26.85" hidden="false" customHeight="false" outlineLevel="0" collapsed="false">
      <c r="A561" s="29" t="s">
        <v>1098</v>
      </c>
      <c r="B561" s="27" t="s">
        <v>1099</v>
      </c>
      <c r="C561" s="29" t="s">
        <v>224</v>
      </c>
      <c r="D561" s="34" t="n">
        <f aca="false">'PL.Khoi luong'!D556</f>
        <v>25</v>
      </c>
      <c r="E561" s="34" t="n">
        <f aca="false">'PL.Khoi luong'!E556</f>
        <v>0</v>
      </c>
      <c r="F561" s="34" t="n">
        <f aca="false">'PL.Khoi luong'!F556</f>
        <v>0</v>
      </c>
      <c r="G561" s="32" t="n">
        <f aca="false">E561+F561</f>
        <v>0</v>
      </c>
      <c r="H561" s="35" t="n">
        <v>66836</v>
      </c>
      <c r="I561" s="14" t="n">
        <f aca="false">D561*H561</f>
        <v>1670900</v>
      </c>
      <c r="J561" s="14" t="n">
        <f aca="false">E561*H561</f>
        <v>0</v>
      </c>
      <c r="K561" s="14" t="n">
        <f aca="false">F561*H561</f>
        <v>0</v>
      </c>
      <c r="L561" s="14" t="n">
        <f aca="false">G561*H561</f>
        <v>0</v>
      </c>
      <c r="M561" s="27"/>
    </row>
    <row r="562" customFormat="false" ht="15" hidden="false" customHeight="false" outlineLevel="0" collapsed="false">
      <c r="A562" s="29" t="s">
        <v>1100</v>
      </c>
      <c r="B562" s="27" t="s">
        <v>1101</v>
      </c>
      <c r="C562" s="29" t="s">
        <v>240</v>
      </c>
      <c r="D562" s="34" t="n">
        <f aca="false">'PL.Khoi luong'!D557</f>
        <v>20</v>
      </c>
      <c r="E562" s="34" t="n">
        <f aca="false">'PL.Khoi luong'!E557</f>
        <v>0</v>
      </c>
      <c r="F562" s="34" t="n">
        <f aca="false">'PL.Khoi luong'!F557</f>
        <v>0</v>
      </c>
      <c r="G562" s="32" t="n">
        <f aca="false">E562+F562</f>
        <v>0</v>
      </c>
      <c r="H562" s="35" t="n">
        <v>220474</v>
      </c>
      <c r="I562" s="14" t="n">
        <f aca="false">D562*H562</f>
        <v>4409480</v>
      </c>
      <c r="J562" s="14" t="n">
        <f aca="false">E562*H562</f>
        <v>0</v>
      </c>
      <c r="K562" s="14" t="n">
        <f aca="false">F562*H562</f>
        <v>0</v>
      </c>
      <c r="L562" s="14" t="n">
        <f aca="false">G562*H562</f>
        <v>0</v>
      </c>
      <c r="M562" s="27"/>
    </row>
    <row r="563" customFormat="false" ht="15" hidden="false" customHeight="false" outlineLevel="0" collapsed="false">
      <c r="A563" s="29" t="s">
        <v>1102</v>
      </c>
      <c r="B563" s="27" t="s">
        <v>1103</v>
      </c>
      <c r="C563" s="29" t="s">
        <v>240</v>
      </c>
      <c r="D563" s="34" t="n">
        <f aca="false">'PL.Khoi luong'!D558</f>
        <v>3</v>
      </c>
      <c r="E563" s="34" t="n">
        <f aca="false">'PL.Khoi luong'!E558</f>
        <v>0</v>
      </c>
      <c r="F563" s="34" t="n">
        <f aca="false">'PL.Khoi luong'!F558</f>
        <v>0</v>
      </c>
      <c r="G563" s="32" t="n">
        <f aca="false">E563+F563</f>
        <v>0</v>
      </c>
      <c r="H563" s="35" t="n">
        <v>2694681</v>
      </c>
      <c r="I563" s="14" t="n">
        <f aca="false">D563*H563</f>
        <v>8084043</v>
      </c>
      <c r="J563" s="14" t="n">
        <f aca="false">E563*H563</f>
        <v>0</v>
      </c>
      <c r="K563" s="14" t="n">
        <f aca="false">F563*H563</f>
        <v>0</v>
      </c>
      <c r="L563" s="14" t="n">
        <f aca="false">G563*H563</f>
        <v>0</v>
      </c>
      <c r="M563" s="27"/>
    </row>
    <row r="564" customFormat="false" ht="15" hidden="false" customHeight="false" outlineLevel="0" collapsed="false">
      <c r="A564" s="29" t="s">
        <v>1104</v>
      </c>
      <c r="B564" s="27" t="s">
        <v>1105</v>
      </c>
      <c r="C564" s="29" t="s">
        <v>240</v>
      </c>
      <c r="D564" s="34" t="n">
        <f aca="false">'PL.Khoi luong'!D559</f>
        <v>2</v>
      </c>
      <c r="E564" s="34" t="n">
        <f aca="false">'PL.Khoi luong'!E559</f>
        <v>0</v>
      </c>
      <c r="F564" s="34" t="n">
        <f aca="false">'PL.Khoi luong'!F559</f>
        <v>0</v>
      </c>
      <c r="G564" s="32" t="n">
        <f aca="false">E564+F564</f>
        <v>0</v>
      </c>
      <c r="H564" s="35" t="n">
        <v>3707607</v>
      </c>
      <c r="I564" s="14" t="n">
        <f aca="false">D564*H564</f>
        <v>7415214</v>
      </c>
      <c r="J564" s="14" t="n">
        <f aca="false">E564*H564</f>
        <v>0</v>
      </c>
      <c r="K564" s="14" t="n">
        <f aca="false">F564*H564</f>
        <v>0</v>
      </c>
      <c r="L564" s="14" t="n">
        <f aca="false">G564*H564</f>
        <v>0</v>
      </c>
      <c r="M564" s="27"/>
    </row>
    <row r="565" customFormat="false" ht="15" hidden="false" customHeight="false" outlineLevel="0" collapsed="false">
      <c r="A565" s="29" t="s">
        <v>1106</v>
      </c>
      <c r="B565" s="27" t="s">
        <v>1107</v>
      </c>
      <c r="C565" s="29" t="s">
        <v>240</v>
      </c>
      <c r="D565" s="34" t="n">
        <f aca="false">'PL.Khoi luong'!D560</f>
        <v>1</v>
      </c>
      <c r="E565" s="34" t="n">
        <f aca="false">'PL.Khoi luong'!E560</f>
        <v>0</v>
      </c>
      <c r="F565" s="34" t="n">
        <f aca="false">'PL.Khoi luong'!F560</f>
        <v>0</v>
      </c>
      <c r="G565" s="32" t="n">
        <f aca="false">E565+F565</f>
        <v>0</v>
      </c>
      <c r="H565" s="35" t="n">
        <v>4199962</v>
      </c>
      <c r="I565" s="14" t="n">
        <f aca="false">D565*H565</f>
        <v>4199962</v>
      </c>
      <c r="J565" s="14" t="n">
        <f aca="false">E565*H565</f>
        <v>0</v>
      </c>
      <c r="K565" s="14" t="n">
        <f aca="false">F565*H565</f>
        <v>0</v>
      </c>
      <c r="L565" s="14" t="n">
        <f aca="false">G565*H565</f>
        <v>0</v>
      </c>
      <c r="M565" s="27"/>
    </row>
    <row r="566" customFormat="false" ht="15" hidden="false" customHeight="false" outlineLevel="0" collapsed="false">
      <c r="A566" s="29" t="s">
        <v>1108</v>
      </c>
      <c r="B566" s="27" t="s">
        <v>1109</v>
      </c>
      <c r="C566" s="29" t="s">
        <v>240</v>
      </c>
      <c r="D566" s="34" t="n">
        <f aca="false">'PL.Khoi luong'!D561</f>
        <v>1</v>
      </c>
      <c r="E566" s="34" t="n">
        <f aca="false">'PL.Khoi luong'!E561</f>
        <v>0</v>
      </c>
      <c r="F566" s="34" t="n">
        <f aca="false">'PL.Khoi luong'!F561</f>
        <v>0</v>
      </c>
      <c r="G566" s="32" t="n">
        <f aca="false">E566+F566</f>
        <v>0</v>
      </c>
      <c r="H566" s="35" t="n">
        <v>1648128</v>
      </c>
      <c r="I566" s="14" t="n">
        <f aca="false">D566*H566</f>
        <v>1648128</v>
      </c>
      <c r="J566" s="14" t="n">
        <f aca="false">E566*H566</f>
        <v>0</v>
      </c>
      <c r="K566" s="14" t="n">
        <f aca="false">F566*H566</f>
        <v>0</v>
      </c>
      <c r="L566" s="14" t="n">
        <f aca="false">G566*H566</f>
        <v>0</v>
      </c>
      <c r="M566" s="27"/>
    </row>
    <row r="567" customFormat="false" ht="15" hidden="false" customHeight="false" outlineLevel="0" collapsed="false">
      <c r="A567" s="29" t="s">
        <v>1110</v>
      </c>
      <c r="B567" s="27" t="s">
        <v>1111</v>
      </c>
      <c r="C567" s="29" t="s">
        <v>240</v>
      </c>
      <c r="D567" s="34" t="n">
        <f aca="false">'PL.Khoi luong'!D562</f>
        <v>1</v>
      </c>
      <c r="E567" s="34" t="n">
        <f aca="false">'PL.Khoi luong'!E562</f>
        <v>0</v>
      </c>
      <c r="F567" s="34" t="n">
        <f aca="false">'PL.Khoi luong'!F562</f>
        <v>0</v>
      </c>
      <c r="G567" s="32" t="n">
        <f aca="false">E567+F567</f>
        <v>0</v>
      </c>
      <c r="H567" s="35" t="n">
        <v>1542591</v>
      </c>
      <c r="I567" s="14" t="n">
        <f aca="false">D567*H567</f>
        <v>1542591</v>
      </c>
      <c r="J567" s="14" t="n">
        <f aca="false">E567*H567</f>
        <v>0</v>
      </c>
      <c r="K567" s="14" t="n">
        <f aca="false">F567*H567</f>
        <v>0</v>
      </c>
      <c r="L567" s="14" t="n">
        <f aca="false">G567*H567</f>
        <v>0</v>
      </c>
      <c r="M567" s="27"/>
    </row>
    <row r="568" customFormat="false" ht="15" hidden="false" customHeight="false" outlineLevel="0" collapsed="false">
      <c r="A568" s="29" t="s">
        <v>1112</v>
      </c>
      <c r="B568" s="27" t="s">
        <v>1113</v>
      </c>
      <c r="C568" s="29" t="s">
        <v>240</v>
      </c>
      <c r="D568" s="34" t="n">
        <f aca="false">'PL.Khoi luong'!D563</f>
        <v>1</v>
      </c>
      <c r="E568" s="34" t="n">
        <f aca="false">'PL.Khoi luong'!E563</f>
        <v>0</v>
      </c>
      <c r="F568" s="34" t="n">
        <f aca="false">'PL.Khoi luong'!F563</f>
        <v>0</v>
      </c>
      <c r="G568" s="32" t="n">
        <f aca="false">E568+F568</f>
        <v>0</v>
      </c>
      <c r="H568" s="35" t="n">
        <v>6369246</v>
      </c>
      <c r="I568" s="14" t="n">
        <f aca="false">D568*H568</f>
        <v>6369246</v>
      </c>
      <c r="J568" s="14" t="n">
        <f aca="false">E568*H568</f>
        <v>0</v>
      </c>
      <c r="K568" s="14" t="n">
        <f aca="false">F568*H568</f>
        <v>0</v>
      </c>
      <c r="L568" s="14" t="n">
        <f aca="false">G568*H568</f>
        <v>0</v>
      </c>
      <c r="M568" s="27"/>
    </row>
    <row r="569" customFormat="false" ht="15" hidden="false" customHeight="false" outlineLevel="0" collapsed="false">
      <c r="A569" s="29" t="s">
        <v>1114</v>
      </c>
      <c r="B569" s="27" t="s">
        <v>1115</v>
      </c>
      <c r="C569" s="29" t="s">
        <v>240</v>
      </c>
      <c r="D569" s="34" t="n">
        <f aca="false">'PL.Khoi luong'!D564</f>
        <v>2</v>
      </c>
      <c r="E569" s="34" t="n">
        <f aca="false">'PL.Khoi luong'!E564</f>
        <v>0</v>
      </c>
      <c r="F569" s="34" t="n">
        <f aca="false">'PL.Khoi luong'!F564</f>
        <v>0</v>
      </c>
      <c r="G569" s="32" t="n">
        <f aca="false">E569+F569</f>
        <v>0</v>
      </c>
      <c r="H569" s="35" t="n">
        <v>1416790</v>
      </c>
      <c r="I569" s="14" t="n">
        <f aca="false">D569*H569</f>
        <v>2833580</v>
      </c>
      <c r="J569" s="14" t="n">
        <f aca="false">E569*H569</f>
        <v>0</v>
      </c>
      <c r="K569" s="14" t="n">
        <f aca="false">F569*H569</f>
        <v>0</v>
      </c>
      <c r="L569" s="14" t="n">
        <f aca="false">G569*H569</f>
        <v>0</v>
      </c>
      <c r="M569" s="27"/>
    </row>
    <row r="570" customFormat="false" ht="15" hidden="false" customHeight="false" outlineLevel="0" collapsed="false">
      <c r="A570" s="29" t="s">
        <v>1116</v>
      </c>
      <c r="B570" s="27" t="s">
        <v>1117</v>
      </c>
      <c r="C570" s="29" t="s">
        <v>240</v>
      </c>
      <c r="D570" s="34" t="n">
        <f aca="false">'PL.Khoi luong'!D565</f>
        <v>2</v>
      </c>
      <c r="E570" s="34" t="n">
        <f aca="false">'PL.Khoi luong'!E565</f>
        <v>0</v>
      </c>
      <c r="F570" s="34" t="n">
        <f aca="false">'PL.Khoi luong'!F565</f>
        <v>0</v>
      </c>
      <c r="G570" s="32" t="n">
        <f aca="false">E570+F570</f>
        <v>0</v>
      </c>
      <c r="H570" s="35" t="n">
        <v>793776</v>
      </c>
      <c r="I570" s="14" t="n">
        <f aca="false">D570*H570</f>
        <v>1587552</v>
      </c>
      <c r="J570" s="14" t="n">
        <f aca="false">E570*H570</f>
        <v>0</v>
      </c>
      <c r="K570" s="14" t="n">
        <f aca="false">F570*H570</f>
        <v>0</v>
      </c>
      <c r="L570" s="14" t="n">
        <f aca="false">G570*H570</f>
        <v>0</v>
      </c>
      <c r="M570" s="27"/>
    </row>
    <row r="571" customFormat="false" ht="15" hidden="false" customHeight="false" outlineLevel="0" collapsed="false">
      <c r="A571" s="29" t="s">
        <v>1118</v>
      </c>
      <c r="B571" s="27" t="s">
        <v>1119</v>
      </c>
      <c r="C571" s="29" t="s">
        <v>1120</v>
      </c>
      <c r="D571" s="34" t="n">
        <f aca="false">'PL.Khoi luong'!D566</f>
        <v>1</v>
      </c>
      <c r="E571" s="34" t="n">
        <f aca="false">'PL.Khoi luong'!E566</f>
        <v>0</v>
      </c>
      <c r="F571" s="34" t="n">
        <f aca="false">'PL.Khoi luong'!F566</f>
        <v>0</v>
      </c>
      <c r="G571" s="32" t="n">
        <f aca="false">E571+F571</f>
        <v>0</v>
      </c>
      <c r="H571" s="35" t="n">
        <v>2759242</v>
      </c>
      <c r="I571" s="14" t="n">
        <f aca="false">D571*H571</f>
        <v>2759242</v>
      </c>
      <c r="J571" s="14" t="n">
        <f aca="false">E571*H571</f>
        <v>0</v>
      </c>
      <c r="K571" s="14" t="n">
        <f aca="false">F571*H571</f>
        <v>0</v>
      </c>
      <c r="L571" s="14" t="n">
        <f aca="false">G571*H571</f>
        <v>0</v>
      </c>
      <c r="M571" s="27"/>
    </row>
    <row r="572" customFormat="false" ht="15" hidden="false" customHeight="false" outlineLevel="0" collapsed="false">
      <c r="A572" s="29" t="s">
        <v>1121</v>
      </c>
      <c r="B572" s="27" t="s">
        <v>1122</v>
      </c>
      <c r="C572" s="29" t="s">
        <v>240</v>
      </c>
      <c r="D572" s="34" t="n">
        <f aca="false">'PL.Khoi luong'!D567</f>
        <v>1</v>
      </c>
      <c r="E572" s="34" t="n">
        <f aca="false">'PL.Khoi luong'!E567</f>
        <v>0</v>
      </c>
      <c r="F572" s="34" t="n">
        <f aca="false">'PL.Khoi luong'!F567</f>
        <v>0</v>
      </c>
      <c r="G572" s="32" t="n">
        <f aca="false">E572+F572</f>
        <v>0</v>
      </c>
      <c r="H572" s="35" t="n">
        <v>832901</v>
      </c>
      <c r="I572" s="14" t="n">
        <f aca="false">D572*H572</f>
        <v>832901</v>
      </c>
      <c r="J572" s="14" t="n">
        <f aca="false">E572*H572</f>
        <v>0</v>
      </c>
      <c r="K572" s="14" t="n">
        <f aca="false">F572*H572</f>
        <v>0</v>
      </c>
      <c r="L572" s="14" t="n">
        <f aca="false">G572*H572</f>
        <v>0</v>
      </c>
      <c r="M572" s="27"/>
    </row>
    <row r="573" customFormat="false" ht="15" hidden="false" customHeight="false" outlineLevel="0" collapsed="false">
      <c r="A573" s="29" t="s">
        <v>1123</v>
      </c>
      <c r="B573" s="27" t="s">
        <v>1124</v>
      </c>
      <c r="C573" s="29" t="s">
        <v>1125</v>
      </c>
      <c r="D573" s="34" t="n">
        <f aca="false">'PL.Khoi luong'!D568</f>
        <v>0.2</v>
      </c>
      <c r="E573" s="34" t="n">
        <f aca="false">'PL.Khoi luong'!E568</f>
        <v>0</v>
      </c>
      <c r="F573" s="34" t="n">
        <f aca="false">'PL.Khoi luong'!F568</f>
        <v>0</v>
      </c>
      <c r="G573" s="32" t="n">
        <f aca="false">E573+F573</f>
        <v>0</v>
      </c>
      <c r="H573" s="35" t="n">
        <v>2690385</v>
      </c>
      <c r="I573" s="14" t="n">
        <f aca="false">D573*H573</f>
        <v>538077</v>
      </c>
      <c r="J573" s="14" t="n">
        <f aca="false">E573*H573</f>
        <v>0</v>
      </c>
      <c r="K573" s="14" t="n">
        <f aca="false">F573*H573</f>
        <v>0</v>
      </c>
      <c r="L573" s="14" t="n">
        <f aca="false">G573*H573</f>
        <v>0</v>
      </c>
      <c r="M573" s="27"/>
    </row>
    <row r="574" customFormat="false" ht="15" hidden="false" customHeight="false" outlineLevel="0" collapsed="false">
      <c r="A574" s="29" t="s">
        <v>1126</v>
      </c>
      <c r="B574" s="27" t="s">
        <v>1127</v>
      </c>
      <c r="C574" s="29" t="s">
        <v>240</v>
      </c>
      <c r="D574" s="34" t="n">
        <f aca="false">'PL.Khoi luong'!D569</f>
        <v>1</v>
      </c>
      <c r="E574" s="34" t="n">
        <f aca="false">'PL.Khoi luong'!E569</f>
        <v>0</v>
      </c>
      <c r="F574" s="34" t="n">
        <f aca="false">'PL.Khoi luong'!F569</f>
        <v>0</v>
      </c>
      <c r="G574" s="32" t="n">
        <f aca="false">E574+F574</f>
        <v>0</v>
      </c>
      <c r="H574" s="35" t="n">
        <v>269469</v>
      </c>
      <c r="I574" s="14" t="n">
        <f aca="false">D574*H574</f>
        <v>269469</v>
      </c>
      <c r="J574" s="14" t="n">
        <f aca="false">E574*H574</f>
        <v>0</v>
      </c>
      <c r="K574" s="14" t="n">
        <f aca="false">F574*H574</f>
        <v>0</v>
      </c>
      <c r="L574" s="14" t="n">
        <f aca="false">G574*H574</f>
        <v>0</v>
      </c>
      <c r="M574" s="27"/>
    </row>
    <row r="575" customFormat="false" ht="15" hidden="false" customHeight="false" outlineLevel="0" collapsed="false">
      <c r="A575" s="29" t="s">
        <v>1128</v>
      </c>
      <c r="B575" s="27" t="s">
        <v>1129</v>
      </c>
      <c r="C575" s="29" t="s">
        <v>240</v>
      </c>
      <c r="D575" s="34" t="n">
        <f aca="false">'PL.Khoi luong'!D570</f>
        <v>2</v>
      </c>
      <c r="E575" s="34" t="n">
        <f aca="false">'PL.Khoi luong'!E570</f>
        <v>0</v>
      </c>
      <c r="F575" s="34" t="n">
        <f aca="false">'PL.Khoi luong'!F570</f>
        <v>0</v>
      </c>
      <c r="G575" s="32" t="n">
        <f aca="false">E575+F575</f>
        <v>0</v>
      </c>
      <c r="H575" s="35" t="n">
        <v>673671</v>
      </c>
      <c r="I575" s="14" t="n">
        <f aca="false">D575*H575</f>
        <v>1347342</v>
      </c>
      <c r="J575" s="14" t="n">
        <f aca="false">E575*H575</f>
        <v>0</v>
      </c>
      <c r="K575" s="14" t="n">
        <f aca="false">F575*H575</f>
        <v>0</v>
      </c>
      <c r="L575" s="14" t="n">
        <f aca="false">G575*H575</f>
        <v>0</v>
      </c>
      <c r="M575" s="27"/>
    </row>
    <row r="576" customFormat="false" ht="15" hidden="false" customHeight="false" outlineLevel="0" collapsed="false">
      <c r="A576" s="29" t="s">
        <v>1130</v>
      </c>
      <c r="B576" s="27" t="s">
        <v>1131</v>
      </c>
      <c r="C576" s="29" t="s">
        <v>240</v>
      </c>
      <c r="D576" s="34" t="n">
        <f aca="false">'PL.Khoi luong'!D571</f>
        <v>1</v>
      </c>
      <c r="E576" s="34" t="n">
        <f aca="false">'PL.Khoi luong'!E571</f>
        <v>0</v>
      </c>
      <c r="F576" s="34" t="n">
        <f aca="false">'PL.Khoi luong'!F571</f>
        <v>0</v>
      </c>
      <c r="G576" s="32" t="n">
        <f aca="false">E576+F576</f>
        <v>0</v>
      </c>
      <c r="H576" s="35" t="n">
        <v>22758385</v>
      </c>
      <c r="I576" s="14" t="n">
        <f aca="false">D576*H576</f>
        <v>22758385</v>
      </c>
      <c r="J576" s="14" t="n">
        <f aca="false">E576*H576</f>
        <v>0</v>
      </c>
      <c r="K576" s="14" t="n">
        <f aca="false">F576*H576</f>
        <v>0</v>
      </c>
      <c r="L576" s="14" t="n">
        <f aca="false">G576*H576</f>
        <v>0</v>
      </c>
      <c r="M576" s="27"/>
    </row>
    <row r="577" customFormat="false" ht="26.85" hidden="false" customHeight="false" outlineLevel="0" collapsed="false">
      <c r="A577" s="12" t="s">
        <v>1132</v>
      </c>
      <c r="B577" s="13" t="s">
        <v>1133</v>
      </c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</row>
    <row r="578" customFormat="false" ht="15" hidden="false" customHeight="false" outlineLevel="0" collapsed="false">
      <c r="A578" s="29" t="s">
        <v>1134</v>
      </c>
      <c r="B578" s="27" t="s">
        <v>1135</v>
      </c>
      <c r="C578" s="29" t="s">
        <v>1136</v>
      </c>
      <c r="D578" s="34" t="n">
        <f aca="false">'PL.Khoi luong'!D573</f>
        <v>1</v>
      </c>
      <c r="E578" s="34" t="n">
        <f aca="false">'PL.Khoi luong'!E573</f>
        <v>0</v>
      </c>
      <c r="F578" s="34" t="n">
        <f aca="false">'PL.Khoi luong'!F573</f>
        <v>0</v>
      </c>
      <c r="G578" s="32" t="n">
        <f aca="false">E578+F578</f>
        <v>0</v>
      </c>
      <c r="H578" s="35" t="n">
        <v>238457810</v>
      </c>
      <c r="I578" s="14" t="n">
        <f aca="false">D578*H578</f>
        <v>238457810</v>
      </c>
      <c r="J578" s="14" t="n">
        <f aca="false">E578*H578</f>
        <v>0</v>
      </c>
      <c r="K578" s="14" t="n">
        <f aca="false">F578*H578</f>
        <v>0</v>
      </c>
      <c r="L578" s="14" t="n">
        <f aca="false">G578*H578</f>
        <v>0</v>
      </c>
      <c r="M578" s="27"/>
    </row>
    <row r="579" customFormat="false" ht="15" hidden="false" customHeight="false" outlineLevel="0" collapsed="false">
      <c r="A579" s="12" t="s">
        <v>1137</v>
      </c>
      <c r="B579" s="13" t="s">
        <v>1138</v>
      </c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</row>
    <row r="580" customFormat="false" ht="15" hidden="false" customHeight="false" outlineLevel="0" collapsed="false">
      <c r="A580" s="29" t="s">
        <v>1139</v>
      </c>
      <c r="B580" s="27" t="s">
        <v>1140</v>
      </c>
      <c r="C580" s="29" t="s">
        <v>1136</v>
      </c>
      <c r="D580" s="34" t="n">
        <f aca="false">'PL.Khoi luong'!D575</f>
        <v>1</v>
      </c>
      <c r="E580" s="34" t="n">
        <f aca="false">'PL.Khoi luong'!E575</f>
        <v>0</v>
      </c>
      <c r="F580" s="34" t="n">
        <f aca="false">'PL.Khoi luong'!F575</f>
        <v>0</v>
      </c>
      <c r="G580" s="32" t="n">
        <f aca="false">E580+F580</f>
        <v>0</v>
      </c>
      <c r="H580" s="35" t="n">
        <v>21600000</v>
      </c>
      <c r="I580" s="14" t="n">
        <f aca="false">D580*H580</f>
        <v>21600000</v>
      </c>
      <c r="J580" s="14" t="n">
        <f aca="false">E580*H580</f>
        <v>0</v>
      </c>
      <c r="K580" s="14" t="n">
        <f aca="false">F580*H580</f>
        <v>0</v>
      </c>
      <c r="L580" s="14" t="n">
        <f aca="false">G580*H580</f>
        <v>0</v>
      </c>
      <c r="M580" s="27"/>
    </row>
    <row r="581" customFormat="false" ht="15" hidden="false" customHeight="false" outlineLevel="0" collapsed="false">
      <c r="A581" s="12" t="s">
        <v>1141</v>
      </c>
      <c r="B581" s="13" t="s">
        <v>1142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</row>
    <row r="582" customFormat="false" ht="26.85" hidden="false" customHeight="false" outlineLevel="0" collapsed="false">
      <c r="A582" s="29" t="s">
        <v>1143</v>
      </c>
      <c r="B582" s="27" t="s">
        <v>1144</v>
      </c>
      <c r="C582" s="29" t="s">
        <v>1136</v>
      </c>
      <c r="D582" s="34" t="n">
        <f aca="false">'PL.Khoi luong'!D577</f>
        <v>1</v>
      </c>
      <c r="E582" s="34" t="n">
        <f aca="false">'PL.Khoi luong'!E577</f>
        <v>0</v>
      </c>
      <c r="F582" s="34" t="n">
        <f aca="false">'PL.Khoi luong'!F577</f>
        <v>0</v>
      </c>
      <c r="G582" s="32" t="n">
        <f aca="false">E582+F582</f>
        <v>0</v>
      </c>
      <c r="H582" s="35" t="n">
        <v>21600000</v>
      </c>
      <c r="I582" s="14" t="n">
        <f aca="false">D582*H582</f>
        <v>21600000</v>
      </c>
      <c r="J582" s="14" t="n">
        <f aca="false">E582*H582</f>
        <v>0</v>
      </c>
      <c r="K582" s="14" t="n">
        <f aca="false">F582*H582</f>
        <v>0</v>
      </c>
      <c r="L582" s="14" t="n">
        <f aca="false">G582*H582</f>
        <v>0</v>
      </c>
      <c r="M582" s="27"/>
    </row>
    <row r="583" customFormat="false" ht="26.85" hidden="false" customHeight="false" outlineLevel="0" collapsed="false">
      <c r="A583" s="12" t="s">
        <v>1145</v>
      </c>
      <c r="B583" s="13" t="s">
        <v>1146</v>
      </c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</row>
    <row r="584" customFormat="false" ht="26.85" hidden="false" customHeight="false" outlineLevel="0" collapsed="false">
      <c r="A584" s="29" t="s">
        <v>1147</v>
      </c>
      <c r="B584" s="27" t="s">
        <v>1148</v>
      </c>
      <c r="C584" s="29" t="s">
        <v>1136</v>
      </c>
      <c r="D584" s="34" t="n">
        <f aca="false">'PL.Khoi luong'!D579</f>
        <v>1</v>
      </c>
      <c r="E584" s="34" t="n">
        <f aca="false">'PL.Khoi luong'!E579</f>
        <v>0</v>
      </c>
      <c r="F584" s="34" t="n">
        <f aca="false">'PL.Khoi luong'!F579</f>
        <v>0</v>
      </c>
      <c r="G584" s="32" t="n">
        <f aca="false">E584+F584</f>
        <v>0</v>
      </c>
      <c r="H584" s="35" t="n">
        <v>3241955</v>
      </c>
      <c r="I584" s="14" t="n">
        <f aca="false">D584*H584</f>
        <v>3241955</v>
      </c>
      <c r="J584" s="14" t="n">
        <f aca="false">E584*H584</f>
        <v>0</v>
      </c>
      <c r="K584" s="14" t="n">
        <f aca="false">F584*H584</f>
        <v>0</v>
      </c>
      <c r="L584" s="14" t="n">
        <f aca="false">G584*H584</f>
        <v>0</v>
      </c>
      <c r="M584" s="27"/>
    </row>
    <row r="585" customFormat="false" ht="15" hidden="false" customHeight="false" outlineLevel="0" collapsed="false">
      <c r="A585" s="12" t="s">
        <v>1149</v>
      </c>
      <c r="B585" s="13" t="s">
        <v>1150</v>
      </c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</row>
    <row r="586" customFormat="false" ht="26.85" hidden="false" customHeight="false" outlineLevel="0" collapsed="false">
      <c r="A586" s="29" t="s">
        <v>1151</v>
      </c>
      <c r="B586" s="27" t="s">
        <v>1152</v>
      </c>
      <c r="C586" s="29" t="s">
        <v>1136</v>
      </c>
      <c r="D586" s="34" t="n">
        <f aca="false">'PL.Khoi luong'!D581</f>
        <v>1</v>
      </c>
      <c r="E586" s="34" t="n">
        <f aca="false">'PL.Khoi luong'!E581</f>
        <v>0</v>
      </c>
      <c r="F586" s="34" t="n">
        <f aca="false">'PL.Khoi luong'!F581</f>
        <v>0</v>
      </c>
      <c r="G586" s="32" t="n">
        <f aca="false">E586+F586</f>
        <v>0</v>
      </c>
      <c r="H586" s="35" t="n">
        <v>3931770</v>
      </c>
      <c r="I586" s="14" t="n">
        <f aca="false">D586*H586</f>
        <v>3931770</v>
      </c>
      <c r="J586" s="14" t="n">
        <f aca="false">E586*H586</f>
        <v>0</v>
      </c>
      <c r="K586" s="14" t="n">
        <f aca="false">F586*H586</f>
        <v>0</v>
      </c>
      <c r="L586" s="14" t="n">
        <f aca="false">G586*H586</f>
        <v>0</v>
      </c>
      <c r="M586" s="27"/>
    </row>
    <row r="587" customFormat="false" ht="26.85" hidden="false" customHeight="false" outlineLevel="0" collapsed="false">
      <c r="A587" s="12" t="s">
        <v>1153</v>
      </c>
      <c r="B587" s="13" t="s">
        <v>1154</v>
      </c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</row>
    <row r="588" customFormat="false" ht="26.85" hidden="false" customHeight="false" outlineLevel="0" collapsed="false">
      <c r="A588" s="29" t="s">
        <v>1155</v>
      </c>
      <c r="B588" s="27" t="s">
        <v>1156</v>
      </c>
      <c r="C588" s="29" t="s">
        <v>1136</v>
      </c>
      <c r="D588" s="34" t="n">
        <f aca="false">'PL.Khoi luong'!D583</f>
        <v>1</v>
      </c>
      <c r="E588" s="34" t="n">
        <f aca="false">'PL.Khoi luong'!E583</f>
        <v>0</v>
      </c>
      <c r="F588" s="34" t="n">
        <f aca="false">'PL.Khoi luong'!F583</f>
        <v>0</v>
      </c>
      <c r="G588" s="32" t="n">
        <f aca="false">E588+F588</f>
        <v>0</v>
      </c>
      <c r="H588" s="35" t="n">
        <v>16910064</v>
      </c>
      <c r="I588" s="14" t="n">
        <f aca="false">D588*H588</f>
        <v>16910064</v>
      </c>
      <c r="J588" s="14" t="n">
        <f aca="false">E588*H588</f>
        <v>0</v>
      </c>
      <c r="K588" s="14" t="n">
        <f aca="false">F588*H588</f>
        <v>0</v>
      </c>
      <c r="L588" s="14" t="n">
        <f aca="false">G588*H588</f>
        <v>0</v>
      </c>
      <c r="M588" s="27"/>
    </row>
    <row r="589" customFormat="false" ht="15" hidden="false" customHeight="false" outlineLevel="0" collapsed="false">
      <c r="A589" s="12" t="s">
        <v>1157</v>
      </c>
      <c r="B589" s="13" t="s">
        <v>1158</v>
      </c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</row>
    <row r="590" customFormat="false" ht="26.85" hidden="false" customHeight="false" outlineLevel="0" collapsed="false">
      <c r="A590" s="29" t="s">
        <v>1159</v>
      </c>
      <c r="B590" s="27" t="s">
        <v>1160</v>
      </c>
      <c r="C590" s="29" t="s">
        <v>920</v>
      </c>
      <c r="D590" s="34" t="n">
        <f aca="false">'PL.Khoi luong'!D585</f>
        <v>1</v>
      </c>
      <c r="E590" s="34" t="n">
        <f aca="false">'PL.Khoi luong'!E585</f>
        <v>0</v>
      </c>
      <c r="F590" s="34" t="n">
        <f aca="false">'PL.Khoi luong'!F585</f>
        <v>0</v>
      </c>
      <c r="G590" s="32" t="n">
        <f aca="false">E590+F590</f>
        <v>0</v>
      </c>
      <c r="H590" s="35" t="n">
        <v>243393000</v>
      </c>
      <c r="I590" s="14" t="n">
        <f aca="false">D590*H590</f>
        <v>243393000</v>
      </c>
      <c r="J590" s="14" t="n">
        <f aca="false">E590*H590</f>
        <v>0</v>
      </c>
      <c r="K590" s="14" t="n">
        <f aca="false">F590*H590</f>
        <v>0</v>
      </c>
      <c r="L590" s="14" t="n">
        <f aca="false">G590*H590</f>
        <v>0</v>
      </c>
      <c r="M590" s="27"/>
    </row>
    <row r="591" customFormat="false" ht="52.2" hidden="false" customHeight="false" outlineLevel="0" collapsed="false">
      <c r="A591" s="29" t="s">
        <v>1161</v>
      </c>
      <c r="B591" s="27" t="s">
        <v>1162</v>
      </c>
      <c r="C591" s="29" t="s">
        <v>832</v>
      </c>
      <c r="D591" s="34" t="n">
        <f aca="false">'PL.Khoi luong'!D586</f>
        <v>1</v>
      </c>
      <c r="E591" s="34" t="n">
        <f aca="false">'PL.Khoi luong'!E586</f>
        <v>0</v>
      </c>
      <c r="F591" s="34" t="n">
        <f aca="false">'PL.Khoi luong'!F586</f>
        <v>0</v>
      </c>
      <c r="G591" s="32" t="n">
        <f aca="false">E591+F591</f>
        <v>0</v>
      </c>
      <c r="H591" s="35" t="n">
        <v>491490000</v>
      </c>
      <c r="I591" s="14" t="n">
        <f aca="false">D591*H591</f>
        <v>491490000</v>
      </c>
      <c r="J591" s="14" t="n">
        <f aca="false">E591*H591</f>
        <v>0</v>
      </c>
      <c r="K591" s="14" t="n">
        <f aca="false">F591*H591</f>
        <v>0</v>
      </c>
      <c r="L591" s="14" t="n">
        <f aca="false">G591*H591</f>
        <v>0</v>
      </c>
      <c r="M591" s="27"/>
    </row>
    <row r="592" customFormat="false" ht="26.85" hidden="false" customHeight="false" outlineLevel="0" collapsed="false">
      <c r="A592" s="29" t="s">
        <v>1163</v>
      </c>
      <c r="B592" s="27" t="s">
        <v>1164</v>
      </c>
      <c r="C592" s="29" t="s">
        <v>832</v>
      </c>
      <c r="D592" s="34" t="n">
        <f aca="false">'PL.Khoi luong'!D587</f>
        <v>1</v>
      </c>
      <c r="E592" s="34" t="n">
        <f aca="false">'PL.Khoi luong'!E587</f>
        <v>0</v>
      </c>
      <c r="F592" s="34" t="n">
        <f aca="false">'PL.Khoi luong'!F587</f>
        <v>0</v>
      </c>
      <c r="G592" s="32" t="n">
        <f aca="false">E592+F592</f>
        <v>0</v>
      </c>
      <c r="H592" s="35" t="n">
        <v>39960000</v>
      </c>
      <c r="I592" s="14" t="n">
        <f aca="false">D592*H592</f>
        <v>39960000</v>
      </c>
      <c r="J592" s="14" t="n">
        <f aca="false">E592*H592</f>
        <v>0</v>
      </c>
      <c r="K592" s="14" t="n">
        <f aca="false">F592*H592</f>
        <v>0</v>
      </c>
      <c r="L592" s="14" t="n">
        <f aca="false">G592*H592</f>
        <v>0</v>
      </c>
      <c r="M592" s="27"/>
    </row>
    <row r="593" customFormat="false" ht="15" hidden="false" customHeight="false" outlineLevel="0" collapsed="false">
      <c r="A593" s="29" t="s">
        <v>1165</v>
      </c>
      <c r="B593" s="27" t="s">
        <v>1166</v>
      </c>
      <c r="C593" s="29" t="s">
        <v>193</v>
      </c>
      <c r="D593" s="34" t="n">
        <f aca="false">'PL.Khoi luong'!D588</f>
        <v>1</v>
      </c>
      <c r="E593" s="34" t="n">
        <f aca="false">'PL.Khoi luong'!E588</f>
        <v>0</v>
      </c>
      <c r="F593" s="34" t="n">
        <f aca="false">'PL.Khoi luong'!F588</f>
        <v>0</v>
      </c>
      <c r="G593" s="32" t="n">
        <f aca="false">E593+F593</f>
        <v>0</v>
      </c>
      <c r="H593" s="35" t="n">
        <v>80308800</v>
      </c>
      <c r="I593" s="14" t="n">
        <f aca="false">D593*H593</f>
        <v>80308800</v>
      </c>
      <c r="J593" s="14" t="n">
        <f aca="false">E593*H593</f>
        <v>0</v>
      </c>
      <c r="K593" s="14" t="n">
        <f aca="false">F593*H593</f>
        <v>0</v>
      </c>
      <c r="L593" s="14" t="n">
        <f aca="false">G593*H593</f>
        <v>0</v>
      </c>
      <c r="M593" s="27"/>
    </row>
    <row r="594" customFormat="false" ht="15" hidden="false" customHeight="false" outlineLevel="0" collapsed="false">
      <c r="A594" s="29" t="s">
        <v>1167</v>
      </c>
      <c r="B594" s="27" t="s">
        <v>1168</v>
      </c>
      <c r="C594" s="29" t="s">
        <v>193</v>
      </c>
      <c r="D594" s="34" t="n">
        <f aca="false">'PL.Khoi luong'!D589</f>
        <v>1</v>
      </c>
      <c r="E594" s="34" t="n">
        <f aca="false">'PL.Khoi luong'!E589</f>
        <v>0</v>
      </c>
      <c r="F594" s="34" t="n">
        <f aca="false">'PL.Khoi luong'!F589</f>
        <v>0</v>
      </c>
      <c r="G594" s="32" t="n">
        <f aca="false">E594+F594</f>
        <v>0</v>
      </c>
      <c r="H594" s="35" t="n">
        <v>4212000</v>
      </c>
      <c r="I594" s="14" t="n">
        <f aca="false">D594*H594</f>
        <v>4212000</v>
      </c>
      <c r="J594" s="14" t="n">
        <f aca="false">E594*H594</f>
        <v>0</v>
      </c>
      <c r="K594" s="14" t="n">
        <f aca="false">F594*H594</f>
        <v>0</v>
      </c>
      <c r="L594" s="14" t="n">
        <f aca="false">G594*H594</f>
        <v>0</v>
      </c>
      <c r="M594" s="27"/>
    </row>
    <row r="595" customFormat="false" ht="15" hidden="false" customHeight="false" outlineLevel="0" collapsed="false">
      <c r="A595" s="29" t="s">
        <v>1169</v>
      </c>
      <c r="B595" s="27" t="s">
        <v>1170</v>
      </c>
      <c r="C595" s="29" t="s">
        <v>193</v>
      </c>
      <c r="D595" s="34" t="n">
        <f aca="false">'PL.Khoi luong'!D590</f>
        <v>1</v>
      </c>
      <c r="E595" s="34" t="n">
        <f aca="false">'PL.Khoi luong'!E590</f>
        <v>0</v>
      </c>
      <c r="F595" s="34" t="n">
        <f aca="false">'PL.Khoi luong'!F590</f>
        <v>0</v>
      </c>
      <c r="G595" s="32" t="n">
        <f aca="false">E595+F595</f>
        <v>0</v>
      </c>
      <c r="H595" s="35" t="n">
        <v>2160000</v>
      </c>
      <c r="I595" s="14" t="n">
        <f aca="false">D595*H595</f>
        <v>2160000</v>
      </c>
      <c r="J595" s="14" t="n">
        <f aca="false">E595*H595</f>
        <v>0</v>
      </c>
      <c r="K595" s="14" t="n">
        <f aca="false">F595*H595</f>
        <v>0</v>
      </c>
      <c r="L595" s="14" t="n">
        <f aca="false">G595*H595</f>
        <v>0</v>
      </c>
      <c r="M595" s="27"/>
    </row>
    <row r="596" customFormat="false" ht="15" hidden="false" customHeight="true" outlineLevel="0" collapsed="false">
      <c r="A596" s="15" t="s">
        <v>47</v>
      </c>
      <c r="B596" s="15"/>
      <c r="C596" s="15"/>
      <c r="D596" s="15"/>
      <c r="E596" s="15"/>
      <c r="F596" s="15"/>
      <c r="G596" s="15"/>
      <c r="H596" s="15"/>
      <c r="I596" s="16" t="n">
        <f aca="false">SUM(I14:I595)</f>
        <v>25007549118</v>
      </c>
      <c r="J596" s="16" t="n">
        <f aca="false">SUM(J14:J595)</f>
        <v>0</v>
      </c>
      <c r="K596" s="16" t="n">
        <f aca="false">SUM(K14:K595)</f>
        <v>0</v>
      </c>
      <c r="L596" s="16" t="n">
        <f aca="false">SUM(L14:L595)</f>
        <v>0</v>
      </c>
      <c r="M596" s="17"/>
    </row>
    <row r="597" customFormat="false" ht="15" hidden="false" customHeight="true" outlineLevel="0" collapsed="false">
      <c r="A597" s="15" t="s">
        <v>1181</v>
      </c>
      <c r="B597" s="15"/>
      <c r="C597" s="15"/>
      <c r="D597" s="15"/>
      <c r="E597" s="15"/>
      <c r="F597" s="15"/>
      <c r="G597" s="15"/>
      <c r="H597" s="15"/>
      <c r="I597" s="16" t="n">
        <f aca="false">ROUND(I596,-3)</f>
        <v>25007549000</v>
      </c>
      <c r="J597" s="16" t="n">
        <f aca="false">ROUND(J596,-3)</f>
        <v>0</v>
      </c>
      <c r="K597" s="16" t="n">
        <f aca="false">ROUND(K596,-3)</f>
        <v>0</v>
      </c>
      <c r="L597" s="16" t="n">
        <f aca="false">ROUND(L596,-3)</f>
        <v>0</v>
      </c>
      <c r="M597" s="17"/>
    </row>
    <row r="599" customFormat="false" ht="15" hidden="false" customHeight="true" outlineLevel="0" collapsed="false">
      <c r="J599" s="25" t="s">
        <v>76</v>
      </c>
      <c r="K599" s="25"/>
      <c r="L599" s="25"/>
      <c r="M599" s="25"/>
    </row>
    <row r="600" customFormat="false" ht="15" hidden="false" customHeight="true" outlineLevel="0" collapsed="false">
      <c r="A600" s="6" t="s">
        <v>78</v>
      </c>
      <c r="B600" s="6"/>
      <c r="C600" s="6"/>
      <c r="D600" s="6"/>
      <c r="J600" s="6" t="s">
        <v>77</v>
      </c>
      <c r="K600" s="6"/>
      <c r="L600" s="6"/>
      <c r="M600" s="6"/>
    </row>
    <row r="601" customFormat="false" ht="15" hidden="false" customHeight="true" outlineLevel="0" collapsed="false">
      <c r="A601" s="6" t="s">
        <v>80</v>
      </c>
      <c r="B601" s="6"/>
      <c r="C601" s="6"/>
      <c r="D601" s="6"/>
      <c r="J601" s="6" t="s">
        <v>79</v>
      </c>
      <c r="K601" s="6"/>
      <c r="L601" s="6"/>
      <c r="M601" s="6"/>
    </row>
    <row r="606" customFormat="false" ht="15" hidden="false" customHeight="true" outlineLevel="0" collapsed="false">
      <c r="A606" s="6" t="s">
        <v>82</v>
      </c>
      <c r="B606" s="6"/>
      <c r="C606" s="6"/>
      <c r="D606" s="6"/>
      <c r="J606" s="6" t="s">
        <v>81</v>
      </c>
      <c r="K606" s="6"/>
      <c r="L606" s="6"/>
      <c r="M606" s="6"/>
    </row>
  </sheetData>
  <mergeCells count="28">
    <mergeCell ref="A1:M1"/>
    <mergeCell ref="A2:M2"/>
    <mergeCell ref="A3:M3"/>
    <mergeCell ref="A4:M4"/>
    <mergeCell ref="A5:M5"/>
    <mergeCell ref="A6:M6"/>
    <mergeCell ref="A7:M7"/>
    <mergeCell ref="A8:M8"/>
    <mergeCell ref="A10:A12"/>
    <mergeCell ref="B10:B12"/>
    <mergeCell ref="C10:C12"/>
    <mergeCell ref="D10:G10"/>
    <mergeCell ref="H10:H12"/>
    <mergeCell ref="I10:L10"/>
    <mergeCell ref="M10:M12"/>
    <mergeCell ref="D11:D12"/>
    <mergeCell ref="E11:G11"/>
    <mergeCell ref="I11:I12"/>
    <mergeCell ref="J11:L11"/>
    <mergeCell ref="A596:H596"/>
    <mergeCell ref="A597:H597"/>
    <mergeCell ref="J599:M599"/>
    <mergeCell ref="A600:D600"/>
    <mergeCell ref="J600:M600"/>
    <mergeCell ref="A601:D601"/>
    <mergeCell ref="J601:M601"/>
    <mergeCell ref="A606:D606"/>
    <mergeCell ref="J606:M606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7.35" hidden="false" customHeight="true" outlineLevel="0" collapsed="false">
      <c r="A1" s="8" t="s">
        <v>1182</v>
      </c>
      <c r="B1" s="8"/>
      <c r="C1" s="8"/>
      <c r="D1" s="8"/>
      <c r="E1" s="8"/>
      <c r="F1" s="8"/>
      <c r="G1" s="8"/>
    </row>
    <row r="2" customFormat="false" ht="33" hidden="false" customHeight="true" outlineLevel="0" collapsed="false">
      <c r="A2" s="9" t="s">
        <v>84</v>
      </c>
      <c r="B2" s="9"/>
      <c r="C2" s="9"/>
      <c r="D2" s="9"/>
      <c r="E2" s="9"/>
      <c r="F2" s="9"/>
      <c r="G2" s="9"/>
    </row>
    <row r="3" customFormat="false" ht="30" hidden="false" customHeight="true" outlineLevel="0" collapsed="false">
      <c r="A3" s="24" t="str">
        <f aca="false">"Tính đến: Thanh toán lần thứ "&amp;'03a TT'!$C$2&amp;" ("&amp;'03a TT'!$C$3&amp;")"</f>
        <v>Tính đến: Thanh toán lần thứ 1 (Biên bản nghiệm thu hoàn thành giai đoạn số ....../BBNT ngày ...../...../2026)</v>
      </c>
      <c r="B3" s="24"/>
      <c r="C3" s="24"/>
      <c r="D3" s="24"/>
      <c r="E3" s="24"/>
      <c r="F3" s="24"/>
      <c r="G3" s="24"/>
    </row>
    <row r="5" customFormat="false" ht="31.5" hidden="false" customHeight="true" outlineLevel="0" collapsed="false">
      <c r="A5" s="15" t="s">
        <v>19</v>
      </c>
      <c r="B5" s="15" t="s">
        <v>85</v>
      </c>
      <c r="C5" s="15" t="s">
        <v>86</v>
      </c>
      <c r="D5" s="15" t="s">
        <v>1183</v>
      </c>
      <c r="E5" s="15" t="s">
        <v>1184</v>
      </c>
      <c r="F5" s="15" t="s">
        <v>1185</v>
      </c>
      <c r="G5" s="15" t="s">
        <v>28</v>
      </c>
    </row>
    <row r="6" customFormat="false" ht="15" hidden="false" customHeight="false" outlineLevel="0" collapsed="false">
      <c r="A6" s="12" t="s">
        <v>2</v>
      </c>
      <c r="B6" s="13" t="s">
        <v>94</v>
      </c>
      <c r="C6" s="27"/>
      <c r="D6" s="27"/>
      <c r="E6" s="27"/>
      <c r="F6" s="27"/>
      <c r="G6" s="27"/>
    </row>
    <row r="7" customFormat="false" ht="15" hidden="false" customHeight="false" outlineLevel="0" collapsed="false">
      <c r="A7" s="12" t="s">
        <v>95</v>
      </c>
      <c r="B7" s="28" t="s">
        <v>96</v>
      </c>
      <c r="C7" s="27"/>
      <c r="D7" s="27"/>
      <c r="E7" s="27"/>
      <c r="F7" s="27"/>
      <c r="G7" s="27"/>
    </row>
    <row r="8" customFormat="false" ht="15" hidden="false" customHeight="false" outlineLevel="0" collapsed="false">
      <c r="A8" s="29" t="s">
        <v>97</v>
      </c>
      <c r="B8" s="27" t="s">
        <v>98</v>
      </c>
      <c r="C8" s="29" t="s">
        <v>99</v>
      </c>
      <c r="D8" s="32" t="n">
        <f aca="false">'PL.3A'!D16-'PL.3A'!G16</f>
        <v>11.2167</v>
      </c>
      <c r="E8" s="36" t="n">
        <f aca="false">'PL.3A'!H16</f>
        <v>137462999.991085</v>
      </c>
      <c r="F8" s="14" t="n">
        <f aca="false">D8*E8</f>
        <v>1541881232</v>
      </c>
      <c r="G8" s="27"/>
    </row>
    <row r="9" customFormat="false" ht="15" hidden="false" customHeight="false" outlineLevel="0" collapsed="false">
      <c r="A9" s="29" t="s">
        <v>100</v>
      </c>
      <c r="B9" s="27" t="s">
        <v>101</v>
      </c>
      <c r="C9" s="29" t="s">
        <v>99</v>
      </c>
      <c r="D9" s="32" t="n">
        <f aca="false">'PL.3A'!D17-'PL.3A'!G17</f>
        <v>11.2167</v>
      </c>
      <c r="E9" s="36" t="n">
        <f aca="false">'PL.3A'!H17</f>
        <v>32475403.0151471</v>
      </c>
      <c r="F9" s="14" t="n">
        <f aca="false">D9*E9</f>
        <v>364266853.000001</v>
      </c>
      <c r="G9" s="27"/>
    </row>
    <row r="10" customFormat="false" ht="26.85" hidden="false" customHeight="false" outlineLevel="0" collapsed="false">
      <c r="A10" s="29" t="s">
        <v>102</v>
      </c>
      <c r="B10" s="27" t="s">
        <v>103</v>
      </c>
      <c r="C10" s="29" t="s">
        <v>99</v>
      </c>
      <c r="D10" s="32" t="n">
        <f aca="false">'PL.3A'!D18-'PL.3A'!G18</f>
        <v>11.2167</v>
      </c>
      <c r="E10" s="36" t="n">
        <f aca="false">'PL.3A'!H18</f>
        <v>9790216.99786925</v>
      </c>
      <c r="F10" s="14" t="n">
        <f aca="false">D10*E10</f>
        <v>109813927</v>
      </c>
      <c r="G10" s="27"/>
    </row>
    <row r="11" customFormat="false" ht="26.85" hidden="false" customHeight="false" outlineLevel="0" collapsed="false">
      <c r="A11" s="29" t="s">
        <v>104</v>
      </c>
      <c r="B11" s="27" t="s">
        <v>105</v>
      </c>
      <c r="C11" s="29" t="s">
        <v>106</v>
      </c>
      <c r="D11" s="32" t="n">
        <f aca="false">'PL.3A'!D19-'PL.3A'!G19</f>
        <v>65.0131</v>
      </c>
      <c r="E11" s="36" t="n">
        <f aca="false">'PL.3A'!H19</f>
        <v>1613087.99303525</v>
      </c>
      <c r="F11" s="14" t="n">
        <f aca="false">D11*E11</f>
        <v>104871851</v>
      </c>
      <c r="G11" s="27"/>
    </row>
    <row r="12" customFormat="false" ht="15" hidden="false" customHeight="false" outlineLevel="0" collapsed="false">
      <c r="A12" s="29" t="s">
        <v>107</v>
      </c>
      <c r="B12" s="27" t="s">
        <v>108</v>
      </c>
      <c r="C12" s="29" t="s">
        <v>106</v>
      </c>
      <c r="D12" s="32" t="n">
        <f aca="false">'PL.3A'!D20-'PL.3A'!G20</f>
        <v>65.0131</v>
      </c>
      <c r="E12" s="36" t="n">
        <f aca="false">'PL.3A'!H20</f>
        <v>2852495.00485287</v>
      </c>
      <c r="F12" s="14" t="n">
        <f aca="false">D12*E12</f>
        <v>185449543</v>
      </c>
      <c r="G12" s="27"/>
    </row>
    <row r="13" customFormat="false" ht="15" hidden="false" customHeight="false" outlineLevel="0" collapsed="false">
      <c r="A13" s="29" t="s">
        <v>109</v>
      </c>
      <c r="B13" s="27" t="s">
        <v>110</v>
      </c>
      <c r="C13" s="29" t="s">
        <v>111</v>
      </c>
      <c r="D13" s="32" t="n">
        <f aca="false">'PL.3A'!D21-'PL.3A'!G21</f>
        <v>9.4043</v>
      </c>
      <c r="E13" s="36" t="n">
        <f aca="false">'PL.3A'!H21</f>
        <v>54574741.9797327</v>
      </c>
      <c r="F13" s="14" t="n">
        <f aca="false">D13*E13</f>
        <v>513237246</v>
      </c>
      <c r="G13" s="27"/>
    </row>
    <row r="14" customFormat="false" ht="15" hidden="false" customHeight="false" outlineLevel="0" collapsed="false">
      <c r="A14" s="29" t="s">
        <v>112</v>
      </c>
      <c r="B14" s="27" t="s">
        <v>113</v>
      </c>
      <c r="C14" s="29" t="s">
        <v>111</v>
      </c>
      <c r="D14" s="32" t="n">
        <f aca="false">'PL.3A'!D22-'PL.3A'!G22</f>
        <v>11.3547</v>
      </c>
      <c r="E14" s="36" t="n">
        <f aca="false">'PL.3A'!H22</f>
        <v>49026256.96848</v>
      </c>
      <c r="F14" s="14" t="n">
        <f aca="false">D14*E14</f>
        <v>556678440</v>
      </c>
      <c r="G14" s="27"/>
    </row>
    <row r="15" customFormat="false" ht="15" hidden="false" customHeight="false" outlineLevel="0" collapsed="false">
      <c r="A15" s="29" t="s">
        <v>114</v>
      </c>
      <c r="B15" s="27" t="s">
        <v>115</v>
      </c>
      <c r="C15" s="29" t="s">
        <v>116</v>
      </c>
      <c r="D15" s="32" t="n">
        <f aca="false">'PL.3A'!D23-'PL.3A'!G23</f>
        <v>2639.947</v>
      </c>
      <c r="E15" s="36" t="n">
        <f aca="false">'PL.3A'!H23</f>
        <v>135876.000162124</v>
      </c>
      <c r="F15" s="14" t="n">
        <f aca="false">D15*E15</f>
        <v>358705438.999999</v>
      </c>
      <c r="G15" s="27"/>
    </row>
    <row r="16" customFormat="false" ht="15" hidden="false" customHeight="false" outlineLevel="0" collapsed="false">
      <c r="A16" s="29" t="s">
        <v>117</v>
      </c>
      <c r="B16" s="27" t="s">
        <v>118</v>
      </c>
      <c r="C16" s="29" t="s">
        <v>111</v>
      </c>
      <c r="D16" s="32" t="n">
        <f aca="false">'PL.3A'!D24-'PL.3A'!G24</f>
        <v>18.8084</v>
      </c>
      <c r="E16" s="36" t="n">
        <f aca="false">'PL.3A'!H24</f>
        <v>2039934.97586185</v>
      </c>
      <c r="F16" s="14" t="n">
        <f aca="false">D16*E16</f>
        <v>38367913</v>
      </c>
      <c r="G16" s="27"/>
    </row>
    <row r="17" customFormat="false" ht="15" hidden="false" customHeight="false" outlineLevel="0" collapsed="false">
      <c r="A17" s="29" t="s">
        <v>119</v>
      </c>
      <c r="B17" s="27" t="s">
        <v>120</v>
      </c>
      <c r="C17" s="29" t="s">
        <v>116</v>
      </c>
      <c r="D17" s="32" t="n">
        <f aca="false">'PL.3A'!D25-'PL.3A'!G25</f>
        <v>23694.4749</v>
      </c>
      <c r="E17" s="36" t="n">
        <f aca="false">'PL.3A'!H25</f>
        <v>135876.000020579</v>
      </c>
      <c r="F17" s="14" t="n">
        <f aca="false">D17*E17</f>
        <v>3219510472.00001</v>
      </c>
      <c r="G17" s="27"/>
    </row>
    <row r="18" customFormat="false" ht="15" hidden="false" customHeight="false" outlineLevel="0" collapsed="false">
      <c r="A18" s="29" t="s">
        <v>121</v>
      </c>
      <c r="B18" s="27" t="s">
        <v>122</v>
      </c>
      <c r="C18" s="29" t="s">
        <v>111</v>
      </c>
      <c r="D18" s="32" t="n">
        <f aca="false">'PL.3A'!D26-'PL.3A'!G26</f>
        <v>174.3717</v>
      </c>
      <c r="E18" s="36" t="n">
        <f aca="false">'PL.3A'!H26</f>
        <v>1662930.99740382</v>
      </c>
      <c r="F18" s="14" t="n">
        <f aca="false">D18*E18</f>
        <v>289968105</v>
      </c>
      <c r="G18" s="27"/>
    </row>
    <row r="19" customFormat="false" ht="15" hidden="false" customHeight="false" outlineLevel="0" collapsed="false">
      <c r="A19" s="29" t="s">
        <v>123</v>
      </c>
      <c r="B19" s="27" t="s">
        <v>124</v>
      </c>
      <c r="C19" s="29" t="s">
        <v>111</v>
      </c>
      <c r="D19" s="32" t="n">
        <f aca="false">'PL.3A'!D27-'PL.3A'!G27</f>
        <v>1.0778</v>
      </c>
      <c r="E19" s="36" t="n">
        <f aca="false">'PL.3A'!H27</f>
        <v>2974703.09890518</v>
      </c>
      <c r="F19" s="14" t="n">
        <f aca="false">D19*E19</f>
        <v>3206135</v>
      </c>
      <c r="G19" s="27"/>
    </row>
    <row r="20" customFormat="false" ht="15" hidden="false" customHeight="false" outlineLevel="0" collapsed="false">
      <c r="A20" s="29" t="s">
        <v>125</v>
      </c>
      <c r="B20" s="27" t="s">
        <v>126</v>
      </c>
      <c r="C20" s="29" t="s">
        <v>111</v>
      </c>
      <c r="D20" s="32" t="n">
        <f aca="false">'PL.3A'!D28-'PL.3A'!G28</f>
        <v>30.6066</v>
      </c>
      <c r="E20" s="36" t="n">
        <f aca="false">'PL.3A'!H28</f>
        <v>1116282.99125025</v>
      </c>
      <c r="F20" s="14" t="n">
        <f aca="false">D20*E20</f>
        <v>34165626.9999999</v>
      </c>
      <c r="G20" s="27"/>
    </row>
    <row r="21" customFormat="false" ht="15" hidden="false" customHeight="false" outlineLevel="0" collapsed="false">
      <c r="A21" s="12" t="s">
        <v>127</v>
      </c>
      <c r="B21" s="28" t="s">
        <v>128</v>
      </c>
      <c r="C21" s="27"/>
      <c r="D21" s="27"/>
      <c r="E21" s="27"/>
      <c r="F21" s="27"/>
      <c r="G21" s="27"/>
    </row>
    <row r="22" customFormat="false" ht="15" hidden="false" customHeight="false" outlineLevel="0" collapsed="false">
      <c r="A22" s="29" t="s">
        <v>129</v>
      </c>
      <c r="B22" s="27" t="s">
        <v>130</v>
      </c>
      <c r="C22" s="29" t="s">
        <v>131</v>
      </c>
      <c r="D22" s="32" t="n">
        <f aca="false">'PL.3A'!D30-'PL.3A'!G30</f>
        <v>470.17</v>
      </c>
      <c r="E22" s="36" t="n">
        <f aca="false">'PL.3A'!H30</f>
        <v>366452.999978731</v>
      </c>
      <c r="F22" s="14" t="n">
        <f aca="false">D22*E22</f>
        <v>172295207</v>
      </c>
      <c r="G22" s="27"/>
    </row>
    <row r="23" customFormat="false" ht="15" hidden="false" customHeight="false" outlineLevel="0" collapsed="false">
      <c r="A23" s="12" t="s">
        <v>132</v>
      </c>
      <c r="B23" s="13" t="s">
        <v>133</v>
      </c>
      <c r="C23" s="27"/>
      <c r="D23" s="27"/>
      <c r="E23" s="27"/>
      <c r="F23" s="27"/>
      <c r="G23" s="27"/>
    </row>
    <row r="24" customFormat="false" ht="15" hidden="false" customHeight="false" outlineLevel="0" collapsed="false">
      <c r="A24" s="12" t="s">
        <v>53</v>
      </c>
      <c r="B24" s="28" t="s">
        <v>134</v>
      </c>
      <c r="C24" s="27"/>
      <c r="D24" s="27"/>
      <c r="E24" s="27"/>
      <c r="F24" s="27"/>
      <c r="G24" s="27"/>
    </row>
    <row r="25" customFormat="false" ht="15" hidden="false" customHeight="false" outlineLevel="0" collapsed="false">
      <c r="A25" s="29" t="s">
        <v>135</v>
      </c>
      <c r="B25" s="27" t="s">
        <v>136</v>
      </c>
      <c r="C25" s="29" t="s">
        <v>116</v>
      </c>
      <c r="D25" s="32" t="n">
        <f aca="false">'PL.3A'!D33-'PL.3A'!G33</f>
        <v>121.79</v>
      </c>
      <c r="E25" s="36" t="n">
        <f aca="false">'PL.3A'!H33</f>
        <v>990903.998686263</v>
      </c>
      <c r="F25" s="14" t="n">
        <f aca="false">D25*E25</f>
        <v>120682198</v>
      </c>
      <c r="G25" s="27"/>
    </row>
    <row r="26" customFormat="false" ht="15" hidden="false" customHeight="false" outlineLevel="0" collapsed="false">
      <c r="A26" s="29" t="s">
        <v>137</v>
      </c>
      <c r="B26" s="27" t="s">
        <v>138</v>
      </c>
      <c r="C26" s="29" t="s">
        <v>116</v>
      </c>
      <c r="D26" s="32" t="n">
        <f aca="false">'PL.3A'!D34-'PL.3A'!G34</f>
        <v>182.69</v>
      </c>
      <c r="E26" s="36" t="n">
        <f aca="false">'PL.3A'!H34</f>
        <v>1516740.99841261</v>
      </c>
      <c r="F26" s="14" t="n">
        <f aca="false">D26*E26</f>
        <v>277093413</v>
      </c>
      <c r="G26" s="27"/>
    </row>
    <row r="27" customFormat="false" ht="15" hidden="false" customHeight="false" outlineLevel="0" collapsed="false">
      <c r="A27" s="29" t="s">
        <v>139</v>
      </c>
      <c r="B27" s="27" t="s">
        <v>140</v>
      </c>
      <c r="C27" s="29" t="s">
        <v>106</v>
      </c>
      <c r="D27" s="32" t="n">
        <f aca="false">'PL.3A'!D35-'PL.3A'!G35</f>
        <v>2.4856</v>
      </c>
      <c r="E27" s="36" t="n">
        <f aca="false">'PL.3A'!H35</f>
        <v>6286550.12874155</v>
      </c>
      <c r="F27" s="14" t="n">
        <f aca="false">D27*E27</f>
        <v>15625849</v>
      </c>
      <c r="G27" s="27"/>
    </row>
    <row r="28" customFormat="false" ht="15" hidden="false" customHeight="false" outlineLevel="0" collapsed="false">
      <c r="A28" s="29" t="s">
        <v>141</v>
      </c>
      <c r="B28" s="27" t="s">
        <v>142</v>
      </c>
      <c r="C28" s="29" t="s">
        <v>116</v>
      </c>
      <c r="D28" s="32" t="n">
        <f aca="false">'PL.3A'!D36-'PL.3A'!G36</f>
        <v>255.18</v>
      </c>
      <c r="E28" s="36" t="n">
        <f aca="false">'PL.3A'!H36</f>
        <v>1568220.00156752</v>
      </c>
      <c r="F28" s="14" t="n">
        <f aca="false">D28*E28</f>
        <v>400178380</v>
      </c>
      <c r="G28" s="27"/>
    </row>
    <row r="29" customFormat="false" ht="15" hidden="false" customHeight="false" outlineLevel="0" collapsed="false">
      <c r="A29" s="29" t="s">
        <v>143</v>
      </c>
      <c r="B29" s="27" t="s">
        <v>144</v>
      </c>
      <c r="C29" s="29" t="s">
        <v>131</v>
      </c>
      <c r="D29" s="32" t="n">
        <f aca="false">'PL.3A'!D37-'PL.3A'!G37</f>
        <v>1159.93</v>
      </c>
      <c r="E29" s="36" t="n">
        <f aca="false">'PL.3A'!H37</f>
        <v>113552.999749985</v>
      </c>
      <c r="F29" s="14" t="n">
        <f aca="false">D29*E29</f>
        <v>131713531</v>
      </c>
      <c r="G29" s="27"/>
    </row>
    <row r="30" customFormat="false" ht="15" hidden="false" customHeight="false" outlineLevel="0" collapsed="false">
      <c r="A30" s="29" t="s">
        <v>145</v>
      </c>
      <c r="B30" s="27" t="s">
        <v>146</v>
      </c>
      <c r="C30" s="29" t="s">
        <v>116</v>
      </c>
      <c r="D30" s="32" t="n">
        <f aca="false">'PL.3A'!D38-'PL.3A'!G38</f>
        <v>53.85</v>
      </c>
      <c r="E30" s="36" t="n">
        <f aca="false">'PL.3A'!H38</f>
        <v>2084985.99814299</v>
      </c>
      <c r="F30" s="14" t="n">
        <f aca="false">D30*E30</f>
        <v>112276496</v>
      </c>
      <c r="G30" s="27"/>
    </row>
    <row r="31" customFormat="false" ht="15" hidden="false" customHeight="false" outlineLevel="0" collapsed="false">
      <c r="A31" s="29" t="s">
        <v>147</v>
      </c>
      <c r="B31" s="27" t="s">
        <v>148</v>
      </c>
      <c r="C31" s="29" t="s">
        <v>149</v>
      </c>
      <c r="D31" s="32" t="n">
        <f aca="false">'PL.3A'!D39-'PL.3A'!G39</f>
        <v>5.7168</v>
      </c>
      <c r="E31" s="36" t="n">
        <f aca="false">'PL.3A'!H39</f>
        <v>24438878.0436608</v>
      </c>
      <c r="F31" s="14" t="n">
        <f aca="false">D31*E31</f>
        <v>139712178</v>
      </c>
      <c r="G31" s="27"/>
    </row>
    <row r="32" customFormat="false" ht="15" hidden="false" customHeight="false" outlineLevel="0" collapsed="false">
      <c r="A32" s="29" t="s">
        <v>150</v>
      </c>
      <c r="B32" s="27" t="s">
        <v>151</v>
      </c>
      <c r="C32" s="29" t="s">
        <v>106</v>
      </c>
      <c r="D32" s="32" t="n">
        <f aca="false">'PL.3A'!D40-'PL.3A'!G40</f>
        <v>3.3969</v>
      </c>
      <c r="E32" s="36" t="n">
        <f aca="false">'PL.3A'!H40</f>
        <v>8587205.9819247</v>
      </c>
      <c r="F32" s="14" t="n">
        <f aca="false">D32*E32</f>
        <v>29169880</v>
      </c>
      <c r="G32" s="27"/>
    </row>
    <row r="33" customFormat="false" ht="15" hidden="false" customHeight="false" outlineLevel="0" collapsed="false">
      <c r="A33" s="29" t="s">
        <v>152</v>
      </c>
      <c r="B33" s="27" t="s">
        <v>153</v>
      </c>
      <c r="C33" s="29" t="s">
        <v>116</v>
      </c>
      <c r="D33" s="32" t="n">
        <f aca="false">'PL.3A'!D41-'PL.3A'!G41</f>
        <v>86.99</v>
      </c>
      <c r="E33" s="36" t="n">
        <f aca="false">'PL.3A'!H41</f>
        <v>1752157.99517186</v>
      </c>
      <c r="F33" s="14" t="n">
        <f aca="false">D33*E33</f>
        <v>152420224</v>
      </c>
      <c r="G33" s="27"/>
    </row>
    <row r="34" customFormat="false" ht="15" hidden="false" customHeight="false" outlineLevel="0" collapsed="false">
      <c r="A34" s="29" t="s">
        <v>154</v>
      </c>
      <c r="B34" s="27" t="s">
        <v>155</v>
      </c>
      <c r="C34" s="29" t="s">
        <v>149</v>
      </c>
      <c r="D34" s="32" t="n">
        <f aca="false">'PL.3A'!D42-'PL.3A'!G42</f>
        <v>8.0946</v>
      </c>
      <c r="E34" s="36" t="n">
        <f aca="false">'PL.3A'!H42</f>
        <v>25003382.0077583</v>
      </c>
      <c r="F34" s="14" t="n">
        <f aca="false">D34*E34</f>
        <v>202392376</v>
      </c>
      <c r="G34" s="27"/>
    </row>
    <row r="35" customFormat="false" ht="15" hidden="false" customHeight="false" outlineLevel="0" collapsed="false">
      <c r="A35" s="29" t="s">
        <v>156</v>
      </c>
      <c r="B35" s="27" t="s">
        <v>157</v>
      </c>
      <c r="C35" s="29" t="s">
        <v>149</v>
      </c>
      <c r="D35" s="32" t="n">
        <f aca="false">'PL.3A'!D43-'PL.3A'!G43</f>
        <v>6.1145</v>
      </c>
      <c r="E35" s="36" t="n">
        <f aca="false">'PL.3A'!H43</f>
        <v>25003381.9609126</v>
      </c>
      <c r="F35" s="14" t="n">
        <f aca="false">D35*E35</f>
        <v>152883179</v>
      </c>
      <c r="G35" s="27"/>
    </row>
    <row r="36" customFormat="false" ht="15" hidden="false" customHeight="false" outlineLevel="0" collapsed="false">
      <c r="A36" s="29" t="s">
        <v>158</v>
      </c>
      <c r="B36" s="27" t="s">
        <v>159</v>
      </c>
      <c r="C36" s="29" t="s">
        <v>160</v>
      </c>
      <c r="D36" s="32" t="n">
        <f aca="false">'PL.3A'!D44-'PL.3A'!G44</f>
        <v>829</v>
      </c>
      <c r="E36" s="36" t="n">
        <f aca="false">'PL.3A'!H44</f>
        <v>71359</v>
      </c>
      <c r="F36" s="14" t="n">
        <f aca="false">D36*E36</f>
        <v>59156611</v>
      </c>
      <c r="G36" s="27"/>
    </row>
    <row r="37" customFormat="false" ht="15" hidden="false" customHeight="false" outlineLevel="0" collapsed="false">
      <c r="A37" s="12" t="s">
        <v>55</v>
      </c>
      <c r="B37" s="28" t="s">
        <v>161</v>
      </c>
      <c r="C37" s="27"/>
      <c r="D37" s="27"/>
      <c r="E37" s="27"/>
      <c r="F37" s="27"/>
      <c r="G37" s="27"/>
    </row>
    <row r="38" customFormat="false" ht="15" hidden="false" customHeight="false" outlineLevel="0" collapsed="false">
      <c r="A38" s="29" t="s">
        <v>162</v>
      </c>
      <c r="B38" s="27" t="s">
        <v>136</v>
      </c>
      <c r="C38" s="29" t="s">
        <v>116</v>
      </c>
      <c r="D38" s="32" t="n">
        <f aca="false">'PL.3A'!D46-'PL.3A'!G46</f>
        <v>25.11</v>
      </c>
      <c r="E38" s="36" t="n">
        <f aca="false">'PL.3A'!H46</f>
        <v>990903.982477101</v>
      </c>
      <c r="F38" s="14" t="n">
        <f aca="false">D38*E38</f>
        <v>24881599</v>
      </c>
      <c r="G38" s="27"/>
    </row>
    <row r="39" customFormat="false" ht="15" hidden="false" customHeight="false" outlineLevel="0" collapsed="false">
      <c r="A39" s="29" t="s">
        <v>163</v>
      </c>
      <c r="B39" s="27" t="s">
        <v>138</v>
      </c>
      <c r="C39" s="29" t="s">
        <v>116</v>
      </c>
      <c r="D39" s="32" t="n">
        <f aca="false">'PL.3A'!D47-'PL.3A'!G47</f>
        <v>46.36</v>
      </c>
      <c r="E39" s="36" t="n">
        <f aca="false">'PL.3A'!H47</f>
        <v>1516741.00517688</v>
      </c>
      <c r="F39" s="14" t="n">
        <f aca="false">D39*E39</f>
        <v>70316113.0000002</v>
      </c>
      <c r="G39" s="27"/>
    </row>
    <row r="40" customFormat="false" ht="15" hidden="false" customHeight="false" outlineLevel="0" collapsed="false">
      <c r="A40" s="29" t="s">
        <v>164</v>
      </c>
      <c r="B40" s="27" t="s">
        <v>140</v>
      </c>
      <c r="C40" s="29" t="s">
        <v>106</v>
      </c>
      <c r="D40" s="32" t="n">
        <f aca="false">'PL.3A'!D48-'PL.3A'!G48</f>
        <v>0.7727</v>
      </c>
      <c r="E40" s="36" t="n">
        <f aca="false">'PL.3A'!H48</f>
        <v>6286549.76057978</v>
      </c>
      <c r="F40" s="14" t="n">
        <f aca="false">D40*E40</f>
        <v>4857617</v>
      </c>
      <c r="G40" s="27"/>
    </row>
    <row r="41" customFormat="false" ht="15" hidden="false" customHeight="false" outlineLevel="0" collapsed="false">
      <c r="A41" s="29" t="s">
        <v>165</v>
      </c>
      <c r="B41" s="27" t="s">
        <v>166</v>
      </c>
      <c r="C41" s="29" t="s">
        <v>116</v>
      </c>
      <c r="D41" s="32" t="n">
        <f aca="false">'PL.3A'!D49-'PL.3A'!G49</f>
        <v>67.61</v>
      </c>
      <c r="E41" s="36" t="n">
        <f aca="false">'PL.3A'!H49</f>
        <v>1516740.99985209</v>
      </c>
      <c r="F41" s="14" t="n">
        <f aca="false">D41*E41</f>
        <v>102546859</v>
      </c>
      <c r="G41" s="27"/>
    </row>
    <row r="42" customFormat="false" ht="15" hidden="false" customHeight="false" outlineLevel="0" collapsed="false">
      <c r="A42" s="29" t="s">
        <v>167</v>
      </c>
      <c r="B42" s="27" t="s">
        <v>168</v>
      </c>
      <c r="C42" s="29" t="s">
        <v>106</v>
      </c>
      <c r="D42" s="32" t="n">
        <f aca="false">'PL.3A'!D50-'PL.3A'!G50</f>
        <v>3.6704</v>
      </c>
      <c r="E42" s="36" t="n">
        <f aca="false">'PL.3A'!H50</f>
        <v>6286549.96730602</v>
      </c>
      <c r="F42" s="14" t="n">
        <f aca="false">D42*E42</f>
        <v>23074153</v>
      </c>
      <c r="G42" s="27"/>
    </row>
    <row r="43" customFormat="false" ht="15" hidden="false" customHeight="false" outlineLevel="0" collapsed="false">
      <c r="A43" s="29" t="s">
        <v>169</v>
      </c>
      <c r="B43" s="27" t="s">
        <v>170</v>
      </c>
      <c r="C43" s="29" t="s">
        <v>149</v>
      </c>
      <c r="D43" s="32" t="n">
        <f aca="false">'PL.3A'!D51-'PL.3A'!G51</f>
        <v>5.1786</v>
      </c>
      <c r="E43" s="36" t="n">
        <f aca="false">'PL.3A'!H51</f>
        <v>22904379.9482486</v>
      </c>
      <c r="F43" s="14" t="n">
        <f aca="false">D43*E43</f>
        <v>118612622</v>
      </c>
      <c r="G43" s="27"/>
    </row>
    <row r="44" customFormat="false" ht="15" hidden="false" customHeight="false" outlineLevel="0" collapsed="false">
      <c r="A44" s="29" t="s">
        <v>171</v>
      </c>
      <c r="B44" s="27" t="s">
        <v>172</v>
      </c>
      <c r="C44" s="29" t="s">
        <v>149</v>
      </c>
      <c r="D44" s="32" t="n">
        <f aca="false">'PL.3A'!D52-'PL.3A'!G52</f>
        <v>7.9854</v>
      </c>
      <c r="E44" s="36" t="n">
        <f aca="false">'PL.3A'!H52</f>
        <v>22691076.965462</v>
      </c>
      <c r="F44" s="14" t="n">
        <f aca="false">D44*E44</f>
        <v>181197326</v>
      </c>
      <c r="G44" s="27"/>
    </row>
    <row r="45" customFormat="false" ht="15" hidden="false" customHeight="false" outlineLevel="0" collapsed="false">
      <c r="A45" s="29" t="s">
        <v>173</v>
      </c>
      <c r="B45" s="27" t="s">
        <v>151</v>
      </c>
      <c r="C45" s="29" t="s">
        <v>106</v>
      </c>
      <c r="D45" s="32" t="n">
        <f aca="false">'PL.3A'!D53-'PL.3A'!G53</f>
        <v>1.1591</v>
      </c>
      <c r="E45" s="36" t="n">
        <f aca="false">'PL.3A'!H53</f>
        <v>8587205.59054439</v>
      </c>
      <c r="F45" s="14" t="n">
        <f aca="false">D45*E45</f>
        <v>9953430</v>
      </c>
      <c r="G45" s="27"/>
    </row>
    <row r="46" customFormat="false" ht="15" hidden="false" customHeight="false" outlineLevel="0" collapsed="false">
      <c r="A46" s="29" t="s">
        <v>174</v>
      </c>
      <c r="B46" s="27" t="s">
        <v>153</v>
      </c>
      <c r="C46" s="29" t="s">
        <v>116</v>
      </c>
      <c r="D46" s="32" t="n">
        <f aca="false">'PL.3A'!D54-'PL.3A'!G54</f>
        <v>28.98</v>
      </c>
      <c r="E46" s="36" t="n">
        <f aca="false">'PL.3A'!H54</f>
        <v>1752158.00552105</v>
      </c>
      <c r="F46" s="14" t="n">
        <f aca="false">D46*E46</f>
        <v>50777539</v>
      </c>
      <c r="G46" s="27"/>
    </row>
    <row r="47" customFormat="false" ht="15" hidden="false" customHeight="false" outlineLevel="0" collapsed="false">
      <c r="A47" s="29" t="s">
        <v>175</v>
      </c>
      <c r="B47" s="27" t="s">
        <v>155</v>
      </c>
      <c r="C47" s="29" t="s">
        <v>149</v>
      </c>
      <c r="D47" s="32" t="n">
        <f aca="false">'PL.3A'!D55-'PL.3A'!G55</f>
        <v>2.4437</v>
      </c>
      <c r="E47" s="36" t="n">
        <f aca="false">'PL.3A'!H55</f>
        <v>25003382.166387</v>
      </c>
      <c r="F47" s="14" t="n">
        <f aca="false">D47*E47</f>
        <v>61100764.9999999</v>
      </c>
      <c r="G47" s="27"/>
    </row>
    <row r="48" customFormat="false" ht="15" hidden="false" customHeight="false" outlineLevel="0" collapsed="false">
      <c r="A48" s="29" t="s">
        <v>176</v>
      </c>
      <c r="B48" s="27" t="s">
        <v>157</v>
      </c>
      <c r="C48" s="29" t="s">
        <v>149</v>
      </c>
      <c r="D48" s="32" t="n">
        <f aca="false">'PL.3A'!D56-'PL.3A'!G56</f>
        <v>4.1514</v>
      </c>
      <c r="E48" s="36" t="n">
        <f aca="false">'PL.3A'!H56</f>
        <v>25003381.9916173</v>
      </c>
      <c r="F48" s="14" t="n">
        <f aca="false">D48*E48</f>
        <v>103799040</v>
      </c>
      <c r="G48" s="27"/>
    </row>
    <row r="49" customFormat="false" ht="15" hidden="false" customHeight="false" outlineLevel="0" collapsed="false">
      <c r="A49" s="29" t="s">
        <v>177</v>
      </c>
      <c r="B49" s="27" t="s">
        <v>159</v>
      </c>
      <c r="C49" s="29" t="s">
        <v>160</v>
      </c>
      <c r="D49" s="32" t="n">
        <f aca="false">'PL.3A'!D57-'PL.3A'!G57</f>
        <v>193</v>
      </c>
      <c r="E49" s="36" t="n">
        <f aca="false">'PL.3A'!H57</f>
        <v>71359</v>
      </c>
      <c r="F49" s="14" t="n">
        <f aca="false">D49*E49</f>
        <v>13772287</v>
      </c>
      <c r="G49" s="27"/>
    </row>
    <row r="50" customFormat="false" ht="15" hidden="false" customHeight="false" outlineLevel="0" collapsed="false">
      <c r="A50" s="12" t="s">
        <v>57</v>
      </c>
      <c r="B50" s="28" t="s">
        <v>178</v>
      </c>
      <c r="C50" s="27"/>
      <c r="D50" s="27"/>
      <c r="E50" s="27"/>
      <c r="F50" s="27"/>
      <c r="G50" s="27"/>
    </row>
    <row r="51" customFormat="false" ht="15" hidden="false" customHeight="false" outlineLevel="0" collapsed="false">
      <c r="A51" s="29" t="s">
        <v>179</v>
      </c>
      <c r="B51" s="27" t="s">
        <v>180</v>
      </c>
      <c r="C51" s="29" t="s">
        <v>116</v>
      </c>
      <c r="D51" s="32" t="n">
        <f aca="false">'PL.3A'!D59-'PL.3A'!G59</f>
        <v>12.57</v>
      </c>
      <c r="E51" s="36" t="n">
        <f aca="false">'PL.3A'!H59</f>
        <v>1304196.9769292</v>
      </c>
      <c r="F51" s="14" t="n">
        <f aca="false">D51*E51</f>
        <v>16393756</v>
      </c>
      <c r="G51" s="27"/>
    </row>
    <row r="52" customFormat="false" ht="15" hidden="false" customHeight="false" outlineLevel="0" collapsed="false">
      <c r="A52" s="29" t="s">
        <v>181</v>
      </c>
      <c r="B52" s="27" t="s">
        <v>138</v>
      </c>
      <c r="C52" s="29" t="s">
        <v>116</v>
      </c>
      <c r="D52" s="32" t="n">
        <f aca="false">'PL.3A'!D60-'PL.3A'!G60</f>
        <v>18.85</v>
      </c>
      <c r="E52" s="36" t="n">
        <f aca="false">'PL.3A'!H60</f>
        <v>1516741.00795756</v>
      </c>
      <c r="F52" s="14" t="n">
        <f aca="false">D52*E52</f>
        <v>28590568</v>
      </c>
      <c r="G52" s="27"/>
    </row>
    <row r="53" customFormat="false" ht="15" hidden="false" customHeight="false" outlineLevel="0" collapsed="false">
      <c r="A53" s="29" t="s">
        <v>182</v>
      </c>
      <c r="B53" s="27" t="s">
        <v>183</v>
      </c>
      <c r="C53" s="29" t="s">
        <v>106</v>
      </c>
      <c r="D53" s="32" t="n">
        <f aca="false">'PL.3A'!D61-'PL.3A'!G61</f>
        <v>0.8162</v>
      </c>
      <c r="E53" s="36" t="n">
        <f aca="false">'PL.3A'!H61</f>
        <v>11213466.0622396</v>
      </c>
      <c r="F53" s="14" t="n">
        <f aca="false">D53*E53</f>
        <v>9152430.99999996</v>
      </c>
      <c r="G53" s="27"/>
    </row>
    <row r="54" customFormat="false" ht="15" hidden="false" customHeight="false" outlineLevel="0" collapsed="false">
      <c r="A54" s="29" t="s">
        <v>184</v>
      </c>
      <c r="B54" s="27" t="s">
        <v>142</v>
      </c>
      <c r="C54" s="29" t="s">
        <v>116</v>
      </c>
      <c r="D54" s="32" t="n">
        <f aca="false">'PL.3A'!D62-'PL.3A'!G62</f>
        <v>60.67</v>
      </c>
      <c r="E54" s="36" t="n">
        <f aca="false">'PL.3A'!H62</f>
        <v>1568219.99340696</v>
      </c>
      <c r="F54" s="14" t="n">
        <f aca="false">D54*E54</f>
        <v>95143907.0000003</v>
      </c>
      <c r="G54" s="27"/>
    </row>
    <row r="55" customFormat="false" ht="15" hidden="false" customHeight="false" outlineLevel="0" collapsed="false">
      <c r="A55" s="29" t="s">
        <v>185</v>
      </c>
      <c r="B55" s="27" t="s">
        <v>144</v>
      </c>
      <c r="C55" s="29" t="s">
        <v>131</v>
      </c>
      <c r="D55" s="32" t="n">
        <f aca="false">'PL.3A'!D63-'PL.3A'!G63</f>
        <v>200.91</v>
      </c>
      <c r="E55" s="36" t="n">
        <f aca="false">'PL.3A'!H63</f>
        <v>113552.998855209</v>
      </c>
      <c r="F55" s="14" t="n">
        <f aca="false">D55*E55</f>
        <v>22813933</v>
      </c>
      <c r="G55" s="27"/>
    </row>
    <row r="56" customFormat="false" ht="15" hidden="false" customHeight="false" outlineLevel="0" collapsed="false">
      <c r="A56" s="29" t="s">
        <v>186</v>
      </c>
      <c r="B56" s="27" t="s">
        <v>151</v>
      </c>
      <c r="C56" s="29" t="s">
        <v>106</v>
      </c>
      <c r="D56" s="32" t="n">
        <f aca="false">'PL.3A'!D64-'PL.3A'!G64</f>
        <v>1.2455</v>
      </c>
      <c r="E56" s="36" t="n">
        <f aca="false">'PL.3A'!H64</f>
        <v>8587205.941389</v>
      </c>
      <c r="F56" s="14" t="n">
        <f aca="false">D56*E56</f>
        <v>10695365</v>
      </c>
      <c r="G56" s="27"/>
    </row>
    <row r="57" customFormat="false" ht="15" hidden="false" customHeight="false" outlineLevel="0" collapsed="false">
      <c r="A57" s="29" t="s">
        <v>187</v>
      </c>
      <c r="B57" s="27" t="s">
        <v>188</v>
      </c>
      <c r="C57" s="29" t="s">
        <v>116</v>
      </c>
      <c r="D57" s="32" t="n">
        <f aca="false">'PL.3A'!D65-'PL.3A'!G65</f>
        <v>16.96</v>
      </c>
      <c r="E57" s="36" t="n">
        <f aca="false">'PL.3A'!H65</f>
        <v>1752158.01886792</v>
      </c>
      <c r="F57" s="14" t="n">
        <f aca="false">D57*E57</f>
        <v>29716599.9999999</v>
      </c>
      <c r="G57" s="27"/>
    </row>
    <row r="58" customFormat="false" ht="15" hidden="false" customHeight="false" outlineLevel="0" collapsed="false">
      <c r="A58" s="29" t="s">
        <v>189</v>
      </c>
      <c r="B58" s="27" t="s">
        <v>155</v>
      </c>
      <c r="C58" s="29" t="s">
        <v>149</v>
      </c>
      <c r="D58" s="32" t="n">
        <f aca="false">'PL.3A'!D66-'PL.3A'!G66</f>
        <v>3.3061</v>
      </c>
      <c r="E58" s="36" t="n">
        <f aca="false">'PL.3A'!H66</f>
        <v>25003381.9303711</v>
      </c>
      <c r="F58" s="14" t="n">
        <f aca="false">D58*E58</f>
        <v>82663680.9999999</v>
      </c>
      <c r="G58" s="27"/>
    </row>
    <row r="59" customFormat="false" ht="15" hidden="false" customHeight="false" outlineLevel="0" collapsed="false">
      <c r="A59" s="29" t="s">
        <v>190</v>
      </c>
      <c r="B59" s="27" t="s">
        <v>159</v>
      </c>
      <c r="C59" s="29" t="s">
        <v>160</v>
      </c>
      <c r="D59" s="32" t="n">
        <f aca="false">'PL.3A'!D67-'PL.3A'!G67</f>
        <v>53</v>
      </c>
      <c r="E59" s="36" t="n">
        <f aca="false">'PL.3A'!H67</f>
        <v>71359</v>
      </c>
      <c r="F59" s="14" t="n">
        <f aca="false">D59*E59</f>
        <v>3782027</v>
      </c>
      <c r="G59" s="27"/>
    </row>
    <row r="60" customFormat="false" ht="15" hidden="false" customHeight="false" outlineLevel="0" collapsed="false">
      <c r="A60" s="29" t="s">
        <v>191</v>
      </c>
      <c r="B60" s="27" t="s">
        <v>192</v>
      </c>
      <c r="C60" s="29" t="s">
        <v>193</v>
      </c>
      <c r="D60" s="32" t="n">
        <f aca="false">'PL.3A'!D68-'PL.3A'!G68</f>
        <v>53</v>
      </c>
      <c r="E60" s="36" t="n">
        <f aca="false">'PL.3A'!H68</f>
        <v>2154837</v>
      </c>
      <c r="F60" s="14" t="n">
        <f aca="false">D60*E60</f>
        <v>114206361</v>
      </c>
      <c r="G60" s="27"/>
    </row>
    <row r="61" customFormat="false" ht="15" hidden="false" customHeight="false" outlineLevel="0" collapsed="false">
      <c r="A61" s="29" t="s">
        <v>194</v>
      </c>
      <c r="B61" s="27" t="s">
        <v>195</v>
      </c>
      <c r="C61" s="29" t="s">
        <v>193</v>
      </c>
      <c r="D61" s="32" t="n">
        <f aca="false">'PL.3A'!D69-'PL.3A'!G69</f>
        <v>53</v>
      </c>
      <c r="E61" s="36" t="n">
        <f aca="false">'PL.3A'!H69</f>
        <v>42993</v>
      </c>
      <c r="F61" s="14" t="n">
        <f aca="false">D61*E61</f>
        <v>2278629</v>
      </c>
      <c r="G61" s="27"/>
    </row>
    <row r="62" customFormat="false" ht="15" hidden="false" customHeight="false" outlineLevel="0" collapsed="false">
      <c r="A62" s="12" t="s">
        <v>196</v>
      </c>
      <c r="B62" s="28" t="s">
        <v>197</v>
      </c>
      <c r="C62" s="27"/>
      <c r="D62" s="27"/>
      <c r="E62" s="27"/>
      <c r="F62" s="27"/>
      <c r="G62" s="27"/>
    </row>
    <row r="63" customFormat="false" ht="15" hidden="false" customHeight="false" outlineLevel="0" collapsed="false">
      <c r="A63" s="29" t="s">
        <v>198</v>
      </c>
      <c r="B63" s="27" t="s">
        <v>180</v>
      </c>
      <c r="C63" s="29" t="s">
        <v>116</v>
      </c>
      <c r="D63" s="32" t="n">
        <f aca="false">'PL.3A'!D71-'PL.3A'!G71</f>
        <v>4.29</v>
      </c>
      <c r="E63" s="36" t="n">
        <f aca="false">'PL.3A'!H71</f>
        <v>1304196.96969697</v>
      </c>
      <c r="F63" s="14" t="n">
        <f aca="false">D63*E63</f>
        <v>5595005</v>
      </c>
      <c r="G63" s="27"/>
    </row>
    <row r="64" customFormat="false" ht="15" hidden="false" customHeight="false" outlineLevel="0" collapsed="false">
      <c r="A64" s="29" t="s">
        <v>199</v>
      </c>
      <c r="B64" s="27" t="s">
        <v>138</v>
      </c>
      <c r="C64" s="29" t="s">
        <v>116</v>
      </c>
      <c r="D64" s="32" t="n">
        <f aca="false">'PL.3A'!D72-'PL.3A'!G72</f>
        <v>3.25</v>
      </c>
      <c r="E64" s="36" t="n">
        <f aca="false">'PL.3A'!H72</f>
        <v>1516740.92307692</v>
      </c>
      <c r="F64" s="14" t="n">
        <f aca="false">D64*E64</f>
        <v>4929407.99999999</v>
      </c>
      <c r="G64" s="27"/>
    </row>
    <row r="65" customFormat="false" ht="15" hidden="false" customHeight="false" outlineLevel="0" collapsed="false">
      <c r="A65" s="29" t="s">
        <v>200</v>
      </c>
      <c r="B65" s="27" t="s">
        <v>183</v>
      </c>
      <c r="C65" s="29" t="s">
        <v>106</v>
      </c>
      <c r="D65" s="32" t="n">
        <f aca="false">'PL.3A'!D73-'PL.3A'!G73</f>
        <v>0.7327</v>
      </c>
      <c r="E65" s="36" t="n">
        <f aca="false">'PL.3A'!H73</f>
        <v>11213466.6302716</v>
      </c>
      <c r="F65" s="14" t="n">
        <f aca="false">D65*E65</f>
        <v>8216107</v>
      </c>
      <c r="G65" s="27"/>
    </row>
    <row r="66" customFormat="false" ht="15" hidden="false" customHeight="false" outlineLevel="0" collapsed="false">
      <c r="A66" s="29" t="s">
        <v>201</v>
      </c>
      <c r="B66" s="27" t="s">
        <v>202</v>
      </c>
      <c r="C66" s="29" t="s">
        <v>116</v>
      </c>
      <c r="D66" s="32" t="n">
        <f aca="false">'PL.3A'!D74-'PL.3A'!G74</f>
        <v>4.35</v>
      </c>
      <c r="E66" s="36" t="n">
        <f aca="false">'PL.3A'!H74</f>
        <v>1572273.10344828</v>
      </c>
      <c r="F66" s="14" t="n">
        <f aca="false">D66*E66</f>
        <v>6839388.00000002</v>
      </c>
      <c r="G66" s="27"/>
    </row>
    <row r="67" customFormat="false" ht="15" hidden="false" customHeight="false" outlineLevel="0" collapsed="false">
      <c r="A67" s="29" t="s">
        <v>203</v>
      </c>
      <c r="B67" s="27" t="s">
        <v>170</v>
      </c>
      <c r="C67" s="29" t="s">
        <v>149</v>
      </c>
      <c r="D67" s="32" t="n">
        <f aca="false">'PL.3A'!D75-'PL.3A'!G75</f>
        <v>0.4396</v>
      </c>
      <c r="E67" s="36" t="n">
        <f aca="false">'PL.3A'!H75</f>
        <v>22904378.9808917</v>
      </c>
      <c r="F67" s="14" t="n">
        <f aca="false">D67*E67</f>
        <v>10068765</v>
      </c>
      <c r="G67" s="27"/>
    </row>
    <row r="68" customFormat="false" ht="15" hidden="false" customHeight="false" outlineLevel="0" collapsed="false">
      <c r="A68" s="29" t="s">
        <v>204</v>
      </c>
      <c r="B68" s="27" t="s">
        <v>205</v>
      </c>
      <c r="C68" s="29" t="s">
        <v>193</v>
      </c>
      <c r="D68" s="32" t="n">
        <f aca="false">'PL.3A'!D76-'PL.3A'!G76</f>
        <v>34</v>
      </c>
      <c r="E68" s="36" t="n">
        <f aca="false">'PL.3A'!H76</f>
        <v>1644483</v>
      </c>
      <c r="F68" s="14" t="n">
        <f aca="false">D68*E68</f>
        <v>55912422</v>
      </c>
      <c r="G68" s="27"/>
    </row>
    <row r="69" customFormat="false" ht="15" hidden="false" customHeight="false" outlineLevel="0" collapsed="false">
      <c r="A69" s="29" t="s">
        <v>206</v>
      </c>
      <c r="B69" s="27" t="s">
        <v>207</v>
      </c>
      <c r="C69" s="29" t="s">
        <v>193</v>
      </c>
      <c r="D69" s="32" t="n">
        <f aca="false">'PL.3A'!D77-'PL.3A'!G77</f>
        <v>34</v>
      </c>
      <c r="E69" s="36" t="n">
        <f aca="false">'PL.3A'!H77</f>
        <v>42993</v>
      </c>
      <c r="F69" s="14" t="n">
        <f aca="false">D69*E69</f>
        <v>1461762</v>
      </c>
      <c r="G69" s="27"/>
    </row>
    <row r="70" customFormat="false" ht="15" hidden="false" customHeight="false" outlineLevel="0" collapsed="false">
      <c r="A70" s="12" t="s">
        <v>208</v>
      </c>
      <c r="B70" s="28" t="s">
        <v>209</v>
      </c>
      <c r="C70" s="27"/>
      <c r="D70" s="27"/>
      <c r="E70" s="27"/>
      <c r="F70" s="27"/>
      <c r="G70" s="27"/>
    </row>
    <row r="71" customFormat="false" ht="15" hidden="false" customHeight="false" outlineLevel="0" collapsed="false">
      <c r="A71" s="29" t="s">
        <v>210</v>
      </c>
      <c r="B71" s="27" t="s">
        <v>180</v>
      </c>
      <c r="C71" s="29" t="s">
        <v>116</v>
      </c>
      <c r="D71" s="32" t="n">
        <f aca="false">'PL.3A'!D79-'PL.3A'!G79</f>
        <v>0</v>
      </c>
      <c r="E71" s="36" t="n">
        <f aca="false">'PL.3A'!H79</f>
        <v>0</v>
      </c>
      <c r="F71" s="14" t="n">
        <f aca="false">D71*E71</f>
        <v>0</v>
      </c>
      <c r="G71" s="27"/>
    </row>
    <row r="72" customFormat="false" ht="15" hidden="false" customHeight="false" outlineLevel="0" collapsed="false">
      <c r="A72" s="29" t="s">
        <v>211</v>
      </c>
      <c r="B72" s="27" t="s">
        <v>138</v>
      </c>
      <c r="C72" s="29" t="s">
        <v>116</v>
      </c>
      <c r="D72" s="32" t="n">
        <f aca="false">'PL.3A'!D80-'PL.3A'!G80</f>
        <v>1.65</v>
      </c>
      <c r="E72" s="36" t="n">
        <f aca="false">'PL.3A'!H80</f>
        <v>1304196.96969697</v>
      </c>
      <c r="F72" s="14" t="n">
        <f aca="false">D72*E72</f>
        <v>2151925</v>
      </c>
      <c r="G72" s="27"/>
    </row>
    <row r="73" customFormat="false" ht="15" hidden="false" customHeight="false" outlineLevel="0" collapsed="false">
      <c r="A73" s="29" t="s">
        <v>212</v>
      </c>
      <c r="B73" s="27" t="s">
        <v>183</v>
      </c>
      <c r="C73" s="29" t="s">
        <v>106</v>
      </c>
      <c r="D73" s="32" t="n">
        <f aca="false">'PL.3A'!D81-'PL.3A'!G81</f>
        <v>2</v>
      </c>
      <c r="E73" s="36" t="n">
        <f aca="false">'PL.3A'!H81</f>
        <v>1516741</v>
      </c>
      <c r="F73" s="14" t="n">
        <f aca="false">D73*E73</f>
        <v>3033482</v>
      </c>
      <c r="G73" s="27"/>
    </row>
    <row r="74" customFormat="false" ht="15" hidden="false" customHeight="false" outlineLevel="0" collapsed="false">
      <c r="A74" s="29" t="s">
        <v>213</v>
      </c>
      <c r="B74" s="27" t="s">
        <v>202</v>
      </c>
      <c r="C74" s="29" t="s">
        <v>116</v>
      </c>
      <c r="D74" s="32" t="n">
        <f aca="false">'PL.3A'!D82-'PL.3A'!G82</f>
        <v>1.1925</v>
      </c>
      <c r="E74" s="36" t="n">
        <f aca="false">'PL.3A'!H82</f>
        <v>11213465.8280922</v>
      </c>
      <c r="F74" s="14" t="n">
        <f aca="false">D74*E74</f>
        <v>13372057.9999999</v>
      </c>
      <c r="G74" s="27"/>
    </row>
    <row r="75" customFormat="false" ht="15" hidden="false" customHeight="false" outlineLevel="0" collapsed="false">
      <c r="A75" s="29" t="s">
        <v>214</v>
      </c>
      <c r="B75" s="27" t="s">
        <v>170</v>
      </c>
      <c r="C75" s="29" t="s">
        <v>149</v>
      </c>
      <c r="D75" s="32" t="n">
        <f aca="false">'PL.3A'!D83-'PL.3A'!G83</f>
        <v>7.35</v>
      </c>
      <c r="E75" s="36" t="n">
        <f aca="false">'PL.3A'!H83</f>
        <v>1572273.06122449</v>
      </c>
      <c r="F75" s="14" t="n">
        <f aca="false">D75*E75</f>
        <v>11556207</v>
      </c>
      <c r="G75" s="27"/>
    </row>
    <row r="76" customFormat="false" ht="15" hidden="false" customHeight="false" outlineLevel="0" collapsed="false">
      <c r="A76" s="29" t="s">
        <v>215</v>
      </c>
      <c r="B76" s="27" t="s">
        <v>170</v>
      </c>
      <c r="C76" s="29" t="s">
        <v>149</v>
      </c>
      <c r="D76" s="32" t="n">
        <f aca="false">'PL.3A'!D84-'PL.3A'!G84</f>
        <v>0.2048</v>
      </c>
      <c r="E76" s="36" t="n">
        <f aca="false">'PL.3A'!H84</f>
        <v>22904379.8828125</v>
      </c>
      <c r="F76" s="14" t="n">
        <f aca="false">D76*E76</f>
        <v>4690817</v>
      </c>
      <c r="G76" s="27"/>
    </row>
    <row r="77" customFormat="false" ht="15" hidden="false" customHeight="false" outlineLevel="0" collapsed="false">
      <c r="A77" s="29" t="s">
        <v>216</v>
      </c>
      <c r="B77" s="27" t="s">
        <v>205</v>
      </c>
      <c r="C77" s="29" t="s">
        <v>193</v>
      </c>
      <c r="D77" s="32" t="n">
        <f aca="false">'PL.3A'!D85-'PL.3A'!G85</f>
        <v>0.4076</v>
      </c>
      <c r="E77" s="36" t="n">
        <f aca="false">'PL.3A'!H85</f>
        <v>22904379.2934249</v>
      </c>
      <c r="F77" s="14" t="n">
        <f aca="false">D77*E77</f>
        <v>9335824.99999999</v>
      </c>
      <c r="G77" s="27"/>
    </row>
    <row r="78" customFormat="false" ht="15" hidden="false" customHeight="false" outlineLevel="0" collapsed="false">
      <c r="A78" s="29" t="s">
        <v>217</v>
      </c>
      <c r="B78" s="27" t="s">
        <v>207</v>
      </c>
      <c r="C78" s="29" t="s">
        <v>193</v>
      </c>
      <c r="D78" s="32" t="n">
        <f aca="false">'PL.3A'!D86-'PL.3A'!G86</f>
        <v>15</v>
      </c>
      <c r="E78" s="36" t="n">
        <f aca="false">'PL.3A'!H86</f>
        <v>1644483</v>
      </c>
      <c r="F78" s="14" t="n">
        <f aca="false">D78*E78</f>
        <v>24667245</v>
      </c>
      <c r="G78" s="27"/>
    </row>
    <row r="79" customFormat="false" ht="15" hidden="false" customHeight="false" outlineLevel="0" collapsed="false">
      <c r="A79" s="12" t="s">
        <v>218</v>
      </c>
      <c r="B79" s="13" t="s">
        <v>219</v>
      </c>
      <c r="C79" s="27"/>
      <c r="D79" s="27"/>
      <c r="E79" s="27"/>
      <c r="F79" s="27"/>
      <c r="G79" s="27"/>
    </row>
    <row r="80" customFormat="false" ht="15" hidden="false" customHeight="false" outlineLevel="0" collapsed="false">
      <c r="A80" s="12" t="s">
        <v>220</v>
      </c>
      <c r="B80" s="28" t="s">
        <v>221</v>
      </c>
      <c r="C80" s="27"/>
      <c r="D80" s="27"/>
      <c r="E80" s="27"/>
      <c r="F80" s="27"/>
      <c r="G80" s="27"/>
    </row>
    <row r="81" customFormat="false" ht="15" hidden="false" customHeight="false" outlineLevel="0" collapsed="false">
      <c r="A81" s="29" t="s">
        <v>222</v>
      </c>
      <c r="B81" s="27" t="s">
        <v>223</v>
      </c>
      <c r="C81" s="29" t="s">
        <v>224</v>
      </c>
      <c r="D81" s="32" t="n">
        <f aca="false">'PL.3A'!D89-'PL.3A'!G89</f>
        <v>632.8</v>
      </c>
      <c r="E81" s="36" t="n">
        <f aca="false">'PL.3A'!H89</f>
        <v>402615</v>
      </c>
      <c r="F81" s="14" t="n">
        <f aca="false">D81*E81</f>
        <v>254774772</v>
      </c>
      <c r="G81" s="27"/>
    </row>
    <row r="82" customFormat="false" ht="15" hidden="false" customHeight="false" outlineLevel="0" collapsed="false">
      <c r="A82" s="29" t="s">
        <v>225</v>
      </c>
      <c r="B82" s="27" t="s">
        <v>226</v>
      </c>
      <c r="C82" s="29" t="s">
        <v>224</v>
      </c>
      <c r="D82" s="32" t="n">
        <f aca="false">'PL.3A'!D90-'PL.3A'!G90</f>
        <v>76.2</v>
      </c>
      <c r="E82" s="36" t="n">
        <f aca="false">'PL.3A'!H90</f>
        <v>412820.997375328</v>
      </c>
      <c r="F82" s="14" t="n">
        <f aca="false">D82*E82</f>
        <v>31456960</v>
      </c>
      <c r="G82" s="27"/>
    </row>
    <row r="83" customFormat="false" ht="15" hidden="false" customHeight="false" outlineLevel="0" collapsed="false">
      <c r="A83" s="29" t="s">
        <v>227</v>
      </c>
      <c r="B83" s="27" t="s">
        <v>228</v>
      </c>
      <c r="C83" s="29" t="s">
        <v>160</v>
      </c>
      <c r="D83" s="32" t="n">
        <f aca="false">'PL.3A'!D91-'PL.3A'!G91</f>
        <v>284</v>
      </c>
      <c r="E83" s="36" t="n">
        <f aca="false">'PL.3A'!H91</f>
        <v>71359</v>
      </c>
      <c r="F83" s="14" t="n">
        <f aca="false">D83*E83</f>
        <v>20265956</v>
      </c>
      <c r="G83" s="27"/>
    </row>
    <row r="84" customFormat="false" ht="15" hidden="false" customHeight="false" outlineLevel="0" collapsed="false">
      <c r="A84" s="29" t="s">
        <v>229</v>
      </c>
      <c r="B84" s="27" t="s">
        <v>230</v>
      </c>
      <c r="C84" s="29" t="s">
        <v>106</v>
      </c>
      <c r="D84" s="32" t="n">
        <f aca="false">'PL.3A'!D92-'PL.3A'!G92</f>
        <v>2.0419</v>
      </c>
      <c r="E84" s="36" t="n">
        <f aca="false">'PL.3A'!H92</f>
        <v>11534439.9823694</v>
      </c>
      <c r="F84" s="14" t="n">
        <f aca="false">D84*E84</f>
        <v>23552173.0000001</v>
      </c>
      <c r="G84" s="27"/>
    </row>
    <row r="85" customFormat="false" ht="15" hidden="false" customHeight="false" outlineLevel="0" collapsed="false">
      <c r="A85" s="29" t="s">
        <v>231</v>
      </c>
      <c r="B85" s="27" t="s">
        <v>232</v>
      </c>
      <c r="C85" s="29" t="s">
        <v>149</v>
      </c>
      <c r="D85" s="32" t="n">
        <f aca="false">'PL.3A'!D93-'PL.3A'!G93</f>
        <v>1.46</v>
      </c>
      <c r="E85" s="36" t="n">
        <f aca="false">'PL.3A'!H93</f>
        <v>26819997.260274</v>
      </c>
      <c r="F85" s="14" t="n">
        <f aca="false">D85*E85</f>
        <v>39157196</v>
      </c>
      <c r="G85" s="27"/>
    </row>
    <row r="86" customFormat="false" ht="15" hidden="false" customHeight="false" outlineLevel="0" collapsed="false">
      <c r="A86" s="29" t="s">
        <v>233</v>
      </c>
      <c r="B86" s="27" t="s">
        <v>234</v>
      </c>
      <c r="C86" s="29" t="s">
        <v>116</v>
      </c>
      <c r="D86" s="32" t="n">
        <f aca="false">'PL.3A'!D94-'PL.3A'!G94</f>
        <v>17.02</v>
      </c>
      <c r="E86" s="36" t="n">
        <f aca="false">'PL.3A'!H94</f>
        <v>1788537.01527615</v>
      </c>
      <c r="F86" s="14" t="n">
        <f aca="false">D86*E86</f>
        <v>30440900.0000001</v>
      </c>
      <c r="G86" s="27"/>
    </row>
    <row r="87" customFormat="false" ht="15" hidden="false" customHeight="false" outlineLevel="0" collapsed="false">
      <c r="A87" s="29" t="s">
        <v>235</v>
      </c>
      <c r="B87" s="27" t="s">
        <v>236</v>
      </c>
      <c r="C87" s="29" t="s">
        <v>237</v>
      </c>
      <c r="D87" s="32" t="n">
        <f aca="false">'PL.3A'!D95-'PL.3A'!G95</f>
        <v>851</v>
      </c>
      <c r="E87" s="36" t="n">
        <f aca="false">'PL.3A'!H95</f>
        <v>42792</v>
      </c>
      <c r="F87" s="14" t="n">
        <f aca="false">D87*E87</f>
        <v>36415992</v>
      </c>
      <c r="G87" s="27"/>
    </row>
    <row r="88" customFormat="false" ht="15" hidden="false" customHeight="false" outlineLevel="0" collapsed="false">
      <c r="A88" s="29" t="s">
        <v>238</v>
      </c>
      <c r="B88" s="27" t="s">
        <v>239</v>
      </c>
      <c r="C88" s="29" t="s">
        <v>240</v>
      </c>
      <c r="D88" s="32" t="n">
        <f aca="false">'PL.3A'!D96-'PL.3A'!G96</f>
        <v>850</v>
      </c>
      <c r="E88" s="36" t="n">
        <f aca="false">'PL.3A'!H96</f>
        <v>62378</v>
      </c>
      <c r="F88" s="14" t="n">
        <f aca="false">D88*E88</f>
        <v>53021300</v>
      </c>
      <c r="G88" s="27"/>
    </row>
    <row r="89" customFormat="false" ht="15" hidden="false" customHeight="false" outlineLevel="0" collapsed="false">
      <c r="A89" s="12" t="s">
        <v>241</v>
      </c>
      <c r="B89" s="28" t="s">
        <v>242</v>
      </c>
      <c r="C89" s="27"/>
      <c r="D89" s="27"/>
      <c r="E89" s="27"/>
      <c r="F89" s="27"/>
      <c r="G89" s="27"/>
    </row>
    <row r="90" customFormat="false" ht="15" hidden="false" customHeight="false" outlineLevel="0" collapsed="false">
      <c r="A90" s="29" t="s">
        <v>243</v>
      </c>
      <c r="B90" s="27" t="s">
        <v>244</v>
      </c>
      <c r="C90" s="29" t="s">
        <v>245</v>
      </c>
      <c r="D90" s="32" t="n">
        <f aca="false">'PL.3A'!D98-'PL.3A'!G98</f>
        <v>4.13</v>
      </c>
      <c r="E90" s="36" t="n">
        <f aca="false">'PL.3A'!H98</f>
        <v>32636924.9394673</v>
      </c>
      <c r="F90" s="14" t="n">
        <f aca="false">D90*E90</f>
        <v>134790500</v>
      </c>
      <c r="G90" s="27"/>
    </row>
    <row r="91" customFormat="false" ht="15" hidden="false" customHeight="false" outlineLevel="0" collapsed="false">
      <c r="A91" s="29" t="s">
        <v>246</v>
      </c>
      <c r="B91" s="27" t="s">
        <v>247</v>
      </c>
      <c r="C91" s="29" t="s">
        <v>240</v>
      </c>
      <c r="D91" s="32" t="n">
        <f aca="false">'PL.3A'!D99-'PL.3A'!G99</f>
        <v>17</v>
      </c>
      <c r="E91" s="36" t="n">
        <f aca="false">'PL.3A'!H99</f>
        <v>586560</v>
      </c>
      <c r="F91" s="14" t="n">
        <f aca="false">D91*E91</f>
        <v>9971520</v>
      </c>
      <c r="G91" s="27"/>
    </row>
    <row r="92" customFormat="false" ht="15" hidden="false" customHeight="false" outlineLevel="0" collapsed="false">
      <c r="A92" s="29" t="s">
        <v>248</v>
      </c>
      <c r="B92" s="27" t="s">
        <v>249</v>
      </c>
      <c r="C92" s="29" t="s">
        <v>240</v>
      </c>
      <c r="D92" s="32" t="n">
        <f aca="false">'PL.3A'!D100-'PL.3A'!G100</f>
        <v>26</v>
      </c>
      <c r="E92" s="36" t="n">
        <f aca="false">'PL.3A'!H100</f>
        <v>388671</v>
      </c>
      <c r="F92" s="14" t="n">
        <f aca="false">D92*E92</f>
        <v>10105446</v>
      </c>
      <c r="G92" s="27"/>
    </row>
    <row r="93" customFormat="false" ht="15" hidden="false" customHeight="false" outlineLevel="0" collapsed="false">
      <c r="A93" s="29" t="s">
        <v>250</v>
      </c>
      <c r="B93" s="27" t="s">
        <v>251</v>
      </c>
      <c r="C93" s="29" t="s">
        <v>245</v>
      </c>
      <c r="D93" s="32" t="n">
        <f aca="false">'PL.3A'!D101-'PL.3A'!G101</f>
        <v>4.13</v>
      </c>
      <c r="E93" s="36" t="n">
        <f aca="false">'PL.3A'!H101</f>
        <v>793210.895883777</v>
      </c>
      <c r="F93" s="14" t="n">
        <f aca="false">D93*E93</f>
        <v>3275961</v>
      </c>
      <c r="G93" s="27"/>
    </row>
    <row r="94" customFormat="false" ht="15" hidden="false" customHeight="false" outlineLevel="0" collapsed="false">
      <c r="A94" s="12" t="s">
        <v>252</v>
      </c>
      <c r="B94" s="28" t="s">
        <v>253</v>
      </c>
      <c r="C94" s="27"/>
      <c r="D94" s="27"/>
      <c r="E94" s="27"/>
      <c r="F94" s="27"/>
      <c r="G94" s="27"/>
    </row>
    <row r="95" customFormat="false" ht="15" hidden="false" customHeight="false" outlineLevel="0" collapsed="false">
      <c r="A95" s="29" t="s">
        <v>254</v>
      </c>
      <c r="B95" s="27" t="s">
        <v>255</v>
      </c>
      <c r="C95" s="29" t="s">
        <v>116</v>
      </c>
      <c r="D95" s="32" t="n">
        <f aca="false">'PL.3A'!D103-'PL.3A'!G103</f>
        <v>0</v>
      </c>
      <c r="E95" s="36" t="n">
        <f aca="false">'PL.3A'!H103</f>
        <v>0</v>
      </c>
      <c r="F95" s="14" t="n">
        <f aca="false">D95*E95</f>
        <v>0</v>
      </c>
      <c r="G95" s="27"/>
    </row>
    <row r="96" customFormat="false" ht="15" hidden="false" customHeight="false" outlineLevel="0" collapsed="false">
      <c r="A96" s="29" t="s">
        <v>256</v>
      </c>
      <c r="B96" s="27" t="s">
        <v>183</v>
      </c>
      <c r="C96" s="29" t="s">
        <v>106</v>
      </c>
      <c r="D96" s="32" t="n">
        <f aca="false">'PL.3A'!D104-'PL.3A'!G104</f>
        <v>6.11</v>
      </c>
      <c r="E96" s="36" t="n">
        <f aca="false">'PL.3A'!H104</f>
        <v>1313706.05564648</v>
      </c>
      <c r="F96" s="14" t="n">
        <f aca="false">D96*E96</f>
        <v>8026743.99999999</v>
      </c>
      <c r="G96" s="27"/>
    </row>
    <row r="97" customFormat="false" ht="15" hidden="false" customHeight="false" outlineLevel="0" collapsed="false">
      <c r="A97" s="29" t="s">
        <v>257</v>
      </c>
      <c r="B97" s="27" t="s">
        <v>138</v>
      </c>
      <c r="C97" s="29" t="s">
        <v>116</v>
      </c>
      <c r="D97" s="32" t="n">
        <f aca="false">'PL.3A'!D105-'PL.3A'!G105</f>
        <v>0.4556</v>
      </c>
      <c r="E97" s="36" t="n">
        <f aca="false">'PL.3A'!H105</f>
        <v>11213465.7594381</v>
      </c>
      <c r="F97" s="14" t="n">
        <f aca="false">D97*E97</f>
        <v>5108855</v>
      </c>
      <c r="G97" s="27"/>
    </row>
    <row r="98" customFormat="false" ht="15" hidden="false" customHeight="false" outlineLevel="0" collapsed="false">
      <c r="A98" s="29" t="s">
        <v>258</v>
      </c>
      <c r="B98" s="27" t="s">
        <v>259</v>
      </c>
      <c r="C98" s="29" t="s">
        <v>131</v>
      </c>
      <c r="D98" s="32" t="n">
        <f aca="false">'PL.3A'!D106-'PL.3A'!G106</f>
        <v>9.16</v>
      </c>
      <c r="E98" s="36" t="n">
        <f aca="false">'PL.3A'!H106</f>
        <v>1516741.04803493</v>
      </c>
      <c r="F98" s="14" t="n">
        <f aca="false">D98*E98</f>
        <v>13893348</v>
      </c>
      <c r="G98" s="27"/>
    </row>
    <row r="99" customFormat="false" ht="15" hidden="false" customHeight="false" outlineLevel="0" collapsed="false">
      <c r="A99" s="29" t="s">
        <v>260</v>
      </c>
      <c r="B99" s="27" t="s">
        <v>142</v>
      </c>
      <c r="C99" s="29" t="s">
        <v>116</v>
      </c>
      <c r="D99" s="32" t="n">
        <f aca="false">'PL.3A'!D107-'PL.3A'!G107</f>
        <v>1.67</v>
      </c>
      <c r="E99" s="36" t="n">
        <f aca="false">'PL.3A'!H107</f>
        <v>46953.2934131737</v>
      </c>
      <c r="F99" s="14" t="n">
        <f aca="false">D99*E99</f>
        <v>78412.0000000001</v>
      </c>
      <c r="G99" s="27"/>
    </row>
    <row r="100" customFormat="false" ht="15" hidden="false" customHeight="false" outlineLevel="0" collapsed="false">
      <c r="A100" s="29" t="s">
        <v>261</v>
      </c>
      <c r="B100" s="27" t="s">
        <v>144</v>
      </c>
      <c r="C100" s="29" t="s">
        <v>131</v>
      </c>
      <c r="D100" s="32" t="n">
        <f aca="false">'PL.3A'!D108-'PL.3A'!G108</f>
        <v>21.43</v>
      </c>
      <c r="E100" s="36" t="n">
        <f aca="false">'PL.3A'!H108</f>
        <v>1568220.01866542</v>
      </c>
      <c r="F100" s="14" t="n">
        <f aca="false">D100*E100</f>
        <v>33606955</v>
      </c>
      <c r="G100" s="27"/>
    </row>
    <row r="101" customFormat="false" ht="15" hidden="false" customHeight="false" outlineLevel="0" collapsed="false">
      <c r="A101" s="29" t="s">
        <v>262</v>
      </c>
      <c r="B101" s="27" t="s">
        <v>263</v>
      </c>
      <c r="C101" s="29" t="s">
        <v>106</v>
      </c>
      <c r="D101" s="32" t="n">
        <f aca="false">'PL.3A'!D109-'PL.3A'!G109</f>
        <v>62.57</v>
      </c>
      <c r="E101" s="36" t="n">
        <f aca="false">'PL.3A'!H109</f>
        <v>113552.996643759</v>
      </c>
      <c r="F101" s="14" t="n">
        <f aca="false">D101*E101</f>
        <v>7105011</v>
      </c>
      <c r="G101" s="27"/>
    </row>
    <row r="102" customFormat="false" ht="15" hidden="false" customHeight="false" outlineLevel="0" collapsed="false">
      <c r="A102" s="29" t="s">
        <v>264</v>
      </c>
      <c r="B102" s="27" t="s">
        <v>151</v>
      </c>
      <c r="C102" s="29" t="s">
        <v>106</v>
      </c>
      <c r="D102" s="32" t="n">
        <f aca="false">'PL.3A'!D110-'PL.3A'!G110</f>
        <v>0.7507</v>
      </c>
      <c r="E102" s="36" t="n">
        <f aca="false">'PL.3A'!H110</f>
        <v>11213466.0983082</v>
      </c>
      <c r="F102" s="14" t="n">
        <f aca="false">D102*E102</f>
        <v>8417948.99999997</v>
      </c>
      <c r="G102" s="27"/>
    </row>
    <row r="103" customFormat="false" ht="15" hidden="false" customHeight="false" outlineLevel="0" collapsed="false">
      <c r="A103" s="29" t="s">
        <v>265</v>
      </c>
      <c r="B103" s="27" t="s">
        <v>155</v>
      </c>
      <c r="C103" s="29" t="s">
        <v>149</v>
      </c>
      <c r="D103" s="32" t="n">
        <f aca="false">'PL.3A'!D111-'PL.3A'!G111</f>
        <v>0.0218</v>
      </c>
      <c r="E103" s="36" t="n">
        <f aca="false">'PL.3A'!H111</f>
        <v>8587201.83486239</v>
      </c>
      <c r="F103" s="14" t="n">
        <f aca="false">D103*E103</f>
        <v>187201</v>
      </c>
      <c r="G103" s="27"/>
    </row>
    <row r="104" customFormat="false" ht="15" hidden="false" customHeight="false" outlineLevel="0" collapsed="false">
      <c r="A104" s="29" t="s">
        <v>266</v>
      </c>
      <c r="B104" s="27" t="s">
        <v>153</v>
      </c>
      <c r="C104" s="29" t="s">
        <v>116</v>
      </c>
      <c r="D104" s="32" t="n">
        <f aca="false">'PL.3A'!D112-'PL.3A'!G112</f>
        <v>0.5637</v>
      </c>
      <c r="E104" s="36" t="n">
        <f aca="false">'PL.3A'!H112</f>
        <v>25003381.2311513</v>
      </c>
      <c r="F104" s="14" t="n">
        <f aca="false">D104*E104</f>
        <v>14094406</v>
      </c>
      <c r="G104" s="27"/>
    </row>
    <row r="105" customFormat="false" ht="15" hidden="false" customHeight="false" outlineLevel="0" collapsed="false">
      <c r="A105" s="29" t="s">
        <v>267</v>
      </c>
      <c r="B105" s="27" t="s">
        <v>268</v>
      </c>
      <c r="C105" s="29" t="s">
        <v>160</v>
      </c>
      <c r="D105" s="32" t="n">
        <f aca="false">'PL.3A'!D113-'PL.3A'!G113</f>
        <v>3.4</v>
      </c>
      <c r="E105" s="36" t="n">
        <f aca="false">'PL.3A'!H113</f>
        <v>1752157.94117647</v>
      </c>
      <c r="F105" s="14" t="n">
        <f aca="false">D105*E105</f>
        <v>5957337</v>
      </c>
      <c r="G105" s="27"/>
    </row>
    <row r="106" customFormat="false" ht="15" hidden="false" customHeight="false" outlineLevel="0" collapsed="false">
      <c r="A106" s="12" t="s">
        <v>269</v>
      </c>
      <c r="B106" s="13" t="s">
        <v>270</v>
      </c>
      <c r="C106" s="27"/>
      <c r="D106" s="27"/>
      <c r="E106" s="27"/>
      <c r="F106" s="27"/>
      <c r="G106" s="27"/>
    </row>
    <row r="107" customFormat="false" ht="15" hidden="false" customHeight="false" outlineLevel="0" collapsed="false">
      <c r="A107" s="12" t="s">
        <v>271</v>
      </c>
      <c r="B107" s="28" t="s">
        <v>272</v>
      </c>
      <c r="C107" s="27"/>
      <c r="D107" s="27"/>
      <c r="E107" s="27"/>
      <c r="F107" s="27"/>
      <c r="G107" s="27"/>
    </row>
    <row r="108" customFormat="false" ht="15" hidden="false" customHeight="false" outlineLevel="0" collapsed="false">
      <c r="A108" s="29" t="s">
        <v>273</v>
      </c>
      <c r="B108" s="27" t="s">
        <v>255</v>
      </c>
      <c r="C108" s="29" t="s">
        <v>116</v>
      </c>
      <c r="D108" s="32" t="n">
        <f aca="false">'PL.3A'!D116-'PL.3A'!G116</f>
        <v>2.1</v>
      </c>
      <c r="E108" s="36" t="n">
        <f aca="false">'PL.3A'!H116</f>
        <v>1313706.19047619</v>
      </c>
      <c r="F108" s="14" t="n">
        <f aca="false">D108*E108</f>
        <v>2758783</v>
      </c>
      <c r="G108" s="27"/>
    </row>
    <row r="109" customFormat="false" ht="15" hidden="false" customHeight="false" outlineLevel="0" collapsed="false">
      <c r="A109" s="29" t="s">
        <v>274</v>
      </c>
      <c r="B109" s="27" t="s">
        <v>275</v>
      </c>
      <c r="C109" s="29" t="s">
        <v>116</v>
      </c>
      <c r="D109" s="32" t="n">
        <f aca="false">'PL.3A'!D117-'PL.3A'!G117</f>
        <v>2.1</v>
      </c>
      <c r="E109" s="36" t="n">
        <f aca="false">'PL.3A'!H117</f>
        <v>1462108.0952381</v>
      </c>
      <c r="F109" s="14" t="n">
        <f aca="false">D109*E109</f>
        <v>3070427.00000001</v>
      </c>
      <c r="G109" s="27"/>
    </row>
    <row r="110" customFormat="false" ht="15" hidden="false" customHeight="false" outlineLevel="0" collapsed="false">
      <c r="A110" s="29" t="s">
        <v>276</v>
      </c>
      <c r="B110" s="27" t="s">
        <v>183</v>
      </c>
      <c r="C110" s="29" t="s">
        <v>106</v>
      </c>
      <c r="D110" s="32" t="n">
        <f aca="false">'PL.3A'!D118-'PL.3A'!G118</f>
        <v>0.084</v>
      </c>
      <c r="E110" s="36" t="n">
        <f aca="false">'PL.3A'!H118</f>
        <v>11213464.2857143</v>
      </c>
      <c r="F110" s="14" t="n">
        <f aca="false">D110*E110</f>
        <v>941931.000000001</v>
      </c>
      <c r="G110" s="27"/>
    </row>
    <row r="111" customFormat="false" ht="15" hidden="false" customHeight="false" outlineLevel="0" collapsed="false">
      <c r="A111" s="29" t="s">
        <v>277</v>
      </c>
      <c r="B111" s="27" t="s">
        <v>142</v>
      </c>
      <c r="C111" s="29" t="s">
        <v>116</v>
      </c>
      <c r="D111" s="32" t="n">
        <f aca="false">'PL.3A'!D119-'PL.3A'!G119</f>
        <v>1.848</v>
      </c>
      <c r="E111" s="36" t="n">
        <f aca="false">'PL.3A'!H119</f>
        <v>1568220.23809524</v>
      </c>
      <c r="F111" s="14" t="n">
        <f aca="false">D111*E111</f>
        <v>2898071</v>
      </c>
      <c r="G111" s="27"/>
    </row>
    <row r="112" customFormat="false" ht="15" hidden="false" customHeight="false" outlineLevel="0" collapsed="false">
      <c r="A112" s="29" t="s">
        <v>278</v>
      </c>
      <c r="B112" s="27" t="s">
        <v>144</v>
      </c>
      <c r="C112" s="29" t="s">
        <v>131</v>
      </c>
      <c r="D112" s="32" t="n">
        <f aca="false">'PL.3A'!D120-'PL.3A'!G120</f>
        <v>16.8</v>
      </c>
      <c r="E112" s="36" t="n">
        <f aca="false">'PL.3A'!H120</f>
        <v>113552.976190476</v>
      </c>
      <c r="F112" s="14" t="n">
        <f aca="false">D112*E112</f>
        <v>1907690</v>
      </c>
      <c r="G112" s="27"/>
    </row>
    <row r="113" customFormat="false" ht="15" hidden="false" customHeight="false" outlineLevel="0" collapsed="false">
      <c r="A113" s="29" t="s">
        <v>279</v>
      </c>
      <c r="B113" s="27" t="s">
        <v>259</v>
      </c>
      <c r="C113" s="29" t="s">
        <v>131</v>
      </c>
      <c r="D113" s="32" t="n">
        <f aca="false">'PL.3A'!D121-'PL.3A'!G121</f>
        <v>4.2</v>
      </c>
      <c r="E113" s="36" t="n">
        <f aca="false">'PL.3A'!H121</f>
        <v>46953.0952380952</v>
      </c>
      <c r="F113" s="14" t="n">
        <f aca="false">D113*E113</f>
        <v>197203</v>
      </c>
      <c r="G113" s="27"/>
    </row>
    <row r="114" customFormat="false" ht="15" hidden="false" customHeight="false" outlineLevel="0" collapsed="false">
      <c r="A114" s="29" t="s">
        <v>280</v>
      </c>
      <c r="B114" s="27" t="s">
        <v>263</v>
      </c>
      <c r="C114" s="29" t="s">
        <v>106</v>
      </c>
      <c r="D114" s="32" t="n">
        <f aca="false">'PL.3A'!D122-'PL.3A'!G122</f>
        <v>0.084</v>
      </c>
      <c r="E114" s="36" t="n">
        <f aca="false">'PL.3A'!H122</f>
        <v>11213464.2857143</v>
      </c>
      <c r="F114" s="14" t="n">
        <f aca="false">D114*E114</f>
        <v>941931.000000001</v>
      </c>
      <c r="G114" s="27"/>
    </row>
    <row r="115" customFormat="false" ht="15" hidden="false" customHeight="false" outlineLevel="0" collapsed="false">
      <c r="A115" s="29" t="s">
        <v>281</v>
      </c>
      <c r="B115" s="27" t="s">
        <v>146</v>
      </c>
      <c r="C115" s="29" t="s">
        <v>116</v>
      </c>
      <c r="D115" s="32" t="n">
        <f aca="false">'PL.3A'!D123-'PL.3A'!G123</f>
        <v>1.47</v>
      </c>
      <c r="E115" s="36" t="n">
        <f aca="false">'PL.3A'!H123</f>
        <v>2084985.71428571</v>
      </c>
      <c r="F115" s="14" t="n">
        <f aca="false">D115*E115</f>
        <v>3064928.99999999</v>
      </c>
      <c r="G115" s="27"/>
    </row>
    <row r="116" customFormat="false" ht="15" hidden="false" customHeight="false" outlineLevel="0" collapsed="false">
      <c r="A116" s="29" t="s">
        <v>282</v>
      </c>
      <c r="B116" s="27" t="s">
        <v>148</v>
      </c>
      <c r="C116" s="29" t="s">
        <v>149</v>
      </c>
      <c r="D116" s="32" t="n">
        <f aca="false">'PL.3A'!D124-'PL.3A'!G124</f>
        <v>0.173</v>
      </c>
      <c r="E116" s="36" t="n">
        <f aca="false">'PL.3A'!H124</f>
        <v>24438878.6127168</v>
      </c>
      <c r="F116" s="14" t="n">
        <f aca="false">D116*E116</f>
        <v>4227926.00000001</v>
      </c>
      <c r="G116" s="27"/>
    </row>
    <row r="117" customFormat="false" ht="15" hidden="false" customHeight="false" outlineLevel="0" collapsed="false">
      <c r="A117" s="29" t="s">
        <v>283</v>
      </c>
      <c r="B117" s="27" t="s">
        <v>159</v>
      </c>
      <c r="C117" s="29" t="s">
        <v>160</v>
      </c>
      <c r="D117" s="32" t="n">
        <f aca="false">'PL.3A'!D125-'PL.3A'!G125</f>
        <v>21</v>
      </c>
      <c r="E117" s="36" t="n">
        <f aca="false">'PL.3A'!H125</f>
        <v>71359</v>
      </c>
      <c r="F117" s="14" t="n">
        <f aca="false">D117*E117</f>
        <v>1498539</v>
      </c>
      <c r="G117" s="27"/>
    </row>
    <row r="118" customFormat="false" ht="15" hidden="false" customHeight="false" outlineLevel="0" collapsed="false">
      <c r="A118" s="29" t="s">
        <v>284</v>
      </c>
      <c r="B118" s="27" t="s">
        <v>285</v>
      </c>
      <c r="C118" s="29" t="s">
        <v>116</v>
      </c>
      <c r="D118" s="32" t="n">
        <f aca="false">'PL.3A'!D126-'PL.3A'!G126</f>
        <v>1.029</v>
      </c>
      <c r="E118" s="36" t="n">
        <f aca="false">'PL.3A'!H126</f>
        <v>1752158.40621963</v>
      </c>
      <c r="F118" s="14" t="n">
        <f aca="false">D118*E118</f>
        <v>1802971</v>
      </c>
      <c r="G118" s="27"/>
    </row>
    <row r="119" customFormat="false" ht="15" hidden="false" customHeight="false" outlineLevel="0" collapsed="false">
      <c r="A119" s="29" t="s">
        <v>286</v>
      </c>
      <c r="B119" s="27" t="s">
        <v>155</v>
      </c>
      <c r="C119" s="29" t="s">
        <v>149</v>
      </c>
      <c r="D119" s="32" t="n">
        <f aca="false">'PL.3A'!D127-'PL.3A'!G127</f>
        <v>0.209</v>
      </c>
      <c r="E119" s="36" t="n">
        <f aca="false">'PL.3A'!H127</f>
        <v>25003382.7751196</v>
      </c>
      <c r="F119" s="14" t="n">
        <f aca="false">D119*E119</f>
        <v>5225707</v>
      </c>
      <c r="G119" s="27"/>
    </row>
    <row r="120" customFormat="false" ht="15" hidden="false" customHeight="false" outlineLevel="0" collapsed="false">
      <c r="A120" s="29" t="s">
        <v>287</v>
      </c>
      <c r="B120" s="27" t="s">
        <v>151</v>
      </c>
      <c r="C120" s="29" t="s">
        <v>106</v>
      </c>
      <c r="D120" s="32" t="n">
        <f aca="false">'PL.3A'!D128-'PL.3A'!G128</f>
        <v>0.0103</v>
      </c>
      <c r="E120" s="36" t="n">
        <f aca="false">'PL.3A'!H128</f>
        <v>8587184.46601942</v>
      </c>
      <c r="F120" s="14" t="n">
        <f aca="false">D120*E120</f>
        <v>88448</v>
      </c>
      <c r="G120" s="27"/>
    </row>
    <row r="121" customFormat="false" ht="15" hidden="false" customHeight="false" outlineLevel="0" collapsed="false">
      <c r="A121" s="12" t="s">
        <v>288</v>
      </c>
      <c r="B121" s="28" t="s">
        <v>289</v>
      </c>
      <c r="C121" s="27"/>
      <c r="D121" s="27"/>
      <c r="E121" s="27"/>
      <c r="F121" s="27"/>
      <c r="G121" s="27"/>
    </row>
    <row r="122" customFormat="false" ht="15" hidden="false" customHeight="false" outlineLevel="0" collapsed="false">
      <c r="A122" s="29" t="s">
        <v>290</v>
      </c>
      <c r="B122" s="27" t="s">
        <v>255</v>
      </c>
      <c r="C122" s="29" t="s">
        <v>116</v>
      </c>
      <c r="D122" s="32" t="n">
        <f aca="false">'PL.3A'!D130-'PL.3A'!G130</f>
        <v>60.297</v>
      </c>
      <c r="E122" s="36" t="n">
        <f aca="false">'PL.3A'!H130</f>
        <v>1313706.00527389</v>
      </c>
      <c r="F122" s="14" t="n">
        <f aca="false">D122*E122</f>
        <v>79212530.9999998</v>
      </c>
      <c r="G122" s="27"/>
    </row>
    <row r="123" customFormat="false" ht="15" hidden="false" customHeight="false" outlineLevel="0" collapsed="false">
      <c r="A123" s="29" t="s">
        <v>291</v>
      </c>
      <c r="B123" s="27" t="s">
        <v>275</v>
      </c>
      <c r="C123" s="29" t="s">
        <v>116</v>
      </c>
      <c r="D123" s="32" t="n">
        <f aca="false">'PL.3A'!D131-'PL.3A'!G131</f>
        <v>60.297</v>
      </c>
      <c r="E123" s="36" t="n">
        <f aca="false">'PL.3A'!H131</f>
        <v>1462107.99873957</v>
      </c>
      <c r="F123" s="14" t="n">
        <f aca="false">D123*E123</f>
        <v>88160725.9999998</v>
      </c>
      <c r="G123" s="27"/>
    </row>
    <row r="124" customFormat="false" ht="15" hidden="false" customHeight="false" outlineLevel="0" collapsed="false">
      <c r="A124" s="29" t="s">
        <v>292</v>
      </c>
      <c r="B124" s="27" t="s">
        <v>183</v>
      </c>
      <c r="C124" s="29" t="s">
        <v>106</v>
      </c>
      <c r="D124" s="32" t="n">
        <f aca="false">'PL.3A'!D132-'PL.3A'!G132</f>
        <v>3.7106</v>
      </c>
      <c r="E124" s="36" t="n">
        <f aca="false">'PL.3A'!H132</f>
        <v>11213466.0162777</v>
      </c>
      <c r="F124" s="14" t="n">
        <f aca="false">D124*E124</f>
        <v>41608687</v>
      </c>
      <c r="G124" s="27"/>
    </row>
    <row r="125" customFormat="false" ht="15" hidden="false" customHeight="false" outlineLevel="0" collapsed="false">
      <c r="A125" s="29" t="s">
        <v>293</v>
      </c>
      <c r="B125" s="27" t="s">
        <v>142</v>
      </c>
      <c r="C125" s="29" t="s">
        <v>116</v>
      </c>
      <c r="D125" s="32" t="n">
        <f aca="false">'PL.3A'!D133-'PL.3A'!G133</f>
        <v>102.042</v>
      </c>
      <c r="E125" s="36" t="n">
        <f aca="false">'PL.3A'!H133</f>
        <v>1568219.99764803</v>
      </c>
      <c r="F125" s="14" t="n">
        <f aca="false">D125*E125</f>
        <v>160024305</v>
      </c>
      <c r="G125" s="27"/>
    </row>
    <row r="126" customFormat="false" ht="15" hidden="false" customHeight="false" outlineLevel="0" collapsed="false">
      <c r="A126" s="29" t="s">
        <v>294</v>
      </c>
      <c r="B126" s="27" t="s">
        <v>144</v>
      </c>
      <c r="C126" s="29" t="s">
        <v>131</v>
      </c>
      <c r="D126" s="32" t="n">
        <f aca="false">'PL.3A'!D134-'PL.3A'!G134</f>
        <v>927.65</v>
      </c>
      <c r="E126" s="36" t="n">
        <f aca="false">'PL.3A'!H134</f>
        <v>113552.999514903</v>
      </c>
      <c r="F126" s="14" t="n">
        <f aca="false">D126*E126</f>
        <v>105337440</v>
      </c>
      <c r="G126" s="27"/>
    </row>
    <row r="127" customFormat="false" ht="15" hidden="false" customHeight="false" outlineLevel="0" collapsed="false">
      <c r="A127" s="29" t="s">
        <v>295</v>
      </c>
      <c r="B127" s="27" t="s">
        <v>259</v>
      </c>
      <c r="C127" s="29" t="s">
        <v>131</v>
      </c>
      <c r="D127" s="32" t="n">
        <f aca="false">'PL.3A'!D135-'PL.3A'!G135</f>
        <v>231.913</v>
      </c>
      <c r="E127" s="36" t="n">
        <f aca="false">'PL.3A'!H135</f>
        <v>46952.9996162354</v>
      </c>
      <c r="F127" s="14" t="n">
        <f aca="false">D127*E127</f>
        <v>10889011</v>
      </c>
      <c r="G127" s="27"/>
    </row>
    <row r="128" customFormat="false" ht="15" hidden="false" customHeight="false" outlineLevel="0" collapsed="false">
      <c r="A128" s="29" t="s">
        <v>296</v>
      </c>
      <c r="B128" s="27" t="s">
        <v>297</v>
      </c>
      <c r="C128" s="29" t="s">
        <v>245</v>
      </c>
      <c r="D128" s="32" t="n">
        <f aca="false">'PL.3A'!D136-'PL.3A'!G136</f>
        <v>4.6383</v>
      </c>
      <c r="E128" s="36" t="n">
        <f aca="false">'PL.3A'!H136</f>
        <v>5554510.05756419</v>
      </c>
      <c r="F128" s="14" t="n">
        <f aca="false">D128*E128</f>
        <v>25763484</v>
      </c>
      <c r="G128" s="27"/>
    </row>
    <row r="129" customFormat="false" ht="15" hidden="false" customHeight="false" outlineLevel="0" collapsed="false">
      <c r="A129" s="29" t="s">
        <v>298</v>
      </c>
      <c r="B129" s="27" t="s">
        <v>299</v>
      </c>
      <c r="C129" s="29" t="s">
        <v>240</v>
      </c>
      <c r="D129" s="32" t="n">
        <f aca="false">'PL.3A'!D137-'PL.3A'!G137</f>
        <v>1855</v>
      </c>
      <c r="E129" s="36" t="n">
        <f aca="false">'PL.3A'!H137</f>
        <v>11924</v>
      </c>
      <c r="F129" s="14" t="n">
        <f aca="false">D129*E129</f>
        <v>22119020</v>
      </c>
      <c r="G129" s="27"/>
    </row>
    <row r="130" customFormat="false" ht="15" hidden="false" customHeight="false" outlineLevel="0" collapsed="false">
      <c r="A130" s="29" t="s">
        <v>300</v>
      </c>
      <c r="B130" s="27" t="s">
        <v>301</v>
      </c>
      <c r="C130" s="29" t="s">
        <v>245</v>
      </c>
      <c r="D130" s="32" t="n">
        <f aca="false">'PL.3A'!D138-'PL.3A'!G138</f>
        <v>2.3191</v>
      </c>
      <c r="E130" s="36" t="n">
        <f aca="false">'PL.3A'!H138</f>
        <v>10772197.8353672</v>
      </c>
      <c r="F130" s="14" t="n">
        <f aca="false">D130*E130</f>
        <v>24981804.0000001</v>
      </c>
      <c r="G130" s="27"/>
    </row>
    <row r="131" customFormat="false" ht="15" hidden="false" customHeight="false" outlineLevel="0" collapsed="false">
      <c r="A131" s="29" t="s">
        <v>302</v>
      </c>
      <c r="B131" s="27" t="s">
        <v>303</v>
      </c>
      <c r="C131" s="29" t="s">
        <v>240</v>
      </c>
      <c r="D131" s="32" t="n">
        <f aca="false">'PL.3A'!D139-'PL.3A'!G139</f>
        <v>928</v>
      </c>
      <c r="E131" s="36" t="n">
        <f aca="false">'PL.3A'!H139</f>
        <v>29233</v>
      </c>
      <c r="F131" s="14" t="n">
        <f aca="false">D131*E131</f>
        <v>27128224</v>
      </c>
      <c r="G131" s="27"/>
    </row>
    <row r="132" customFormat="false" ht="15" hidden="false" customHeight="false" outlineLevel="0" collapsed="false">
      <c r="A132" s="29" t="s">
        <v>304</v>
      </c>
      <c r="B132" s="27" t="s">
        <v>305</v>
      </c>
      <c r="C132" s="29" t="s">
        <v>149</v>
      </c>
      <c r="D132" s="32" t="n">
        <f aca="false">'PL.3A'!D140-'PL.3A'!G140</f>
        <v>0.6772</v>
      </c>
      <c r="E132" s="36" t="n">
        <f aca="false">'PL.3A'!H140</f>
        <v>22691076.4914353</v>
      </c>
      <c r="F132" s="14" t="n">
        <f aca="false">D132*E132</f>
        <v>15366397</v>
      </c>
      <c r="G132" s="27"/>
    </row>
    <row r="133" customFormat="false" ht="15" hidden="false" customHeight="false" outlineLevel="0" collapsed="false">
      <c r="A133" s="29" t="s">
        <v>306</v>
      </c>
      <c r="B133" s="27" t="s">
        <v>159</v>
      </c>
      <c r="C133" s="29" t="s">
        <v>160</v>
      </c>
      <c r="D133" s="32" t="n">
        <f aca="false">'PL.3A'!D141-'PL.3A'!G141</f>
        <v>928</v>
      </c>
      <c r="E133" s="36" t="n">
        <f aca="false">'PL.3A'!H141</f>
        <v>71359</v>
      </c>
      <c r="F133" s="14" t="n">
        <f aca="false">D133*E133</f>
        <v>66221152</v>
      </c>
      <c r="G133" s="27"/>
    </row>
    <row r="134" customFormat="false" ht="15" hidden="false" customHeight="false" outlineLevel="0" collapsed="false">
      <c r="A134" s="29" t="s">
        <v>307</v>
      </c>
      <c r="B134" s="27" t="s">
        <v>153</v>
      </c>
      <c r="C134" s="29" t="s">
        <v>116</v>
      </c>
      <c r="D134" s="32" t="n">
        <f aca="false">'PL.3A'!D142-'PL.3A'!G142</f>
        <v>60.297</v>
      </c>
      <c r="E134" s="36" t="n">
        <f aca="false">'PL.3A'!H142</f>
        <v>1752158.00122726</v>
      </c>
      <c r="F134" s="14" t="n">
        <f aca="false">D134*E134</f>
        <v>105649871</v>
      </c>
      <c r="G134" s="27"/>
    </row>
    <row r="135" customFormat="false" ht="15" hidden="false" customHeight="false" outlineLevel="0" collapsed="false">
      <c r="A135" s="29" t="s">
        <v>308</v>
      </c>
      <c r="B135" s="27" t="s">
        <v>155</v>
      </c>
      <c r="C135" s="29" t="s">
        <v>149</v>
      </c>
      <c r="D135" s="32" t="n">
        <f aca="false">'PL.3A'!D143-'PL.3A'!G143</f>
        <v>4.4434</v>
      </c>
      <c r="E135" s="36" t="n">
        <f aca="false">'PL.3A'!H143</f>
        <v>25003382.0947923</v>
      </c>
      <c r="F135" s="14" t="n">
        <f aca="false">D135*E135</f>
        <v>111100028</v>
      </c>
      <c r="G135" s="27"/>
    </row>
    <row r="136" customFormat="false" ht="15" hidden="false" customHeight="false" outlineLevel="0" collapsed="false">
      <c r="A136" s="29" t="s">
        <v>309</v>
      </c>
      <c r="B136" s="27" t="s">
        <v>151</v>
      </c>
      <c r="C136" s="29" t="s">
        <v>106</v>
      </c>
      <c r="D136" s="32" t="n">
        <f aca="false">'PL.3A'!D144-'PL.3A'!G144</f>
        <v>3.0613</v>
      </c>
      <c r="E136" s="36" t="n">
        <f aca="false">'PL.3A'!H144</f>
        <v>8587206.08891647</v>
      </c>
      <c r="F136" s="14" t="n">
        <f aca="false">D136*E136</f>
        <v>26288014</v>
      </c>
      <c r="G136" s="27"/>
    </row>
    <row r="137" customFormat="false" ht="15" hidden="false" customHeight="false" outlineLevel="0" collapsed="false">
      <c r="A137" s="29" t="s">
        <v>310</v>
      </c>
      <c r="B137" s="27" t="s">
        <v>311</v>
      </c>
      <c r="C137" s="29" t="s">
        <v>245</v>
      </c>
      <c r="D137" s="32" t="n">
        <f aca="false">'PL.3A'!D145-'PL.3A'!G145</f>
        <v>0.3908</v>
      </c>
      <c r="E137" s="36" t="n">
        <f aca="false">'PL.3A'!H145</f>
        <v>52791740.0204708</v>
      </c>
      <c r="F137" s="14" t="n">
        <f aca="false">D137*E137</f>
        <v>20631012</v>
      </c>
      <c r="G137" s="27"/>
    </row>
    <row r="138" customFormat="false" ht="26.85" hidden="false" customHeight="false" outlineLevel="0" collapsed="false">
      <c r="A138" s="12" t="s">
        <v>312</v>
      </c>
      <c r="B138" s="13" t="s">
        <v>313</v>
      </c>
      <c r="C138" s="27"/>
      <c r="D138" s="27"/>
      <c r="E138" s="27"/>
      <c r="F138" s="27"/>
      <c r="G138" s="27"/>
    </row>
    <row r="139" customFormat="false" ht="15" hidden="false" customHeight="false" outlineLevel="0" collapsed="false">
      <c r="A139" s="12" t="s">
        <v>314</v>
      </c>
      <c r="B139" s="28" t="s">
        <v>315</v>
      </c>
      <c r="C139" s="27"/>
      <c r="D139" s="27"/>
      <c r="E139" s="27"/>
      <c r="F139" s="27"/>
      <c r="G139" s="27"/>
    </row>
    <row r="140" customFormat="false" ht="15" hidden="false" customHeight="false" outlineLevel="0" collapsed="false">
      <c r="A140" s="29" t="s">
        <v>316</v>
      </c>
      <c r="B140" s="27" t="s">
        <v>317</v>
      </c>
      <c r="C140" s="29" t="s">
        <v>131</v>
      </c>
      <c r="D140" s="32" t="n">
        <f aca="false">'PL.3A'!D148-'PL.3A'!G148</f>
        <v>5144.62</v>
      </c>
      <c r="E140" s="36" t="n">
        <f aca="false">'PL.3A'!H148</f>
        <v>3062.99998833733</v>
      </c>
      <c r="F140" s="14" t="n">
        <f aca="false">D140*E140</f>
        <v>15757971</v>
      </c>
      <c r="G140" s="27"/>
    </row>
    <row r="141" customFormat="false" ht="15" hidden="false" customHeight="false" outlineLevel="0" collapsed="false">
      <c r="A141" s="29" t="s">
        <v>318</v>
      </c>
      <c r="B141" s="27" t="s">
        <v>319</v>
      </c>
      <c r="C141" s="29" t="s">
        <v>116</v>
      </c>
      <c r="D141" s="32" t="n">
        <f aca="false">'PL.3A'!D149-'PL.3A'!G149</f>
        <v>514.462</v>
      </c>
      <c r="E141" s="36" t="n">
        <f aca="false">'PL.3A'!H149</f>
        <v>1462108.00020215</v>
      </c>
      <c r="F141" s="14" t="n">
        <f aca="false">D141*E141</f>
        <v>752199005.999999</v>
      </c>
      <c r="G141" s="27"/>
    </row>
    <row r="142" customFormat="false" ht="15" hidden="false" customHeight="false" outlineLevel="0" collapsed="false">
      <c r="A142" s="29" t="s">
        <v>320</v>
      </c>
      <c r="B142" s="27" t="s">
        <v>321</v>
      </c>
      <c r="C142" s="29" t="s">
        <v>131</v>
      </c>
      <c r="D142" s="32" t="n">
        <f aca="false">'PL.3A'!D150-'PL.3A'!G150</f>
        <v>5144.62</v>
      </c>
      <c r="E142" s="36" t="n">
        <f aca="false">'PL.3A'!H150</f>
        <v>222943.999945574</v>
      </c>
      <c r="F142" s="14" t="n">
        <f aca="false">D142*E142</f>
        <v>1146962161</v>
      </c>
      <c r="G142" s="27"/>
    </row>
    <row r="143" customFormat="false" ht="15" hidden="false" customHeight="false" outlineLevel="0" collapsed="false">
      <c r="A143" s="12" t="s">
        <v>322</v>
      </c>
      <c r="B143" s="28" t="s">
        <v>323</v>
      </c>
      <c r="C143" s="27"/>
      <c r="D143" s="27"/>
      <c r="E143" s="27"/>
      <c r="F143" s="27"/>
      <c r="G143" s="27"/>
    </row>
    <row r="144" customFormat="false" ht="15" hidden="false" customHeight="false" outlineLevel="0" collapsed="false">
      <c r="A144" s="29" t="s">
        <v>324</v>
      </c>
      <c r="B144" s="27" t="s">
        <v>325</v>
      </c>
      <c r="C144" s="29" t="s">
        <v>106</v>
      </c>
      <c r="D144" s="32" t="n">
        <f aca="false">'PL.3A'!D152-'PL.3A'!G152</f>
        <v>2.5056</v>
      </c>
      <c r="E144" s="36" t="n">
        <f aca="false">'PL.3A'!H152</f>
        <v>6286550.12771392</v>
      </c>
      <c r="F144" s="14" t="n">
        <f aca="false">D144*E144</f>
        <v>15751580</v>
      </c>
      <c r="G144" s="27"/>
    </row>
    <row r="145" customFormat="false" ht="15" hidden="false" customHeight="false" outlineLevel="0" collapsed="false">
      <c r="A145" s="29" t="s">
        <v>326</v>
      </c>
      <c r="B145" s="27" t="s">
        <v>327</v>
      </c>
      <c r="C145" s="29" t="s">
        <v>116</v>
      </c>
      <c r="D145" s="32" t="n">
        <f aca="false">'PL.3A'!D153-'PL.3A'!G153</f>
        <v>32.57</v>
      </c>
      <c r="E145" s="36" t="n">
        <f aca="false">'PL.3A'!H153</f>
        <v>1462108.01350936</v>
      </c>
      <c r="F145" s="14" t="n">
        <f aca="false">D145*E145</f>
        <v>47620857.9999999</v>
      </c>
      <c r="G145" s="27"/>
    </row>
    <row r="146" customFormat="false" ht="15" hidden="false" customHeight="false" outlineLevel="0" collapsed="false">
      <c r="A146" s="29" t="s">
        <v>328</v>
      </c>
      <c r="B146" s="27" t="s">
        <v>329</v>
      </c>
      <c r="C146" s="29" t="s">
        <v>131</v>
      </c>
      <c r="D146" s="32" t="n">
        <f aca="false">'PL.3A'!D154-'PL.3A'!G154</f>
        <v>325.73</v>
      </c>
      <c r="E146" s="36" t="n">
        <f aca="false">'PL.3A'!H154</f>
        <v>44400</v>
      </c>
      <c r="F146" s="14" t="n">
        <f aca="false">D146*E146</f>
        <v>14462412</v>
      </c>
      <c r="G146" s="27"/>
    </row>
    <row r="147" customFormat="false" ht="15" hidden="false" customHeight="false" outlineLevel="0" collapsed="false">
      <c r="A147" s="29" t="s">
        <v>330</v>
      </c>
      <c r="B147" s="27" t="s">
        <v>331</v>
      </c>
      <c r="C147" s="29" t="s">
        <v>106</v>
      </c>
      <c r="D147" s="32" t="n">
        <f aca="false">'PL.3A'!D155-'PL.3A'!G155</f>
        <v>8.2686</v>
      </c>
      <c r="E147" s="36" t="n">
        <f aca="false">'PL.3A'!H155</f>
        <v>11534440.0503108</v>
      </c>
      <c r="F147" s="14" t="n">
        <f aca="false">D147*E147</f>
        <v>95373670.9999999</v>
      </c>
      <c r="G147" s="27"/>
    </row>
    <row r="148" customFormat="false" ht="15" hidden="false" customHeight="false" outlineLevel="0" collapsed="false">
      <c r="A148" s="29" t="s">
        <v>332</v>
      </c>
      <c r="B148" s="27" t="s">
        <v>333</v>
      </c>
      <c r="C148" s="29" t="s">
        <v>116</v>
      </c>
      <c r="D148" s="32" t="n">
        <f aca="false">'PL.3A'!D156-'PL.3A'!G156</f>
        <v>57.63</v>
      </c>
      <c r="E148" s="36" t="n">
        <f aca="false">'PL.3A'!H156</f>
        <v>1721704.008329</v>
      </c>
      <c r="F148" s="14" t="n">
        <f aca="false">D148*E148</f>
        <v>99221802.0000003</v>
      </c>
      <c r="G148" s="27"/>
    </row>
    <row r="149" customFormat="false" ht="15" hidden="false" customHeight="false" outlineLevel="0" collapsed="false">
      <c r="A149" s="29" t="s">
        <v>334</v>
      </c>
      <c r="B149" s="27" t="s">
        <v>335</v>
      </c>
      <c r="C149" s="29" t="s">
        <v>160</v>
      </c>
      <c r="D149" s="32" t="n">
        <f aca="false">'PL.3A'!D157-'PL.3A'!G157</f>
        <v>1253</v>
      </c>
      <c r="E149" s="36" t="n">
        <f aca="false">'PL.3A'!H157</f>
        <v>42993</v>
      </c>
      <c r="F149" s="14" t="n">
        <f aca="false">D149*E149</f>
        <v>53870229</v>
      </c>
      <c r="G149" s="27"/>
    </row>
    <row r="150" customFormat="false" ht="15" hidden="false" customHeight="false" outlineLevel="0" collapsed="false">
      <c r="A150" s="12" t="s">
        <v>336</v>
      </c>
      <c r="B150" s="28" t="s">
        <v>337</v>
      </c>
      <c r="C150" s="27"/>
      <c r="D150" s="27"/>
      <c r="E150" s="27"/>
      <c r="F150" s="27"/>
      <c r="G150" s="27"/>
    </row>
    <row r="151" customFormat="false" ht="15" hidden="false" customHeight="false" outlineLevel="0" collapsed="false">
      <c r="A151" s="29" t="s">
        <v>338</v>
      </c>
      <c r="B151" s="27" t="s">
        <v>325</v>
      </c>
      <c r="C151" s="29" t="s">
        <v>106</v>
      </c>
      <c r="D151" s="32" t="n">
        <f aca="false">'PL.3A'!D159-'PL.3A'!G159</f>
        <v>0.4498</v>
      </c>
      <c r="E151" s="36" t="n">
        <f aca="false">'PL.3A'!H159</f>
        <v>6286549.57759004</v>
      </c>
      <c r="F151" s="14" t="n">
        <f aca="false">D151*E151</f>
        <v>2827690</v>
      </c>
      <c r="G151" s="27"/>
    </row>
    <row r="152" customFormat="false" ht="15" hidden="false" customHeight="false" outlineLevel="0" collapsed="false">
      <c r="A152" s="29" t="s">
        <v>339</v>
      </c>
      <c r="B152" s="27" t="s">
        <v>327</v>
      </c>
      <c r="C152" s="29" t="s">
        <v>116</v>
      </c>
      <c r="D152" s="32" t="n">
        <f aca="false">'PL.3A'!D160-'PL.3A'!G160</f>
        <v>5.85</v>
      </c>
      <c r="E152" s="36" t="n">
        <f aca="false">'PL.3A'!H160</f>
        <v>1462108.03418803</v>
      </c>
      <c r="F152" s="14" t="n">
        <f aca="false">D152*E152</f>
        <v>8553331.99999998</v>
      </c>
      <c r="G152" s="27"/>
    </row>
    <row r="153" customFormat="false" ht="15" hidden="false" customHeight="false" outlineLevel="0" collapsed="false">
      <c r="A153" s="29" t="s">
        <v>340</v>
      </c>
      <c r="B153" s="27" t="s">
        <v>329</v>
      </c>
      <c r="C153" s="29" t="s">
        <v>131</v>
      </c>
      <c r="D153" s="32" t="n">
        <f aca="false">'PL.3A'!D161-'PL.3A'!G161</f>
        <v>58.47</v>
      </c>
      <c r="E153" s="36" t="n">
        <f aca="false">'PL.3A'!H161</f>
        <v>44400</v>
      </c>
      <c r="F153" s="14" t="n">
        <f aca="false">D153*E153</f>
        <v>2596068</v>
      </c>
      <c r="G153" s="27"/>
    </row>
    <row r="154" customFormat="false" ht="15" hidden="false" customHeight="false" outlineLevel="0" collapsed="false">
      <c r="A154" s="29" t="s">
        <v>341</v>
      </c>
      <c r="B154" s="27" t="s">
        <v>331</v>
      </c>
      <c r="C154" s="29" t="s">
        <v>106</v>
      </c>
      <c r="D154" s="32" t="n">
        <f aca="false">'PL.3A'!D162-'PL.3A'!G162</f>
        <v>1.4843</v>
      </c>
      <c r="E154" s="36" t="n">
        <f aca="false">'PL.3A'!H162</f>
        <v>11534439.8032743</v>
      </c>
      <c r="F154" s="14" t="n">
        <f aca="false">D154*E154</f>
        <v>17120569</v>
      </c>
      <c r="G154" s="27"/>
    </row>
    <row r="155" customFormat="false" ht="15" hidden="false" customHeight="false" outlineLevel="0" collapsed="false">
      <c r="A155" s="29" t="s">
        <v>342</v>
      </c>
      <c r="B155" s="27" t="s">
        <v>333</v>
      </c>
      <c r="C155" s="29" t="s">
        <v>116</v>
      </c>
      <c r="D155" s="32" t="n">
        <f aca="false">'PL.3A'!D163-'PL.3A'!G163</f>
        <v>10.68</v>
      </c>
      <c r="E155" s="36" t="n">
        <f aca="false">'PL.3A'!H163</f>
        <v>1721704.02621723</v>
      </c>
      <c r="F155" s="14" t="n">
        <f aca="false">D155*E155</f>
        <v>18387799</v>
      </c>
      <c r="G155" s="27"/>
    </row>
    <row r="156" customFormat="false" ht="15" hidden="false" customHeight="false" outlineLevel="0" collapsed="false">
      <c r="A156" s="29" t="s">
        <v>343</v>
      </c>
      <c r="B156" s="27" t="s">
        <v>335</v>
      </c>
      <c r="C156" s="29" t="s">
        <v>160</v>
      </c>
      <c r="D156" s="32" t="n">
        <f aca="false">'PL.3A'!D164-'PL.3A'!G164</f>
        <v>562</v>
      </c>
      <c r="E156" s="36" t="n">
        <f aca="false">'PL.3A'!H164</f>
        <v>42993</v>
      </c>
      <c r="F156" s="14" t="n">
        <f aca="false">D156*E156</f>
        <v>24162066</v>
      </c>
      <c r="G156" s="27"/>
    </row>
    <row r="157" customFormat="false" ht="15" hidden="false" customHeight="false" outlineLevel="0" collapsed="false">
      <c r="A157" s="12" t="s">
        <v>344</v>
      </c>
      <c r="B157" s="28" t="s">
        <v>345</v>
      </c>
      <c r="C157" s="27"/>
      <c r="D157" s="27"/>
      <c r="E157" s="27"/>
      <c r="F157" s="27"/>
      <c r="G157" s="27"/>
    </row>
    <row r="158" customFormat="false" ht="15" hidden="false" customHeight="false" outlineLevel="0" collapsed="false">
      <c r="A158" s="29" t="s">
        <v>346</v>
      </c>
      <c r="B158" s="27" t="s">
        <v>347</v>
      </c>
      <c r="C158" s="29" t="s">
        <v>106</v>
      </c>
      <c r="D158" s="32" t="n">
        <f aca="false">'PL.3A'!D166-'PL.3A'!G166</f>
        <v>2.3692</v>
      </c>
      <c r="E158" s="36" t="n">
        <f aca="false">'PL.3A'!H166</f>
        <v>6286549.89025831</v>
      </c>
      <c r="F158" s="14" t="n">
        <f aca="false">D158*E158</f>
        <v>14894094</v>
      </c>
      <c r="G158" s="27"/>
    </row>
    <row r="159" customFormat="false" ht="15" hidden="false" customHeight="false" outlineLevel="0" collapsed="false">
      <c r="A159" s="29" t="s">
        <v>348</v>
      </c>
      <c r="B159" s="27" t="s">
        <v>349</v>
      </c>
      <c r="C159" s="29" t="s">
        <v>116</v>
      </c>
      <c r="D159" s="32" t="n">
        <f aca="false">'PL.3A'!D167-'PL.3A'!G167</f>
        <v>29.61</v>
      </c>
      <c r="E159" s="36" t="n">
        <f aca="false">'PL.3A'!H167</f>
        <v>1462108.00405268</v>
      </c>
      <c r="F159" s="14" t="n">
        <f aca="false">D159*E159</f>
        <v>43293017.9999999</v>
      </c>
      <c r="G159" s="27"/>
    </row>
    <row r="160" customFormat="false" ht="15" hidden="false" customHeight="false" outlineLevel="0" collapsed="false">
      <c r="A160" s="29" t="s">
        <v>350</v>
      </c>
      <c r="B160" s="27" t="s">
        <v>351</v>
      </c>
      <c r="C160" s="29" t="s">
        <v>116</v>
      </c>
      <c r="D160" s="32" t="n">
        <f aca="false">'PL.3A'!D168-'PL.3A'!G168</f>
        <v>26.06</v>
      </c>
      <c r="E160" s="36" t="n">
        <f aca="false">'PL.3A'!H168</f>
        <v>1568219.9923254</v>
      </c>
      <c r="F160" s="14" t="n">
        <f aca="false">D160*E160</f>
        <v>40867812.9999999</v>
      </c>
      <c r="G160" s="27"/>
    </row>
    <row r="161" customFormat="false" ht="15" hidden="false" customHeight="false" outlineLevel="0" collapsed="false">
      <c r="A161" s="29" t="s">
        <v>352</v>
      </c>
      <c r="B161" s="27" t="s">
        <v>353</v>
      </c>
      <c r="C161" s="29" t="s">
        <v>131</v>
      </c>
      <c r="D161" s="32" t="n">
        <f aca="false">'PL.3A'!D169-'PL.3A'!G169</f>
        <v>355.38</v>
      </c>
      <c r="E161" s="36" t="n">
        <f aca="false">'PL.3A'!H169</f>
        <v>113552.999606056</v>
      </c>
      <c r="F161" s="14" t="n">
        <f aca="false">D161*E161</f>
        <v>40354465.0000002</v>
      </c>
      <c r="G161" s="27"/>
    </row>
    <row r="162" customFormat="false" ht="15" hidden="false" customHeight="false" outlineLevel="0" collapsed="false">
      <c r="A162" s="12" t="s">
        <v>354</v>
      </c>
      <c r="B162" s="28" t="s">
        <v>355</v>
      </c>
      <c r="C162" s="27"/>
      <c r="D162" s="27"/>
      <c r="E162" s="27"/>
      <c r="F162" s="27"/>
      <c r="G162" s="27"/>
    </row>
    <row r="163" customFormat="false" ht="15" hidden="false" customHeight="false" outlineLevel="0" collapsed="false">
      <c r="A163" s="29" t="s">
        <v>356</v>
      </c>
      <c r="B163" s="27" t="s">
        <v>357</v>
      </c>
      <c r="C163" s="29" t="s">
        <v>106</v>
      </c>
      <c r="D163" s="32" t="n">
        <f aca="false">'PL.3A'!D171-'PL.3A'!G171</f>
        <v>0.7008</v>
      </c>
      <c r="E163" s="36" t="n">
        <f aca="false">'PL.3A'!H171</f>
        <v>6286549.65753425</v>
      </c>
      <c r="F163" s="14" t="n">
        <f aca="false">D163*E163</f>
        <v>4405614</v>
      </c>
      <c r="G163" s="27"/>
    </row>
    <row r="164" customFormat="false" ht="15" hidden="false" customHeight="false" outlineLevel="0" collapsed="false">
      <c r="A164" s="29" t="s">
        <v>358</v>
      </c>
      <c r="B164" s="27" t="s">
        <v>275</v>
      </c>
      <c r="C164" s="29" t="s">
        <v>116</v>
      </c>
      <c r="D164" s="32" t="n">
        <f aca="false">'PL.3A'!D172-'PL.3A'!G172</f>
        <v>1.97</v>
      </c>
      <c r="E164" s="36" t="n">
        <f aca="false">'PL.3A'!H172</f>
        <v>1462108.12182741</v>
      </c>
      <c r="F164" s="14" t="n">
        <f aca="false">D164*E164</f>
        <v>2880353</v>
      </c>
      <c r="G164" s="27"/>
    </row>
    <row r="165" customFormat="false" ht="15" hidden="false" customHeight="false" outlineLevel="0" collapsed="false">
      <c r="A165" s="29" t="s">
        <v>359</v>
      </c>
      <c r="B165" s="27" t="s">
        <v>360</v>
      </c>
      <c r="C165" s="29" t="s">
        <v>116</v>
      </c>
      <c r="D165" s="32" t="n">
        <f aca="false">'PL.3A'!D173-'PL.3A'!G173</f>
        <v>6.42</v>
      </c>
      <c r="E165" s="36" t="n">
        <f aca="false">'PL.3A'!H173</f>
        <v>1516740.96573209</v>
      </c>
      <c r="F165" s="14" t="n">
        <f aca="false">D165*E165</f>
        <v>9737477.00000002</v>
      </c>
      <c r="G165" s="27"/>
    </row>
    <row r="166" customFormat="false" ht="15" hidden="false" customHeight="false" outlineLevel="0" collapsed="false">
      <c r="A166" s="29" t="s">
        <v>361</v>
      </c>
      <c r="B166" s="27" t="s">
        <v>362</v>
      </c>
      <c r="C166" s="29" t="s">
        <v>131</v>
      </c>
      <c r="D166" s="32" t="n">
        <f aca="false">'PL.3A'!D174-'PL.3A'!G174</f>
        <v>32.12</v>
      </c>
      <c r="E166" s="36" t="n">
        <f aca="false">'PL.3A'!H174</f>
        <v>44400</v>
      </c>
      <c r="F166" s="14" t="n">
        <f aca="false">D166*E166</f>
        <v>1426128</v>
      </c>
      <c r="G166" s="27"/>
    </row>
    <row r="167" customFormat="false" ht="15" hidden="false" customHeight="false" outlineLevel="0" collapsed="false">
      <c r="A167" s="12" t="s">
        <v>363</v>
      </c>
      <c r="B167" s="28" t="s">
        <v>364</v>
      </c>
      <c r="C167" s="27"/>
      <c r="D167" s="27"/>
      <c r="E167" s="27"/>
      <c r="F167" s="27"/>
      <c r="G167" s="27"/>
    </row>
    <row r="168" customFormat="false" ht="15" hidden="false" customHeight="false" outlineLevel="0" collapsed="false">
      <c r="A168" s="29" t="s">
        <v>365</v>
      </c>
      <c r="B168" s="27" t="s">
        <v>115</v>
      </c>
      <c r="C168" s="29" t="s">
        <v>116</v>
      </c>
      <c r="D168" s="32" t="n">
        <f aca="false">'PL.3A'!D176-'PL.3A'!G176</f>
        <v>149.8904</v>
      </c>
      <c r="E168" s="36" t="n">
        <f aca="false">'PL.3A'!H176</f>
        <v>134384.997304697</v>
      </c>
      <c r="F168" s="14" t="n">
        <f aca="false">D168*E168</f>
        <v>20143021</v>
      </c>
      <c r="G168" s="27"/>
    </row>
    <row r="169" customFormat="false" ht="15" hidden="false" customHeight="false" outlineLevel="0" collapsed="false">
      <c r="A169" s="29" t="s">
        <v>366</v>
      </c>
      <c r="B169" s="27" t="s">
        <v>118</v>
      </c>
      <c r="C169" s="29" t="s">
        <v>111</v>
      </c>
      <c r="D169" s="32" t="n">
        <f aca="false">'PL.3A'!D177-'PL.3A'!G177</f>
        <v>1.0679</v>
      </c>
      <c r="E169" s="36" t="n">
        <f aca="false">'PL.3A'!H177</f>
        <v>2017177.63835565</v>
      </c>
      <c r="F169" s="14" t="n">
        <f aca="false">D169*E169</f>
        <v>2154144</v>
      </c>
      <c r="G169" s="27"/>
    </row>
    <row r="170" customFormat="false" ht="15" hidden="false" customHeight="false" outlineLevel="0" collapsed="false">
      <c r="A170" s="29" t="s">
        <v>367</v>
      </c>
      <c r="B170" s="27" t="s">
        <v>368</v>
      </c>
      <c r="C170" s="29" t="s">
        <v>111</v>
      </c>
      <c r="D170" s="32" t="n">
        <f aca="false">'PL.3A'!D178-'PL.3A'!G178</f>
        <v>0.6407</v>
      </c>
      <c r="E170" s="36" t="n">
        <f aca="false">'PL.3A'!H178</f>
        <v>48487271.7340409</v>
      </c>
      <c r="F170" s="14" t="n">
        <f aca="false">D170*E170</f>
        <v>31065795</v>
      </c>
      <c r="G170" s="27"/>
    </row>
    <row r="171" customFormat="false" ht="15" hidden="false" customHeight="false" outlineLevel="0" collapsed="false">
      <c r="A171" s="29" t="s">
        <v>369</v>
      </c>
      <c r="B171" s="27" t="s">
        <v>370</v>
      </c>
      <c r="C171" s="29" t="s">
        <v>111</v>
      </c>
      <c r="D171" s="32" t="n">
        <f aca="false">'PL.3A'!D179-'PL.3A'!G179</f>
        <v>0.5339</v>
      </c>
      <c r="E171" s="36" t="n">
        <f aca="false">'PL.3A'!H179</f>
        <v>53974809.8894924</v>
      </c>
      <c r="F171" s="14" t="n">
        <f aca="false">D171*E171</f>
        <v>28817151</v>
      </c>
      <c r="G171" s="27"/>
    </row>
    <row r="172" customFormat="false" ht="15" hidden="false" customHeight="false" outlineLevel="0" collapsed="false">
      <c r="A172" s="29" t="s">
        <v>371</v>
      </c>
      <c r="B172" s="27" t="s">
        <v>372</v>
      </c>
      <c r="C172" s="29" t="s">
        <v>116</v>
      </c>
      <c r="D172" s="32" t="n">
        <f aca="false">'PL.3A'!D180-'PL.3A'!G180</f>
        <v>17.8</v>
      </c>
      <c r="E172" s="36" t="n">
        <f aca="false">'PL.3A'!H180</f>
        <v>1558541.01123596</v>
      </c>
      <c r="F172" s="14" t="n">
        <f aca="false">D172*E172</f>
        <v>27742030.0000001</v>
      </c>
      <c r="G172" s="27"/>
    </row>
    <row r="173" customFormat="false" ht="15" hidden="false" customHeight="false" outlineLevel="0" collapsed="false">
      <c r="A173" s="12" t="s">
        <v>373</v>
      </c>
      <c r="B173" s="13" t="s">
        <v>374</v>
      </c>
      <c r="C173" s="27"/>
      <c r="D173" s="27"/>
      <c r="E173" s="27"/>
      <c r="F173" s="27"/>
      <c r="G173" s="27"/>
    </row>
    <row r="174" customFormat="false" ht="15" hidden="false" customHeight="false" outlineLevel="0" collapsed="false">
      <c r="A174" s="12" t="s">
        <v>74</v>
      </c>
      <c r="B174" s="28" t="s">
        <v>375</v>
      </c>
      <c r="C174" s="27"/>
      <c r="D174" s="27"/>
      <c r="E174" s="27"/>
      <c r="F174" s="27"/>
      <c r="G174" s="27"/>
    </row>
    <row r="175" customFormat="false" ht="15" hidden="false" customHeight="false" outlineLevel="0" collapsed="false">
      <c r="A175" s="29" t="s">
        <v>376</v>
      </c>
      <c r="B175" s="27" t="s">
        <v>377</v>
      </c>
      <c r="C175" s="29" t="s">
        <v>116</v>
      </c>
      <c r="D175" s="32" t="n">
        <f aca="false">'PL.3A'!D183-'PL.3A'!G183</f>
        <v>40.16</v>
      </c>
      <c r="E175" s="36" t="n">
        <f aca="false">'PL.3A'!H183</f>
        <v>2223293.00298805</v>
      </c>
      <c r="F175" s="14" t="n">
        <f aca="false">D175*E175</f>
        <v>89287447.0000001</v>
      </c>
      <c r="G175" s="27"/>
    </row>
    <row r="176" customFormat="false" ht="15" hidden="false" customHeight="false" outlineLevel="0" collapsed="false">
      <c r="A176" s="29" t="s">
        <v>378</v>
      </c>
      <c r="B176" s="27" t="s">
        <v>379</v>
      </c>
      <c r="C176" s="29" t="s">
        <v>111</v>
      </c>
      <c r="D176" s="32" t="n">
        <f aca="false">'PL.3A'!D184-'PL.3A'!G184</f>
        <v>0.4076</v>
      </c>
      <c r="E176" s="36" t="n">
        <f aca="false">'PL.3A'!H184</f>
        <v>34573461.7271835</v>
      </c>
      <c r="F176" s="14" t="n">
        <f aca="false">D176*E176</f>
        <v>14092143</v>
      </c>
      <c r="G176" s="27"/>
    </row>
    <row r="177" customFormat="false" ht="15" hidden="false" customHeight="false" outlineLevel="0" collapsed="false">
      <c r="A177" s="29" t="s">
        <v>380</v>
      </c>
      <c r="B177" s="27" t="s">
        <v>381</v>
      </c>
      <c r="C177" s="29" t="s">
        <v>149</v>
      </c>
      <c r="D177" s="32" t="n">
        <f aca="false">'PL.3A'!D185-'PL.3A'!G185</f>
        <v>1.8228</v>
      </c>
      <c r="E177" s="36" t="n">
        <f aca="false">'PL.3A'!H185</f>
        <v>44423755.2117621</v>
      </c>
      <c r="F177" s="14" t="n">
        <f aca="false">D177*E177</f>
        <v>80975621</v>
      </c>
      <c r="G177" s="27"/>
    </row>
    <row r="178" customFormat="false" ht="15" hidden="false" customHeight="false" outlineLevel="0" collapsed="false">
      <c r="A178" s="29" t="s">
        <v>382</v>
      </c>
      <c r="B178" s="27" t="s">
        <v>383</v>
      </c>
      <c r="C178" s="29" t="s">
        <v>245</v>
      </c>
      <c r="D178" s="32" t="n">
        <f aca="false">'PL.3A'!D186-'PL.3A'!G186</f>
        <v>1.792</v>
      </c>
      <c r="E178" s="36" t="n">
        <f aca="false">'PL.3A'!H186</f>
        <v>2377500</v>
      </c>
      <c r="F178" s="14" t="n">
        <f aca="false">D178*E178</f>
        <v>4260480</v>
      </c>
      <c r="G178" s="27"/>
    </row>
    <row r="179" customFormat="false" ht="15" hidden="false" customHeight="false" outlineLevel="0" collapsed="false">
      <c r="A179" s="29" t="s">
        <v>384</v>
      </c>
      <c r="B179" s="27" t="s">
        <v>385</v>
      </c>
      <c r="C179" s="29" t="s">
        <v>149</v>
      </c>
      <c r="D179" s="32" t="n">
        <f aca="false">'PL.3A'!D187-'PL.3A'!G187</f>
        <v>1.751</v>
      </c>
      <c r="E179" s="36" t="n">
        <f aca="false">'PL.3A'!H187</f>
        <v>31129888.0639635</v>
      </c>
      <c r="F179" s="14" t="n">
        <f aca="false">D179*E179</f>
        <v>54508434.0000001</v>
      </c>
      <c r="G179" s="27"/>
    </row>
    <row r="180" customFormat="false" ht="15" hidden="false" customHeight="false" outlineLevel="0" collapsed="false">
      <c r="A180" s="29" t="s">
        <v>386</v>
      </c>
      <c r="B180" s="27" t="s">
        <v>387</v>
      </c>
      <c r="C180" s="29" t="s">
        <v>149</v>
      </c>
      <c r="D180" s="32" t="n">
        <f aca="false">'PL.3A'!D188-'PL.3A'!G188</f>
        <v>1.751</v>
      </c>
      <c r="E180" s="36" t="n">
        <f aca="false">'PL.3A'!H188</f>
        <v>3745533.98058252</v>
      </c>
      <c r="F180" s="14" t="n">
        <f aca="false">D180*E180</f>
        <v>6558429.99999999</v>
      </c>
      <c r="G180" s="27"/>
    </row>
    <row r="181" customFormat="false" ht="15" hidden="false" customHeight="false" outlineLevel="0" collapsed="false">
      <c r="A181" s="29" t="s">
        <v>388</v>
      </c>
      <c r="B181" s="27" t="s">
        <v>389</v>
      </c>
      <c r="C181" s="29" t="s">
        <v>131</v>
      </c>
      <c r="D181" s="32" t="n">
        <f aca="false">'PL.3A'!D189-'PL.3A'!G189</f>
        <v>7.68</v>
      </c>
      <c r="E181" s="36" t="n">
        <f aca="false">'PL.3A'!H189</f>
        <v>596544.010416667</v>
      </c>
      <c r="F181" s="14" t="n">
        <f aca="false">D181*E181</f>
        <v>4581458</v>
      </c>
      <c r="G181" s="27"/>
    </row>
    <row r="182" customFormat="false" ht="15" hidden="false" customHeight="false" outlineLevel="0" collapsed="false">
      <c r="A182" s="29" t="s">
        <v>390</v>
      </c>
      <c r="B182" s="27" t="s">
        <v>391</v>
      </c>
      <c r="C182" s="29" t="s">
        <v>149</v>
      </c>
      <c r="D182" s="32" t="n">
        <f aca="false">'PL.3A'!D190-'PL.3A'!G190</f>
        <v>5.5448</v>
      </c>
      <c r="E182" s="36" t="n">
        <f aca="false">'PL.3A'!H190</f>
        <v>22841108.0652143</v>
      </c>
      <c r="F182" s="14" t="n">
        <f aca="false">D182*E182</f>
        <v>126649376</v>
      </c>
      <c r="G182" s="27"/>
    </row>
    <row r="183" customFormat="false" ht="15" hidden="false" customHeight="false" outlineLevel="0" collapsed="false">
      <c r="A183" s="29" t="s">
        <v>392</v>
      </c>
      <c r="B183" s="27" t="s">
        <v>393</v>
      </c>
      <c r="C183" s="29" t="s">
        <v>149</v>
      </c>
      <c r="D183" s="32" t="n">
        <f aca="false">'PL.3A'!D191-'PL.3A'!G191</f>
        <v>0.1295</v>
      </c>
      <c r="E183" s="36" t="n">
        <f aca="false">'PL.3A'!H191</f>
        <v>21898648.6486487</v>
      </c>
      <c r="F183" s="14" t="n">
        <f aca="false">D183*E183</f>
        <v>2835875.00000001</v>
      </c>
      <c r="G183" s="27"/>
    </row>
    <row r="184" customFormat="false" ht="15" hidden="false" customHeight="false" outlineLevel="0" collapsed="false">
      <c r="A184" s="29" t="s">
        <v>394</v>
      </c>
      <c r="B184" s="27" t="s">
        <v>395</v>
      </c>
      <c r="C184" s="29" t="s">
        <v>240</v>
      </c>
      <c r="D184" s="32" t="n">
        <f aca="false">'PL.3A'!D192-'PL.3A'!G192</f>
        <v>32</v>
      </c>
      <c r="E184" s="36" t="n">
        <f aca="false">'PL.3A'!H192</f>
        <v>1983735</v>
      </c>
      <c r="F184" s="14" t="n">
        <f aca="false">D184*E184</f>
        <v>63479520</v>
      </c>
      <c r="G184" s="27"/>
    </row>
    <row r="185" customFormat="false" ht="15" hidden="false" customHeight="false" outlineLevel="0" collapsed="false">
      <c r="A185" s="29" t="s">
        <v>396</v>
      </c>
      <c r="B185" s="27" t="s">
        <v>397</v>
      </c>
      <c r="C185" s="29" t="s">
        <v>131</v>
      </c>
      <c r="D185" s="32" t="n">
        <f aca="false">'PL.3A'!D193-'PL.3A'!G193</f>
        <v>205.19</v>
      </c>
      <c r="E185" s="36" t="n">
        <f aca="false">'PL.3A'!H193</f>
        <v>189673.999707588</v>
      </c>
      <c r="F185" s="14" t="n">
        <f aca="false">D185*E185</f>
        <v>38919208</v>
      </c>
      <c r="G185" s="27"/>
    </row>
    <row r="186" customFormat="false" ht="15" hidden="false" customHeight="false" outlineLevel="0" collapsed="false">
      <c r="A186" s="29" t="s">
        <v>398</v>
      </c>
      <c r="B186" s="27" t="s">
        <v>399</v>
      </c>
      <c r="C186" s="29" t="s">
        <v>240</v>
      </c>
      <c r="D186" s="32" t="n">
        <f aca="false">'PL.3A'!D194-'PL.3A'!G194</f>
        <v>42</v>
      </c>
      <c r="E186" s="36" t="n">
        <f aca="false">'PL.3A'!H194</f>
        <v>309668</v>
      </c>
      <c r="F186" s="14" t="n">
        <f aca="false">D186*E186</f>
        <v>13006056</v>
      </c>
      <c r="G186" s="27"/>
    </row>
    <row r="187" customFormat="false" ht="15" hidden="false" customHeight="false" outlineLevel="0" collapsed="false">
      <c r="A187" s="29" t="s">
        <v>400</v>
      </c>
      <c r="B187" s="27" t="s">
        <v>401</v>
      </c>
      <c r="C187" s="29" t="s">
        <v>402</v>
      </c>
      <c r="D187" s="32" t="n">
        <f aca="false">'PL.3A'!D195-'PL.3A'!G195</f>
        <v>336</v>
      </c>
      <c r="E187" s="36" t="n">
        <f aca="false">'PL.3A'!H195</f>
        <v>100914</v>
      </c>
      <c r="F187" s="14" t="n">
        <f aca="false">D187*E187</f>
        <v>33907104</v>
      </c>
      <c r="G187" s="27"/>
    </row>
    <row r="188" customFormat="false" ht="15" hidden="false" customHeight="false" outlineLevel="0" collapsed="false">
      <c r="A188" s="12" t="s">
        <v>75</v>
      </c>
      <c r="B188" s="28" t="s">
        <v>403</v>
      </c>
      <c r="C188" s="27"/>
      <c r="D188" s="27"/>
      <c r="E188" s="27"/>
      <c r="F188" s="27"/>
      <c r="G188" s="27"/>
    </row>
    <row r="189" customFormat="false" ht="15" hidden="false" customHeight="false" outlineLevel="0" collapsed="false">
      <c r="A189" s="29" t="s">
        <v>404</v>
      </c>
      <c r="B189" s="27" t="s">
        <v>405</v>
      </c>
      <c r="C189" s="29" t="s">
        <v>116</v>
      </c>
      <c r="D189" s="32" t="n">
        <f aca="false">'PL.3A'!D197-'PL.3A'!G197</f>
        <v>18.65</v>
      </c>
      <c r="E189" s="36" t="n">
        <f aca="false">'PL.3A'!H197</f>
        <v>1649952.97587131</v>
      </c>
      <c r="F189" s="14" t="n">
        <f aca="false">D189*E189</f>
        <v>30771622.9999999</v>
      </c>
      <c r="G189" s="27"/>
    </row>
    <row r="190" customFormat="false" ht="15" hidden="false" customHeight="false" outlineLevel="0" collapsed="false">
      <c r="A190" s="29" t="s">
        <v>406</v>
      </c>
      <c r="B190" s="27" t="s">
        <v>379</v>
      </c>
      <c r="C190" s="29" t="s">
        <v>111</v>
      </c>
      <c r="D190" s="32" t="n">
        <f aca="false">'PL.3A'!D198-'PL.3A'!G198</f>
        <v>0.1893</v>
      </c>
      <c r="E190" s="36" t="n">
        <f aca="false">'PL.3A'!H198</f>
        <v>34573460.1162176</v>
      </c>
      <c r="F190" s="14" t="n">
        <f aca="false">D190*E190</f>
        <v>6544755.99999999</v>
      </c>
      <c r="G190" s="27"/>
    </row>
    <row r="191" customFormat="false" ht="15" hidden="false" customHeight="false" outlineLevel="0" collapsed="false">
      <c r="A191" s="29" t="s">
        <v>407</v>
      </c>
      <c r="B191" s="27" t="s">
        <v>408</v>
      </c>
      <c r="C191" s="29" t="s">
        <v>149</v>
      </c>
      <c r="D191" s="32" t="n">
        <f aca="false">'PL.3A'!D199-'PL.3A'!G199</f>
        <v>0.1073</v>
      </c>
      <c r="E191" s="36" t="n">
        <f aca="false">'PL.3A'!H199</f>
        <v>23266328.0521901</v>
      </c>
      <c r="F191" s="14" t="n">
        <f aca="false">D191*E191</f>
        <v>2496477</v>
      </c>
      <c r="G191" s="27"/>
    </row>
    <row r="192" customFormat="false" ht="15" hidden="false" customHeight="false" outlineLevel="0" collapsed="false">
      <c r="A192" s="29" t="s">
        <v>409</v>
      </c>
      <c r="B192" s="27" t="s">
        <v>410</v>
      </c>
      <c r="C192" s="29" t="s">
        <v>149</v>
      </c>
      <c r="D192" s="32" t="n">
        <f aca="false">'PL.3A'!D200-'PL.3A'!G200</f>
        <v>3.2046</v>
      </c>
      <c r="E192" s="36" t="n">
        <f aca="false">'PL.3A'!H200</f>
        <v>23199002.9956937</v>
      </c>
      <c r="F192" s="14" t="n">
        <f aca="false">D192*E192</f>
        <v>74343525</v>
      </c>
      <c r="G192" s="27"/>
    </row>
    <row r="193" customFormat="false" ht="15" hidden="false" customHeight="false" outlineLevel="0" collapsed="false">
      <c r="A193" s="29" t="s">
        <v>411</v>
      </c>
      <c r="B193" s="27" t="s">
        <v>412</v>
      </c>
      <c r="C193" s="29" t="s">
        <v>106</v>
      </c>
      <c r="D193" s="32" t="n">
        <f aca="false">'PL.3A'!D201-'PL.3A'!G201</f>
        <v>0.0738</v>
      </c>
      <c r="E193" s="36" t="n">
        <f aca="false">'PL.3A'!H201</f>
        <v>4768008.1300813</v>
      </c>
      <c r="F193" s="14" t="n">
        <f aca="false">D193*E193</f>
        <v>351879</v>
      </c>
      <c r="G193" s="27"/>
    </row>
    <row r="194" customFormat="false" ht="15" hidden="false" customHeight="false" outlineLevel="0" collapsed="false">
      <c r="A194" s="12" t="s">
        <v>413</v>
      </c>
      <c r="B194" s="28" t="s">
        <v>414</v>
      </c>
      <c r="C194" s="27"/>
      <c r="D194" s="27"/>
      <c r="E194" s="27"/>
      <c r="F194" s="27"/>
      <c r="G194" s="27"/>
    </row>
    <row r="195" customFormat="false" ht="15" hidden="false" customHeight="false" outlineLevel="0" collapsed="false">
      <c r="A195" s="29" t="s">
        <v>415</v>
      </c>
      <c r="B195" s="27" t="s">
        <v>416</v>
      </c>
      <c r="C195" s="29" t="s">
        <v>149</v>
      </c>
      <c r="D195" s="32" t="n">
        <f aca="false">'PL.3A'!D203-'PL.3A'!G203</f>
        <v>3.5</v>
      </c>
      <c r="E195" s="36" t="n">
        <f aca="false">'PL.3A'!H203</f>
        <v>1598274</v>
      </c>
      <c r="F195" s="14" t="n">
        <f aca="false">D195*E195</f>
        <v>5593959</v>
      </c>
      <c r="G195" s="27"/>
    </row>
    <row r="196" customFormat="false" ht="15" hidden="false" customHeight="false" outlineLevel="0" collapsed="false">
      <c r="A196" s="29" t="s">
        <v>417</v>
      </c>
      <c r="B196" s="27" t="s">
        <v>418</v>
      </c>
      <c r="C196" s="29" t="s">
        <v>149</v>
      </c>
      <c r="D196" s="32" t="n">
        <f aca="false">'PL.3A'!D204-'PL.3A'!G204</f>
        <v>3.5</v>
      </c>
      <c r="E196" s="36" t="n">
        <f aca="false">'PL.3A'!H204</f>
        <v>11308914</v>
      </c>
      <c r="F196" s="14" t="n">
        <f aca="false">D196*E196</f>
        <v>39581199</v>
      </c>
      <c r="G196" s="27"/>
    </row>
    <row r="197" customFormat="false" ht="15" hidden="false" customHeight="false" outlineLevel="0" collapsed="false">
      <c r="A197" s="29" t="s">
        <v>419</v>
      </c>
      <c r="B197" s="27" t="s">
        <v>420</v>
      </c>
      <c r="C197" s="29" t="s">
        <v>149</v>
      </c>
      <c r="D197" s="32" t="n">
        <f aca="false">'PL.3A'!D205-'PL.3A'!G205</f>
        <v>3.5</v>
      </c>
      <c r="E197" s="36" t="n">
        <f aca="false">'PL.3A'!H205</f>
        <v>6138048</v>
      </c>
      <c r="F197" s="14" t="n">
        <f aca="false">D197*E197</f>
        <v>21483168</v>
      </c>
      <c r="G197" s="27"/>
    </row>
    <row r="198" customFormat="false" ht="15" hidden="false" customHeight="false" outlineLevel="0" collapsed="false">
      <c r="A198" s="29" t="s">
        <v>421</v>
      </c>
      <c r="B198" s="27" t="s">
        <v>422</v>
      </c>
      <c r="C198" s="29" t="s">
        <v>149</v>
      </c>
      <c r="D198" s="32" t="n">
        <f aca="false">'PL.3A'!D206-'PL.3A'!G206</f>
        <v>3.5</v>
      </c>
      <c r="E198" s="36" t="n">
        <f aca="false">'PL.3A'!H206</f>
        <v>2639748</v>
      </c>
      <c r="F198" s="14" t="n">
        <f aca="false">D198*E198</f>
        <v>9239118</v>
      </c>
      <c r="G198" s="27"/>
    </row>
    <row r="199" customFormat="false" ht="15" hidden="false" customHeight="false" outlineLevel="0" collapsed="false">
      <c r="A199" s="12" t="s">
        <v>423</v>
      </c>
      <c r="B199" s="28" t="s">
        <v>424</v>
      </c>
      <c r="C199" s="27"/>
      <c r="D199" s="27"/>
      <c r="E199" s="27"/>
      <c r="F199" s="27"/>
      <c r="G199" s="27"/>
    </row>
    <row r="200" customFormat="false" ht="15" hidden="false" customHeight="false" outlineLevel="0" collapsed="false">
      <c r="A200" s="29" t="s">
        <v>425</v>
      </c>
      <c r="B200" s="27" t="s">
        <v>426</v>
      </c>
      <c r="C200" s="29" t="s">
        <v>116</v>
      </c>
      <c r="D200" s="32" t="n">
        <f aca="false">'PL.3A'!D208-'PL.3A'!G208</f>
        <v>4.4</v>
      </c>
      <c r="E200" s="36" t="n">
        <f aca="false">'PL.3A'!H208</f>
        <v>2261360</v>
      </c>
      <c r="F200" s="14" t="n">
        <f aca="false">D200*E200</f>
        <v>9949984</v>
      </c>
      <c r="G200" s="27"/>
    </row>
    <row r="201" customFormat="false" ht="15" hidden="false" customHeight="false" outlineLevel="0" collapsed="false">
      <c r="A201" s="29" t="s">
        <v>427</v>
      </c>
      <c r="B201" s="27" t="s">
        <v>428</v>
      </c>
      <c r="C201" s="29" t="s">
        <v>149</v>
      </c>
      <c r="D201" s="32" t="n">
        <f aca="false">'PL.3A'!D209-'PL.3A'!G209</f>
        <v>0.6649</v>
      </c>
      <c r="E201" s="36" t="n">
        <f aca="false">'PL.3A'!H209</f>
        <v>23816446.0821176</v>
      </c>
      <c r="F201" s="14" t="n">
        <f aca="false">D201*E201</f>
        <v>15835555</v>
      </c>
      <c r="G201" s="27"/>
    </row>
    <row r="202" customFormat="false" ht="15" hidden="false" customHeight="false" outlineLevel="0" collapsed="false">
      <c r="A202" s="29" t="s">
        <v>429</v>
      </c>
      <c r="B202" s="27" t="s">
        <v>430</v>
      </c>
      <c r="C202" s="29" t="s">
        <v>106</v>
      </c>
      <c r="D202" s="32" t="n">
        <f aca="false">'PL.3A'!D210-'PL.3A'!G210</f>
        <v>0.2623</v>
      </c>
      <c r="E202" s="36" t="n">
        <f aca="false">'PL.3A'!H210</f>
        <v>6357148.30346931</v>
      </c>
      <c r="F202" s="14" t="n">
        <f aca="false">D202*E202</f>
        <v>1667480</v>
      </c>
      <c r="G202" s="27"/>
    </row>
    <row r="203" customFormat="false" ht="15" hidden="false" customHeight="false" outlineLevel="0" collapsed="false">
      <c r="A203" s="29" t="s">
        <v>431</v>
      </c>
      <c r="B203" s="27" t="s">
        <v>432</v>
      </c>
      <c r="C203" s="29" t="s">
        <v>149</v>
      </c>
      <c r="D203" s="32" t="n">
        <f aca="false">'PL.3A'!D211-'PL.3A'!G211</f>
        <v>0.6976</v>
      </c>
      <c r="E203" s="36" t="n">
        <f aca="false">'PL.3A'!H211</f>
        <v>28604184.3463303</v>
      </c>
      <c r="F203" s="14" t="n">
        <f aca="false">D203*E203</f>
        <v>19954279</v>
      </c>
      <c r="G203" s="27"/>
    </row>
    <row r="204" customFormat="false" ht="15" hidden="false" customHeight="false" outlineLevel="0" collapsed="false">
      <c r="A204" s="29" t="s">
        <v>433</v>
      </c>
      <c r="B204" s="27" t="s">
        <v>434</v>
      </c>
      <c r="C204" s="29" t="s">
        <v>149</v>
      </c>
      <c r="D204" s="32" t="n">
        <f aca="false">'PL.3A'!D212-'PL.3A'!G212</f>
        <v>0.6976</v>
      </c>
      <c r="E204" s="36" t="n">
        <f aca="false">'PL.3A'!H212</f>
        <v>12087035.5504587</v>
      </c>
      <c r="F204" s="14" t="n">
        <f aca="false">D204*E204</f>
        <v>8431915.99999999</v>
      </c>
      <c r="G204" s="27"/>
    </row>
    <row r="205" customFormat="false" ht="15" hidden="false" customHeight="false" outlineLevel="0" collapsed="false">
      <c r="A205" s="29" t="s">
        <v>435</v>
      </c>
      <c r="B205" s="27" t="s">
        <v>436</v>
      </c>
      <c r="C205" s="29" t="s">
        <v>193</v>
      </c>
      <c r="D205" s="32" t="n">
        <f aca="false">'PL.3A'!D213-'PL.3A'!G213</f>
        <v>28</v>
      </c>
      <c r="E205" s="36" t="n">
        <f aca="false">'PL.3A'!H213</f>
        <v>18880</v>
      </c>
      <c r="F205" s="14" t="n">
        <f aca="false">D205*E205</f>
        <v>528640</v>
      </c>
      <c r="G205" s="27"/>
    </row>
    <row r="206" customFormat="false" ht="15" hidden="false" customHeight="false" outlineLevel="0" collapsed="false">
      <c r="A206" s="29" t="s">
        <v>437</v>
      </c>
      <c r="B206" s="27" t="s">
        <v>438</v>
      </c>
      <c r="C206" s="29" t="s">
        <v>245</v>
      </c>
      <c r="D206" s="32" t="n">
        <f aca="false">'PL.3A'!D214-'PL.3A'!G214</f>
        <v>0.24</v>
      </c>
      <c r="E206" s="36" t="n">
        <f aca="false">'PL.3A'!H214</f>
        <v>22211854.1666667</v>
      </c>
      <c r="F206" s="14" t="n">
        <f aca="false">D206*E206</f>
        <v>5330845.00000001</v>
      </c>
      <c r="G206" s="27"/>
    </row>
    <row r="207" customFormat="false" ht="15" hidden="false" customHeight="false" outlineLevel="0" collapsed="false">
      <c r="A207" s="12" t="s">
        <v>439</v>
      </c>
      <c r="B207" s="28" t="s">
        <v>440</v>
      </c>
      <c r="C207" s="27"/>
      <c r="D207" s="27"/>
      <c r="E207" s="27"/>
      <c r="F207" s="27"/>
      <c r="G207" s="27"/>
    </row>
    <row r="208" customFormat="false" ht="15" hidden="false" customHeight="false" outlineLevel="0" collapsed="false">
      <c r="A208" s="29" t="s">
        <v>441</v>
      </c>
      <c r="B208" s="27" t="s">
        <v>98</v>
      </c>
      <c r="C208" s="29" t="s">
        <v>99</v>
      </c>
      <c r="D208" s="32" t="n">
        <f aca="false">'PL.3A'!D216-'PL.3A'!G216</f>
        <v>0.1553</v>
      </c>
      <c r="E208" s="36" t="n">
        <f aca="false">'PL.3A'!H216</f>
        <v>137463000.643915</v>
      </c>
      <c r="F208" s="14" t="n">
        <f aca="false">D208*E208</f>
        <v>21348004</v>
      </c>
      <c r="G208" s="27"/>
    </row>
    <row r="209" customFormat="false" ht="15" hidden="false" customHeight="false" outlineLevel="0" collapsed="false">
      <c r="A209" s="29" t="s">
        <v>442</v>
      </c>
      <c r="B209" s="27" t="s">
        <v>101</v>
      </c>
      <c r="C209" s="29" t="s">
        <v>99</v>
      </c>
      <c r="D209" s="32" t="n">
        <f aca="false">'PL.3A'!D217-'PL.3A'!G217</f>
        <v>0.1553</v>
      </c>
      <c r="E209" s="36" t="n">
        <f aca="false">'PL.3A'!H217</f>
        <v>32475402.446877</v>
      </c>
      <c r="F209" s="14" t="n">
        <f aca="false">D209*E209</f>
        <v>5043430</v>
      </c>
      <c r="G209" s="27"/>
    </row>
    <row r="210" customFormat="false" ht="26.85" hidden="false" customHeight="false" outlineLevel="0" collapsed="false">
      <c r="A210" s="29" t="s">
        <v>443</v>
      </c>
      <c r="B210" s="27" t="s">
        <v>103</v>
      </c>
      <c r="C210" s="29" t="s">
        <v>99</v>
      </c>
      <c r="D210" s="32" t="n">
        <f aca="false">'PL.3A'!D218-'PL.3A'!G218</f>
        <v>0.1553</v>
      </c>
      <c r="E210" s="36" t="n">
        <f aca="false">'PL.3A'!H218</f>
        <v>9790218.9311011</v>
      </c>
      <c r="F210" s="14" t="n">
        <f aca="false">D210*E210</f>
        <v>1520421</v>
      </c>
      <c r="G210" s="27"/>
    </row>
    <row r="211" customFormat="false" ht="26.85" hidden="false" customHeight="false" outlineLevel="0" collapsed="false">
      <c r="A211" s="29" t="s">
        <v>444</v>
      </c>
      <c r="B211" s="27" t="s">
        <v>105</v>
      </c>
      <c r="C211" s="29" t="s">
        <v>106</v>
      </c>
      <c r="D211" s="32" t="n">
        <f aca="false">'PL.3A'!D219-'PL.3A'!G219</f>
        <v>0.9</v>
      </c>
      <c r="E211" s="36" t="n">
        <f aca="false">'PL.3A'!H219</f>
        <v>1613087.77777778</v>
      </c>
      <c r="F211" s="14" t="n">
        <f aca="false">D211*E211</f>
        <v>1451779</v>
      </c>
      <c r="G211" s="27"/>
    </row>
    <row r="212" customFormat="false" ht="15" hidden="false" customHeight="false" outlineLevel="0" collapsed="false">
      <c r="A212" s="29" t="s">
        <v>445</v>
      </c>
      <c r="B212" s="27" t="s">
        <v>108</v>
      </c>
      <c r="C212" s="29" t="s">
        <v>106</v>
      </c>
      <c r="D212" s="32" t="n">
        <f aca="false">'PL.3A'!D220-'PL.3A'!G220</f>
        <v>0.9</v>
      </c>
      <c r="E212" s="36" t="n">
        <f aca="false">'PL.3A'!H220</f>
        <v>2852495.55555556</v>
      </c>
      <c r="F212" s="14" t="n">
        <f aca="false">D212*E212</f>
        <v>2567246</v>
      </c>
      <c r="G212" s="27"/>
    </row>
    <row r="213" customFormat="false" ht="15" hidden="false" customHeight="false" outlineLevel="0" collapsed="false">
      <c r="A213" s="29" t="s">
        <v>446</v>
      </c>
      <c r="B213" s="27" t="s">
        <v>447</v>
      </c>
      <c r="C213" s="29" t="s">
        <v>448</v>
      </c>
      <c r="D213" s="32" t="n">
        <f aca="false">'PL.3A'!D221-'PL.3A'!G221</f>
        <v>90</v>
      </c>
      <c r="E213" s="36" t="n">
        <f aca="false">'PL.3A'!H221</f>
        <v>39775</v>
      </c>
      <c r="F213" s="14" t="n">
        <f aca="false">D213*E213</f>
        <v>3579750</v>
      </c>
      <c r="G213" s="27"/>
    </row>
    <row r="214" customFormat="false" ht="15" hidden="false" customHeight="false" outlineLevel="0" collapsed="false">
      <c r="A214" s="12" t="s">
        <v>449</v>
      </c>
      <c r="B214" s="28" t="s">
        <v>450</v>
      </c>
      <c r="C214" s="27"/>
      <c r="D214" s="27"/>
      <c r="E214" s="27"/>
      <c r="F214" s="27"/>
      <c r="G214" s="27"/>
    </row>
    <row r="215" customFormat="false" ht="15" hidden="false" customHeight="false" outlineLevel="0" collapsed="false">
      <c r="A215" s="29" t="s">
        <v>451</v>
      </c>
      <c r="B215" s="27" t="s">
        <v>452</v>
      </c>
      <c r="C215" s="29" t="s">
        <v>224</v>
      </c>
      <c r="D215" s="32" t="n">
        <f aca="false">'PL.3A'!D223-'PL.3A'!G223</f>
        <v>15.48</v>
      </c>
      <c r="E215" s="36" t="n">
        <f aca="false">'PL.3A'!H223</f>
        <v>4675374.03100775</v>
      </c>
      <c r="F215" s="14" t="n">
        <f aca="false">D215*E215</f>
        <v>72374790</v>
      </c>
      <c r="G215" s="27"/>
    </row>
    <row r="216" customFormat="false" ht="15" hidden="false" customHeight="false" outlineLevel="0" collapsed="false">
      <c r="A216" s="29" t="s">
        <v>453</v>
      </c>
      <c r="B216" s="27" t="s">
        <v>454</v>
      </c>
      <c r="C216" s="29" t="s">
        <v>149</v>
      </c>
      <c r="D216" s="32" t="n">
        <f aca="false">'PL.3A'!D224-'PL.3A'!G224</f>
        <v>0.3935</v>
      </c>
      <c r="E216" s="36" t="n">
        <f aca="false">'PL.3A'!H224</f>
        <v>23199003.8119441</v>
      </c>
      <c r="F216" s="14" t="n">
        <f aca="false">D216*E216</f>
        <v>9128808</v>
      </c>
      <c r="G216" s="27"/>
    </row>
    <row r="217" customFormat="false" ht="15" hidden="false" customHeight="false" outlineLevel="0" collapsed="false">
      <c r="A217" s="29" t="s">
        <v>455</v>
      </c>
      <c r="B217" s="27" t="s">
        <v>456</v>
      </c>
      <c r="C217" s="29" t="s">
        <v>149</v>
      </c>
      <c r="D217" s="32" t="n">
        <f aca="false">'PL.3A'!D225-'PL.3A'!G225</f>
        <v>0.3126</v>
      </c>
      <c r="E217" s="36" t="n">
        <f aca="false">'PL.3A'!H225</f>
        <v>32518314.1394754</v>
      </c>
      <c r="F217" s="14" t="n">
        <f aca="false">D217*E217</f>
        <v>10165225</v>
      </c>
      <c r="G217" s="27"/>
    </row>
    <row r="218" customFormat="false" ht="15" hidden="false" customHeight="false" outlineLevel="0" collapsed="false">
      <c r="A218" s="29" t="s">
        <v>457</v>
      </c>
      <c r="B218" s="27" t="s">
        <v>458</v>
      </c>
      <c r="C218" s="29" t="s">
        <v>149</v>
      </c>
      <c r="D218" s="32" t="n">
        <f aca="false">'PL.3A'!D226-'PL.3A'!G226</f>
        <v>0.3126</v>
      </c>
      <c r="E218" s="36" t="n">
        <f aca="false">'PL.3A'!H226</f>
        <v>7338989.12348049</v>
      </c>
      <c r="F218" s="14" t="n">
        <f aca="false">D218*E218</f>
        <v>2294168</v>
      </c>
      <c r="G218" s="27"/>
    </row>
    <row r="219" customFormat="false" ht="15" hidden="false" customHeight="false" outlineLevel="0" collapsed="false">
      <c r="A219" s="29" t="s">
        <v>459</v>
      </c>
      <c r="B219" s="27" t="s">
        <v>460</v>
      </c>
      <c r="C219" s="29" t="s">
        <v>193</v>
      </c>
      <c r="D219" s="32" t="n">
        <f aca="false">'PL.3A'!D227-'PL.3A'!G227</f>
        <v>80</v>
      </c>
      <c r="E219" s="36" t="n">
        <f aca="false">'PL.3A'!H227</f>
        <v>18880</v>
      </c>
      <c r="F219" s="14" t="n">
        <f aca="false">D219*E219</f>
        <v>1510400</v>
      </c>
      <c r="G219" s="27"/>
    </row>
    <row r="220" customFormat="false" ht="15" hidden="false" customHeight="false" outlineLevel="0" collapsed="false">
      <c r="A220" s="29" t="s">
        <v>461</v>
      </c>
      <c r="B220" s="27" t="s">
        <v>462</v>
      </c>
      <c r="C220" s="29" t="s">
        <v>116</v>
      </c>
      <c r="D220" s="32" t="n">
        <f aca="false">'PL.3A'!D228-'PL.3A'!G228</f>
        <v>2.22</v>
      </c>
      <c r="E220" s="36" t="n">
        <f aca="false">'PL.3A'!H228</f>
        <v>25648518.9189189</v>
      </c>
      <c r="F220" s="14" t="n">
        <f aca="false">D220*E220</f>
        <v>56939712</v>
      </c>
      <c r="G220" s="27"/>
    </row>
    <row r="221" customFormat="false" ht="15" hidden="false" customHeight="false" outlineLevel="0" collapsed="false">
      <c r="A221" s="12" t="s">
        <v>463</v>
      </c>
      <c r="B221" s="28" t="s">
        <v>464</v>
      </c>
      <c r="C221" s="27"/>
      <c r="D221" s="27"/>
      <c r="E221" s="27"/>
      <c r="F221" s="27"/>
      <c r="G221" s="27"/>
    </row>
    <row r="222" customFormat="false" ht="15" hidden="false" customHeight="false" outlineLevel="0" collapsed="false">
      <c r="A222" s="29" t="s">
        <v>465</v>
      </c>
      <c r="B222" s="27" t="s">
        <v>466</v>
      </c>
      <c r="C222" s="29" t="s">
        <v>193</v>
      </c>
      <c r="D222" s="32" t="n">
        <f aca="false">'PL.3A'!D230-'PL.3A'!G230</f>
        <v>4</v>
      </c>
      <c r="E222" s="36" t="n">
        <f aca="false">'PL.3A'!H230</f>
        <v>818138</v>
      </c>
      <c r="F222" s="14" t="n">
        <f aca="false">D222*E222</f>
        <v>3272552</v>
      </c>
      <c r="G222" s="27"/>
    </row>
    <row r="223" customFormat="false" ht="15" hidden="false" customHeight="false" outlineLevel="0" collapsed="false">
      <c r="A223" s="29" t="s">
        <v>467</v>
      </c>
      <c r="B223" s="27" t="s">
        <v>468</v>
      </c>
      <c r="C223" s="29" t="s">
        <v>160</v>
      </c>
      <c r="D223" s="32" t="n">
        <f aca="false">'PL.3A'!D231-'PL.3A'!G231</f>
        <v>4</v>
      </c>
      <c r="E223" s="36" t="n">
        <f aca="false">'PL.3A'!H231</f>
        <v>43478</v>
      </c>
      <c r="F223" s="14" t="n">
        <f aca="false">D223*E223</f>
        <v>173912</v>
      </c>
      <c r="G223" s="27"/>
    </row>
    <row r="224" customFormat="false" ht="15" hidden="false" customHeight="false" outlineLevel="0" collapsed="false">
      <c r="A224" s="29" t="s">
        <v>469</v>
      </c>
      <c r="B224" s="27" t="s">
        <v>470</v>
      </c>
      <c r="C224" s="29" t="s">
        <v>240</v>
      </c>
      <c r="D224" s="32" t="n">
        <f aca="false">'PL.3A'!D232-'PL.3A'!G232</f>
        <v>4</v>
      </c>
      <c r="E224" s="36" t="n">
        <f aca="false">'PL.3A'!H232</f>
        <v>247735</v>
      </c>
      <c r="F224" s="14" t="n">
        <f aca="false">D224*E224</f>
        <v>990940</v>
      </c>
      <c r="G224" s="27"/>
    </row>
    <row r="225" customFormat="false" ht="15" hidden="false" customHeight="false" outlineLevel="0" collapsed="false">
      <c r="A225" s="29" t="s">
        <v>471</v>
      </c>
      <c r="B225" s="27" t="s">
        <v>472</v>
      </c>
      <c r="C225" s="29" t="s">
        <v>149</v>
      </c>
      <c r="D225" s="32" t="n">
        <f aca="false">'PL.3A'!D233-'PL.3A'!G233</f>
        <v>0.0322</v>
      </c>
      <c r="E225" s="36" t="n">
        <f aca="false">'PL.3A'!H233</f>
        <v>32518322.9813665</v>
      </c>
      <c r="F225" s="14" t="n">
        <f aca="false">D225*E225</f>
        <v>1047090</v>
      </c>
      <c r="G225" s="27"/>
    </row>
    <row r="226" customFormat="false" ht="15" hidden="false" customHeight="false" outlineLevel="0" collapsed="false">
      <c r="A226" s="29" t="s">
        <v>473</v>
      </c>
      <c r="B226" s="27" t="s">
        <v>460</v>
      </c>
      <c r="C226" s="29" t="s">
        <v>193</v>
      </c>
      <c r="D226" s="32" t="n">
        <f aca="false">'PL.3A'!D234-'PL.3A'!G234</f>
        <v>4</v>
      </c>
      <c r="E226" s="36" t="n">
        <f aca="false">'PL.3A'!H234</f>
        <v>18880</v>
      </c>
      <c r="F226" s="14" t="n">
        <f aca="false">D226*E226</f>
        <v>75520</v>
      </c>
      <c r="G226" s="27"/>
    </row>
    <row r="227" customFormat="false" ht="15" hidden="false" customHeight="false" outlineLevel="0" collapsed="false">
      <c r="A227" s="12" t="s">
        <v>474</v>
      </c>
      <c r="B227" s="28" t="s">
        <v>475</v>
      </c>
      <c r="C227" s="27"/>
      <c r="D227" s="27"/>
      <c r="E227" s="27"/>
      <c r="F227" s="27"/>
      <c r="G227" s="27"/>
    </row>
    <row r="228" customFormat="false" ht="15" hidden="false" customHeight="false" outlineLevel="0" collapsed="false">
      <c r="A228" s="29" t="s">
        <v>476</v>
      </c>
      <c r="B228" s="27" t="s">
        <v>477</v>
      </c>
      <c r="C228" s="29" t="s">
        <v>116</v>
      </c>
      <c r="D228" s="32" t="n">
        <f aca="false">'PL.3A'!D236-'PL.3A'!G236</f>
        <v>3.95</v>
      </c>
      <c r="E228" s="36" t="n">
        <f aca="false">'PL.3A'!H236</f>
        <v>1283903.03797468</v>
      </c>
      <c r="F228" s="14" t="n">
        <f aca="false">D228*E228</f>
        <v>5071416.99999999</v>
      </c>
      <c r="G228" s="27"/>
    </row>
    <row r="229" customFormat="false" ht="15" hidden="false" customHeight="false" outlineLevel="0" collapsed="false">
      <c r="A229" s="29" t="s">
        <v>478</v>
      </c>
      <c r="B229" s="27" t="s">
        <v>479</v>
      </c>
      <c r="C229" s="29" t="s">
        <v>116</v>
      </c>
      <c r="D229" s="32" t="n">
        <f aca="false">'PL.3A'!D237-'PL.3A'!G237</f>
        <v>77.53</v>
      </c>
      <c r="E229" s="36" t="n">
        <f aca="false">'PL.3A'!H237</f>
        <v>2015020.00515929</v>
      </c>
      <c r="F229" s="14" t="n">
        <f aca="false">D229*E229</f>
        <v>156224501</v>
      </c>
      <c r="G229" s="27"/>
    </row>
    <row r="230" customFormat="false" ht="15" hidden="false" customHeight="false" outlineLevel="0" collapsed="false">
      <c r="A230" s="29" t="s">
        <v>480</v>
      </c>
      <c r="B230" s="27" t="s">
        <v>379</v>
      </c>
      <c r="C230" s="29" t="s">
        <v>111</v>
      </c>
      <c r="D230" s="32" t="n">
        <f aca="false">'PL.3A'!D238-'PL.3A'!G238</f>
        <v>0.7869</v>
      </c>
      <c r="E230" s="36" t="n">
        <f aca="false">'PL.3A'!H238</f>
        <v>34573460.4142839</v>
      </c>
      <c r="F230" s="14" t="n">
        <f aca="false">D230*E230</f>
        <v>27205856</v>
      </c>
      <c r="G230" s="27"/>
    </row>
    <row r="231" customFormat="false" ht="15" hidden="false" customHeight="false" outlineLevel="0" collapsed="false">
      <c r="A231" s="29" t="s">
        <v>481</v>
      </c>
      <c r="B231" s="27" t="s">
        <v>482</v>
      </c>
      <c r="C231" s="29" t="s">
        <v>149</v>
      </c>
      <c r="D231" s="32" t="n">
        <f aca="false">'PL.3A'!D239-'PL.3A'!G239</f>
        <v>0.0227</v>
      </c>
      <c r="E231" s="36" t="n">
        <f aca="false">'PL.3A'!H239</f>
        <v>25243348.0176211</v>
      </c>
      <c r="F231" s="14" t="n">
        <f aca="false">D231*E231</f>
        <v>573023.999999999</v>
      </c>
      <c r="G231" s="27"/>
    </row>
    <row r="232" customFormat="false" ht="15" hidden="false" customHeight="false" outlineLevel="0" collapsed="false">
      <c r="A232" s="29" t="s">
        <v>483</v>
      </c>
      <c r="B232" s="27" t="s">
        <v>484</v>
      </c>
      <c r="C232" s="29" t="s">
        <v>149</v>
      </c>
      <c r="D232" s="32" t="n">
        <f aca="false">'PL.3A'!D240-'PL.3A'!G240</f>
        <v>2.962</v>
      </c>
      <c r="E232" s="36" t="n">
        <f aca="false">'PL.3A'!H240</f>
        <v>24556998.9871708</v>
      </c>
      <c r="F232" s="14" t="n">
        <f aca="false">D232*E232</f>
        <v>72737830.9999999</v>
      </c>
      <c r="G232" s="27"/>
    </row>
    <row r="233" customFormat="false" ht="15" hidden="false" customHeight="false" outlineLevel="0" collapsed="false">
      <c r="A233" s="29" t="s">
        <v>485</v>
      </c>
      <c r="B233" s="27" t="s">
        <v>486</v>
      </c>
      <c r="C233" s="29" t="s">
        <v>149</v>
      </c>
      <c r="D233" s="32" t="n">
        <f aca="false">'PL.3A'!D241-'PL.3A'!G241</f>
        <v>0.8283</v>
      </c>
      <c r="E233" s="36" t="n">
        <f aca="false">'PL.3A'!H241</f>
        <v>23902088.615236</v>
      </c>
      <c r="F233" s="14" t="n">
        <f aca="false">D233*E233</f>
        <v>19798100</v>
      </c>
      <c r="G233" s="27"/>
    </row>
    <row r="234" customFormat="false" ht="15" hidden="false" customHeight="false" outlineLevel="0" collapsed="false">
      <c r="A234" s="29" t="s">
        <v>487</v>
      </c>
      <c r="B234" s="27" t="s">
        <v>488</v>
      </c>
      <c r="C234" s="29" t="s">
        <v>106</v>
      </c>
      <c r="D234" s="32" t="n">
        <f aca="false">'PL.3A'!D242-'PL.3A'!G242</f>
        <v>1.3969</v>
      </c>
      <c r="E234" s="36" t="n">
        <f aca="false">'PL.3A'!H242</f>
        <v>18714689.6699835</v>
      </c>
      <c r="F234" s="14" t="n">
        <f aca="false">D234*E234</f>
        <v>26142550</v>
      </c>
      <c r="G234" s="27"/>
    </row>
    <row r="235" customFormat="false" ht="15" hidden="false" customHeight="false" outlineLevel="0" collapsed="false">
      <c r="A235" s="29" t="s">
        <v>489</v>
      </c>
      <c r="B235" s="27" t="s">
        <v>490</v>
      </c>
      <c r="C235" s="29" t="s">
        <v>116</v>
      </c>
      <c r="D235" s="32" t="n">
        <f aca="false">'PL.3A'!D243-'PL.3A'!G243</f>
        <v>0.25</v>
      </c>
      <c r="E235" s="36" t="n">
        <f aca="false">'PL.3A'!H243</f>
        <v>25644740</v>
      </c>
      <c r="F235" s="14" t="n">
        <f aca="false">D235*E235</f>
        <v>6411185</v>
      </c>
      <c r="G235" s="27"/>
    </row>
    <row r="236" customFormat="false" ht="15" hidden="false" customHeight="false" outlineLevel="0" collapsed="false">
      <c r="A236" s="29" t="s">
        <v>491</v>
      </c>
      <c r="B236" s="27" t="s">
        <v>492</v>
      </c>
      <c r="C236" s="29" t="s">
        <v>131</v>
      </c>
      <c r="D236" s="32" t="n">
        <f aca="false">'PL.3A'!D244-'PL.3A'!G244</f>
        <v>33.09</v>
      </c>
      <c r="E236" s="36" t="n">
        <f aca="false">'PL.3A'!H244</f>
        <v>80833.9981867634</v>
      </c>
      <c r="F236" s="14" t="n">
        <f aca="false">D236*E236</f>
        <v>2674797</v>
      </c>
      <c r="G236" s="27"/>
    </row>
    <row r="237" customFormat="false" ht="15" hidden="false" customHeight="false" outlineLevel="0" collapsed="false">
      <c r="A237" s="12" t="s">
        <v>493</v>
      </c>
      <c r="B237" s="28" t="s">
        <v>494</v>
      </c>
      <c r="C237" s="27"/>
      <c r="D237" s="27"/>
      <c r="E237" s="27"/>
      <c r="F237" s="27"/>
      <c r="G237" s="27"/>
    </row>
    <row r="238" customFormat="false" ht="15" hidden="false" customHeight="false" outlineLevel="0" collapsed="false">
      <c r="A238" s="29" t="s">
        <v>495</v>
      </c>
      <c r="B238" s="27" t="s">
        <v>98</v>
      </c>
      <c r="C238" s="29" t="s">
        <v>99</v>
      </c>
      <c r="D238" s="32" t="n">
        <f aca="false">'PL.3A'!D246-'PL.3A'!G246</f>
        <v>0.0427</v>
      </c>
      <c r="E238" s="36" t="n">
        <f aca="false">'PL.3A'!H246</f>
        <v>137462997.65808</v>
      </c>
      <c r="F238" s="14" t="n">
        <f aca="false">D238*E238</f>
        <v>5869670.00000002</v>
      </c>
      <c r="G238" s="27"/>
    </row>
    <row r="239" customFormat="false" ht="15" hidden="false" customHeight="false" outlineLevel="0" collapsed="false">
      <c r="A239" s="29" t="s">
        <v>496</v>
      </c>
      <c r="B239" s="27" t="s">
        <v>101</v>
      </c>
      <c r="C239" s="29" t="s">
        <v>99</v>
      </c>
      <c r="D239" s="32" t="n">
        <f aca="false">'PL.3A'!D247-'PL.3A'!G247</f>
        <v>0.0427</v>
      </c>
      <c r="E239" s="36" t="n">
        <f aca="false">'PL.3A'!H247</f>
        <v>32475409.8360656</v>
      </c>
      <c r="F239" s="14" t="n">
        <f aca="false">D239*E239</f>
        <v>1386700</v>
      </c>
      <c r="G239" s="27"/>
    </row>
    <row r="240" customFormat="false" ht="26.85" hidden="false" customHeight="false" outlineLevel="0" collapsed="false">
      <c r="A240" s="29" t="s">
        <v>497</v>
      </c>
      <c r="B240" s="27" t="s">
        <v>103</v>
      </c>
      <c r="C240" s="29" t="s">
        <v>99</v>
      </c>
      <c r="D240" s="32" t="n">
        <f aca="false">'PL.3A'!D248-'PL.3A'!G248</f>
        <v>0.0427</v>
      </c>
      <c r="E240" s="36" t="n">
        <f aca="false">'PL.3A'!H248</f>
        <v>9790210.77283372</v>
      </c>
      <c r="F240" s="14" t="n">
        <f aca="false">D240*E240</f>
        <v>418042</v>
      </c>
      <c r="G240" s="27"/>
    </row>
    <row r="241" customFormat="false" ht="26.85" hidden="false" customHeight="false" outlineLevel="0" collapsed="false">
      <c r="A241" s="29" t="s">
        <v>498</v>
      </c>
      <c r="B241" s="27" t="s">
        <v>105</v>
      </c>
      <c r="C241" s="29" t="s">
        <v>106</v>
      </c>
      <c r="D241" s="32" t="n">
        <f aca="false">'PL.3A'!D249-'PL.3A'!G249</f>
        <v>0.2477</v>
      </c>
      <c r="E241" s="36" t="n">
        <f aca="false">'PL.3A'!H249</f>
        <v>1613088.41340331</v>
      </c>
      <c r="F241" s="14" t="n">
        <f aca="false">D241*E241</f>
        <v>399562</v>
      </c>
      <c r="G241" s="27"/>
    </row>
    <row r="242" customFormat="false" ht="15" hidden="false" customHeight="false" outlineLevel="0" collapsed="false">
      <c r="A242" s="29" t="s">
        <v>499</v>
      </c>
      <c r="B242" s="27" t="s">
        <v>108</v>
      </c>
      <c r="C242" s="29" t="s">
        <v>106</v>
      </c>
      <c r="D242" s="32" t="n">
        <f aca="false">'PL.3A'!D250-'PL.3A'!G250</f>
        <v>0.2477</v>
      </c>
      <c r="E242" s="36" t="n">
        <f aca="false">'PL.3A'!H250</f>
        <v>1669176.42309245</v>
      </c>
      <c r="F242" s="14" t="n">
        <f aca="false">D242*E242</f>
        <v>413455</v>
      </c>
      <c r="G242" s="27"/>
    </row>
    <row r="243" customFormat="false" ht="15" hidden="false" customHeight="false" outlineLevel="0" collapsed="false">
      <c r="A243" s="29" t="s">
        <v>500</v>
      </c>
      <c r="B243" s="27" t="s">
        <v>110</v>
      </c>
      <c r="C243" s="29" t="s">
        <v>111</v>
      </c>
      <c r="D243" s="32" t="n">
        <f aca="false">'PL.3A'!D251-'PL.3A'!G251</f>
        <v>0.2477</v>
      </c>
      <c r="E243" s="36" t="n">
        <f aca="false">'PL.3A'!H251</f>
        <v>54574743.6415018</v>
      </c>
      <c r="F243" s="14" t="n">
        <f aca="false">D243*E243</f>
        <v>13518164</v>
      </c>
      <c r="G243" s="27"/>
    </row>
    <row r="244" customFormat="false" ht="15" hidden="false" customHeight="false" outlineLevel="0" collapsed="false">
      <c r="A244" s="29" t="s">
        <v>501</v>
      </c>
      <c r="B244" s="27" t="s">
        <v>113</v>
      </c>
      <c r="C244" s="29" t="s">
        <v>111</v>
      </c>
      <c r="D244" s="32" t="n">
        <f aca="false">'PL.3A'!D252-'PL.3A'!G252</f>
        <v>0.2477</v>
      </c>
      <c r="E244" s="36" t="n">
        <f aca="false">'PL.3A'!H252</f>
        <v>49026257.5696407</v>
      </c>
      <c r="F244" s="14" t="n">
        <f aca="false">D244*E244</f>
        <v>12143804</v>
      </c>
      <c r="G244" s="27"/>
    </row>
    <row r="245" customFormat="false" ht="15" hidden="false" customHeight="false" outlineLevel="0" collapsed="false">
      <c r="A245" s="29" t="s">
        <v>502</v>
      </c>
      <c r="B245" s="27" t="s">
        <v>503</v>
      </c>
      <c r="C245" s="29" t="s">
        <v>240</v>
      </c>
      <c r="D245" s="32" t="n">
        <f aca="false">'PL.3A'!D253-'PL.3A'!G253</f>
        <v>2</v>
      </c>
      <c r="E245" s="36" t="n">
        <f aca="false">'PL.3A'!H253</f>
        <v>305595</v>
      </c>
      <c r="F245" s="14" t="n">
        <f aca="false">D245*E245</f>
        <v>611190</v>
      </c>
      <c r="G245" s="27"/>
    </row>
    <row r="246" customFormat="false" ht="15" hidden="false" customHeight="false" outlineLevel="0" collapsed="false">
      <c r="A246" s="29" t="s">
        <v>504</v>
      </c>
      <c r="B246" s="27" t="s">
        <v>505</v>
      </c>
      <c r="C246" s="29" t="s">
        <v>111</v>
      </c>
      <c r="D246" s="32" t="n">
        <f aca="false">'PL.3A'!D254-'PL.3A'!G254</f>
        <v>0.3715</v>
      </c>
      <c r="E246" s="36" t="n">
        <f aca="false">'PL.3A'!H254</f>
        <v>4370532.97442799</v>
      </c>
      <c r="F246" s="14" t="n">
        <f aca="false">D246*E246</f>
        <v>1623653</v>
      </c>
      <c r="G246" s="27"/>
    </row>
    <row r="247" customFormat="false" ht="15" hidden="false" customHeight="false" outlineLevel="0" collapsed="false">
      <c r="A247" s="12" t="s">
        <v>506</v>
      </c>
      <c r="B247" s="28" t="s">
        <v>507</v>
      </c>
      <c r="C247" s="27"/>
      <c r="D247" s="27"/>
      <c r="E247" s="27"/>
      <c r="F247" s="27"/>
      <c r="G247" s="27"/>
    </row>
    <row r="248" customFormat="false" ht="15" hidden="false" customHeight="false" outlineLevel="0" collapsed="false">
      <c r="A248" s="29" t="s">
        <v>508</v>
      </c>
      <c r="B248" s="27" t="s">
        <v>509</v>
      </c>
      <c r="C248" s="29" t="s">
        <v>116</v>
      </c>
      <c r="D248" s="32" t="n">
        <f aca="false">'PL.3A'!D256-'PL.3A'!G256</f>
        <v>9.88</v>
      </c>
      <c r="E248" s="36" t="n">
        <f aca="false">'PL.3A'!H256</f>
        <v>1643551.01214575</v>
      </c>
      <c r="F248" s="14" t="n">
        <f aca="false">D248*E248</f>
        <v>16238284</v>
      </c>
      <c r="G248" s="27"/>
    </row>
    <row r="249" customFormat="false" ht="15" hidden="false" customHeight="false" outlineLevel="0" collapsed="false">
      <c r="A249" s="29" t="s">
        <v>510</v>
      </c>
      <c r="B249" s="27" t="s">
        <v>379</v>
      </c>
      <c r="C249" s="29" t="s">
        <v>111</v>
      </c>
      <c r="D249" s="32" t="n">
        <f aca="false">'PL.3A'!D257-'PL.3A'!G257</f>
        <v>0.1003</v>
      </c>
      <c r="E249" s="36" t="n">
        <f aca="false">'PL.3A'!H257</f>
        <v>34573459.6211366</v>
      </c>
      <c r="F249" s="14" t="n">
        <f aca="false">D249*E249</f>
        <v>3467718</v>
      </c>
      <c r="G249" s="27"/>
    </row>
    <row r="250" customFormat="false" ht="15" hidden="false" customHeight="false" outlineLevel="0" collapsed="false">
      <c r="A250" s="29" t="s">
        <v>511</v>
      </c>
      <c r="B250" s="27" t="s">
        <v>512</v>
      </c>
      <c r="C250" s="29" t="s">
        <v>149</v>
      </c>
      <c r="D250" s="32" t="n">
        <f aca="false">'PL.3A'!D258-'PL.3A'!G258</f>
        <v>0.0096</v>
      </c>
      <c r="E250" s="36" t="n">
        <f aca="false">'PL.3A'!H258</f>
        <v>23159270.8333333</v>
      </c>
      <c r="F250" s="14" t="n">
        <f aca="false">D250*E250</f>
        <v>222329</v>
      </c>
      <c r="G250" s="27"/>
    </row>
    <row r="251" customFormat="false" ht="15" hidden="false" customHeight="false" outlineLevel="0" collapsed="false">
      <c r="A251" s="29" t="s">
        <v>513</v>
      </c>
      <c r="B251" s="27" t="s">
        <v>514</v>
      </c>
      <c r="C251" s="29" t="s">
        <v>149</v>
      </c>
      <c r="D251" s="32" t="n">
        <f aca="false">'PL.3A'!D259-'PL.3A'!G259</f>
        <v>1.0783</v>
      </c>
      <c r="E251" s="36" t="n">
        <f aca="false">'PL.3A'!H259</f>
        <v>22943551.8872299</v>
      </c>
      <c r="F251" s="14" t="n">
        <f aca="false">D251*E251</f>
        <v>24740032</v>
      </c>
      <c r="G251" s="27"/>
    </row>
    <row r="252" customFormat="false" ht="15" hidden="false" customHeight="false" outlineLevel="0" collapsed="false">
      <c r="A252" s="29" t="s">
        <v>515</v>
      </c>
      <c r="B252" s="27" t="s">
        <v>516</v>
      </c>
      <c r="C252" s="29" t="s">
        <v>149</v>
      </c>
      <c r="D252" s="32" t="n">
        <f aca="false">'PL.3A'!D260-'PL.3A'!G260</f>
        <v>0.6958</v>
      </c>
      <c r="E252" s="36" t="n">
        <f aca="false">'PL.3A'!H260</f>
        <v>22244998.5628054</v>
      </c>
      <c r="F252" s="14" t="n">
        <f aca="false">D252*E252</f>
        <v>15478070</v>
      </c>
      <c r="G252" s="27"/>
    </row>
    <row r="253" customFormat="false" ht="15" hidden="false" customHeight="false" outlineLevel="0" collapsed="false">
      <c r="A253" s="29" t="s">
        <v>517</v>
      </c>
      <c r="B253" s="27" t="s">
        <v>518</v>
      </c>
      <c r="C253" s="29" t="s">
        <v>106</v>
      </c>
      <c r="D253" s="32" t="n">
        <f aca="false">'PL.3A'!D261-'PL.3A'!G261</f>
        <v>0.0642</v>
      </c>
      <c r="E253" s="36" t="n">
        <f aca="false">'PL.3A'!H261</f>
        <v>4768006.2305296</v>
      </c>
      <c r="F253" s="14" t="n">
        <f aca="false">D253*E253</f>
        <v>306106</v>
      </c>
      <c r="G253" s="27"/>
    </row>
    <row r="254" customFormat="false" ht="15" hidden="false" customHeight="false" outlineLevel="0" collapsed="false">
      <c r="A254" s="29" t="s">
        <v>519</v>
      </c>
      <c r="B254" s="27" t="s">
        <v>136</v>
      </c>
      <c r="C254" s="29" t="s">
        <v>116</v>
      </c>
      <c r="D254" s="32" t="n">
        <f aca="false">'PL.3A'!D262-'PL.3A'!G262</f>
        <v>3.09</v>
      </c>
      <c r="E254" s="36" t="n">
        <f aca="false">'PL.3A'!H262</f>
        <v>1010702.91262136</v>
      </c>
      <c r="F254" s="14" t="n">
        <f aca="false">D254*E254</f>
        <v>3123072</v>
      </c>
      <c r="G254" s="27"/>
    </row>
    <row r="255" customFormat="false" ht="15" hidden="false" customHeight="false" outlineLevel="0" collapsed="false">
      <c r="A255" s="29" t="s">
        <v>520</v>
      </c>
      <c r="B255" s="27" t="s">
        <v>521</v>
      </c>
      <c r="C255" s="29" t="s">
        <v>522</v>
      </c>
      <c r="D255" s="32" t="n">
        <f aca="false">'PL.3A'!D263-'PL.3A'!G263</f>
        <v>47.5</v>
      </c>
      <c r="E255" s="36" t="n">
        <f aca="false">'PL.3A'!H263</f>
        <v>25355.0105263158</v>
      </c>
      <c r="F255" s="14" t="n">
        <f aca="false">D255*E255</f>
        <v>1204363</v>
      </c>
      <c r="G255" s="27"/>
    </row>
    <row r="256" customFormat="false" ht="15" hidden="false" customHeight="false" outlineLevel="0" collapsed="false">
      <c r="A256" s="29" t="s">
        <v>523</v>
      </c>
      <c r="B256" s="27" t="s">
        <v>524</v>
      </c>
      <c r="C256" s="29" t="s">
        <v>245</v>
      </c>
      <c r="D256" s="32" t="n">
        <f aca="false">'PL.3A'!D264-'PL.3A'!G264</f>
        <v>0.03</v>
      </c>
      <c r="E256" s="36" t="n">
        <f aca="false">'PL.3A'!H264</f>
        <v>3077166.66666667</v>
      </c>
      <c r="F256" s="14" t="n">
        <f aca="false">D256*E256</f>
        <v>92315.0000000001</v>
      </c>
      <c r="G256" s="27"/>
    </row>
    <row r="257" customFormat="false" ht="15" hidden="false" customHeight="false" outlineLevel="0" collapsed="false">
      <c r="A257" s="12" t="s">
        <v>525</v>
      </c>
      <c r="B257" s="28" t="s">
        <v>526</v>
      </c>
      <c r="C257" s="27"/>
      <c r="D257" s="27"/>
      <c r="E257" s="27"/>
      <c r="F257" s="27"/>
      <c r="G257" s="27"/>
    </row>
    <row r="258" customFormat="false" ht="15" hidden="false" customHeight="false" outlineLevel="0" collapsed="false">
      <c r="A258" s="29" t="s">
        <v>527</v>
      </c>
      <c r="B258" s="27" t="s">
        <v>528</v>
      </c>
      <c r="C258" s="29" t="s">
        <v>116</v>
      </c>
      <c r="D258" s="32" t="n">
        <f aca="false">'PL.3A'!D266-'PL.3A'!G266</f>
        <v>101.52</v>
      </c>
      <c r="E258" s="36" t="n">
        <f aca="false">'PL.3A'!H266</f>
        <v>1483163.99724192</v>
      </c>
      <c r="F258" s="14" t="n">
        <f aca="false">D258*E258</f>
        <v>150570809</v>
      </c>
      <c r="G258" s="27"/>
    </row>
    <row r="259" customFormat="false" ht="15" hidden="false" customHeight="false" outlineLevel="0" collapsed="false">
      <c r="A259" s="29" t="s">
        <v>529</v>
      </c>
      <c r="B259" s="27" t="s">
        <v>379</v>
      </c>
      <c r="C259" s="29" t="s">
        <v>111</v>
      </c>
      <c r="D259" s="32" t="n">
        <f aca="false">'PL.3A'!D267-'PL.3A'!G267</f>
        <v>1.0304</v>
      </c>
      <c r="E259" s="36" t="n">
        <f aca="false">'PL.3A'!H267</f>
        <v>34573460.7919255</v>
      </c>
      <c r="F259" s="14" t="n">
        <f aca="false">D259*E259</f>
        <v>35624494</v>
      </c>
      <c r="G259" s="27"/>
    </row>
    <row r="260" customFormat="false" ht="15" hidden="false" customHeight="false" outlineLevel="0" collapsed="false">
      <c r="A260" s="29" t="s">
        <v>530</v>
      </c>
      <c r="B260" s="27" t="s">
        <v>531</v>
      </c>
      <c r="C260" s="29" t="s">
        <v>149</v>
      </c>
      <c r="D260" s="32" t="n">
        <f aca="false">'PL.3A'!D268-'PL.3A'!G268</f>
        <v>3.5325</v>
      </c>
      <c r="E260" s="36" t="n">
        <f aca="false">'PL.3A'!H268</f>
        <v>32518315.07431</v>
      </c>
      <c r="F260" s="14" t="n">
        <f aca="false">D260*E260</f>
        <v>114870948</v>
      </c>
      <c r="G260" s="27"/>
    </row>
    <row r="261" customFormat="false" ht="15" hidden="false" customHeight="false" outlineLevel="0" collapsed="false">
      <c r="A261" s="29" t="s">
        <v>532</v>
      </c>
      <c r="B261" s="27" t="s">
        <v>533</v>
      </c>
      <c r="C261" s="29" t="s">
        <v>149</v>
      </c>
      <c r="D261" s="32" t="n">
        <f aca="false">'PL.3A'!D269-'PL.3A'!G269</f>
        <v>3.5325</v>
      </c>
      <c r="E261" s="36" t="n">
        <f aca="false">'PL.3A'!H269</f>
        <v>7338987.96886058</v>
      </c>
      <c r="F261" s="14" t="n">
        <f aca="false">D261*E261</f>
        <v>25924975</v>
      </c>
      <c r="G261" s="27"/>
    </row>
    <row r="262" customFormat="false" ht="15" hidden="false" customHeight="false" outlineLevel="0" collapsed="false">
      <c r="A262" s="29" t="s">
        <v>534</v>
      </c>
      <c r="B262" s="27" t="s">
        <v>535</v>
      </c>
      <c r="C262" s="29" t="s">
        <v>149</v>
      </c>
      <c r="D262" s="32" t="n">
        <f aca="false">'PL.3A'!D270-'PL.3A'!G270</f>
        <v>4.6256</v>
      </c>
      <c r="E262" s="36" t="n">
        <f aca="false">'PL.3A'!H270</f>
        <v>24092399.0401245</v>
      </c>
      <c r="F262" s="14" t="n">
        <f aca="false">D262*E262</f>
        <v>111441801</v>
      </c>
      <c r="G262" s="27"/>
    </row>
    <row r="263" customFormat="false" ht="15" hidden="false" customHeight="false" outlineLevel="0" collapsed="false">
      <c r="A263" s="29" t="s">
        <v>536</v>
      </c>
      <c r="B263" s="27" t="s">
        <v>537</v>
      </c>
      <c r="C263" s="29" t="s">
        <v>149</v>
      </c>
      <c r="D263" s="32" t="n">
        <f aca="false">'PL.3A'!D271-'PL.3A'!G271</f>
        <v>18.6851</v>
      </c>
      <c r="E263" s="36" t="n">
        <f aca="false">'PL.3A'!H271</f>
        <v>22791843.0193042</v>
      </c>
      <c r="F263" s="14" t="n">
        <f aca="false">D263*E263</f>
        <v>425867866.000001</v>
      </c>
      <c r="G263" s="27"/>
    </row>
    <row r="264" customFormat="false" ht="15" hidden="false" customHeight="false" outlineLevel="0" collapsed="false">
      <c r="A264" s="29" t="s">
        <v>538</v>
      </c>
      <c r="B264" s="27" t="s">
        <v>539</v>
      </c>
      <c r="C264" s="29" t="s">
        <v>149</v>
      </c>
      <c r="D264" s="32" t="n">
        <f aca="false">'PL.3A'!D272-'PL.3A'!G272</f>
        <v>1.7208</v>
      </c>
      <c r="E264" s="36" t="n">
        <f aca="false">'PL.3A'!H272</f>
        <v>22466123.8958624</v>
      </c>
      <c r="F264" s="14" t="n">
        <f aca="false">D264*E264</f>
        <v>38659706</v>
      </c>
      <c r="G264" s="27"/>
    </row>
    <row r="265" customFormat="false" ht="26.85" hidden="false" customHeight="false" outlineLevel="0" collapsed="false">
      <c r="A265" s="29" t="s">
        <v>540</v>
      </c>
      <c r="B265" s="27" t="s">
        <v>541</v>
      </c>
      <c r="C265" s="29" t="s">
        <v>106</v>
      </c>
      <c r="D265" s="32" t="n">
        <f aca="false">'PL.3A'!D273-'PL.3A'!G273</f>
        <v>10.2492</v>
      </c>
      <c r="E265" s="36" t="n">
        <f aca="false">'PL.3A'!H273</f>
        <v>9859727.00308317</v>
      </c>
      <c r="F265" s="14" t="n">
        <f aca="false">D265*E265</f>
        <v>101054314</v>
      </c>
      <c r="G265" s="27"/>
    </row>
    <row r="266" customFormat="false" ht="15" hidden="false" customHeight="false" outlineLevel="0" collapsed="false">
      <c r="A266" s="29" t="s">
        <v>542</v>
      </c>
      <c r="B266" s="27" t="s">
        <v>543</v>
      </c>
      <c r="C266" s="29" t="s">
        <v>245</v>
      </c>
      <c r="D266" s="32" t="n">
        <f aca="false">'PL.3A'!D274-'PL.3A'!G274</f>
        <v>10.8208</v>
      </c>
      <c r="E266" s="36" t="n">
        <f aca="false">'PL.3A'!H274</f>
        <v>13408620.989206</v>
      </c>
      <c r="F266" s="14" t="n">
        <f aca="false">D266*E266</f>
        <v>145092006</v>
      </c>
      <c r="G266" s="27"/>
    </row>
    <row r="267" customFormat="false" ht="15" hidden="false" customHeight="false" outlineLevel="0" collapsed="false">
      <c r="A267" s="29" t="s">
        <v>544</v>
      </c>
      <c r="B267" s="27" t="s">
        <v>545</v>
      </c>
      <c r="C267" s="29" t="s">
        <v>546</v>
      </c>
      <c r="D267" s="32" t="n">
        <f aca="false">'PL.3A'!D275-'PL.3A'!G275</f>
        <v>72</v>
      </c>
      <c r="E267" s="36" t="n">
        <f aca="false">'PL.3A'!H275</f>
        <v>805645</v>
      </c>
      <c r="F267" s="14" t="n">
        <f aca="false">D267*E267</f>
        <v>58006440</v>
      </c>
      <c r="G267" s="27"/>
    </row>
    <row r="268" customFormat="false" ht="15" hidden="false" customHeight="false" outlineLevel="0" collapsed="false">
      <c r="A268" s="12" t="s">
        <v>547</v>
      </c>
      <c r="B268" s="28" t="s">
        <v>548</v>
      </c>
      <c r="C268" s="27"/>
      <c r="D268" s="27"/>
      <c r="E268" s="27"/>
      <c r="F268" s="27"/>
      <c r="G268" s="27"/>
    </row>
    <row r="269" customFormat="false" ht="15" hidden="false" customHeight="false" outlineLevel="0" collapsed="false">
      <c r="A269" s="29" t="s">
        <v>549</v>
      </c>
      <c r="B269" s="27" t="s">
        <v>550</v>
      </c>
      <c r="C269" s="29" t="s">
        <v>551</v>
      </c>
      <c r="D269" s="32" t="n">
        <f aca="false">'PL.3A'!D277-'PL.3A'!G277</f>
        <v>2</v>
      </c>
      <c r="E269" s="36" t="n">
        <f aca="false">'PL.3A'!H277</f>
        <v>26666706</v>
      </c>
      <c r="F269" s="14" t="n">
        <f aca="false">D269*E269</f>
        <v>53333412</v>
      </c>
      <c r="G269" s="27"/>
    </row>
    <row r="270" customFormat="false" ht="15" hidden="false" customHeight="false" outlineLevel="0" collapsed="false">
      <c r="A270" s="12" t="s">
        <v>552</v>
      </c>
      <c r="B270" s="28" t="s">
        <v>553</v>
      </c>
      <c r="C270" s="27"/>
      <c r="D270" s="27"/>
      <c r="E270" s="27"/>
      <c r="F270" s="27"/>
      <c r="G270" s="27"/>
    </row>
    <row r="271" customFormat="false" ht="15" hidden="false" customHeight="false" outlineLevel="0" collapsed="false">
      <c r="A271" s="29" t="s">
        <v>554</v>
      </c>
      <c r="B271" s="27" t="s">
        <v>555</v>
      </c>
      <c r="C271" s="29" t="s">
        <v>149</v>
      </c>
      <c r="D271" s="32" t="n">
        <f aca="false">'PL.3A'!D279-'PL.3A'!G279</f>
        <v>0.0148</v>
      </c>
      <c r="E271" s="36" t="n">
        <f aca="false">'PL.3A'!H279</f>
        <v>24711148.6486486</v>
      </c>
      <c r="F271" s="14" t="n">
        <f aca="false">D271*E271</f>
        <v>365724.999999999</v>
      </c>
      <c r="G271" s="27"/>
    </row>
    <row r="272" customFormat="false" ht="15" hidden="false" customHeight="false" outlineLevel="0" collapsed="false">
      <c r="A272" s="29" t="s">
        <v>556</v>
      </c>
      <c r="B272" s="27" t="s">
        <v>557</v>
      </c>
      <c r="C272" s="29" t="s">
        <v>149</v>
      </c>
      <c r="D272" s="32" t="n">
        <f aca="false">'PL.3A'!D280-'PL.3A'!G280</f>
        <v>0.0354</v>
      </c>
      <c r="E272" s="36" t="n">
        <f aca="false">'PL.3A'!H280</f>
        <v>23176864.4067797</v>
      </c>
      <c r="F272" s="14" t="n">
        <f aca="false">D272*E272</f>
        <v>820461.000000001</v>
      </c>
      <c r="G272" s="27"/>
    </row>
    <row r="273" customFormat="false" ht="15" hidden="false" customHeight="false" outlineLevel="0" collapsed="false">
      <c r="A273" s="29" t="s">
        <v>558</v>
      </c>
      <c r="B273" s="27" t="s">
        <v>559</v>
      </c>
      <c r="C273" s="29" t="s">
        <v>149</v>
      </c>
      <c r="D273" s="32" t="n">
        <f aca="false">'PL.3A'!D281-'PL.3A'!G281</f>
        <v>0.0966</v>
      </c>
      <c r="E273" s="36" t="n">
        <f aca="false">'PL.3A'!H281</f>
        <v>30778229.8136646</v>
      </c>
      <c r="F273" s="14" t="n">
        <f aca="false">D273*E273</f>
        <v>2973177</v>
      </c>
      <c r="G273" s="27"/>
    </row>
    <row r="274" customFormat="false" ht="15" hidden="false" customHeight="false" outlineLevel="0" collapsed="false">
      <c r="A274" s="29" t="s">
        <v>560</v>
      </c>
      <c r="B274" s="27" t="s">
        <v>561</v>
      </c>
      <c r="C274" s="29" t="s">
        <v>149</v>
      </c>
      <c r="D274" s="32" t="n">
        <f aca="false">'PL.3A'!D282-'PL.3A'!G282</f>
        <v>0.0966</v>
      </c>
      <c r="E274" s="36" t="n">
        <f aca="false">'PL.3A'!H282</f>
        <v>6280548.65424431</v>
      </c>
      <c r="F274" s="14" t="n">
        <f aca="false">D274*E274</f>
        <v>606701</v>
      </c>
      <c r="G274" s="27"/>
    </row>
    <row r="275" customFormat="false" ht="15" hidden="false" customHeight="false" outlineLevel="0" collapsed="false">
      <c r="A275" s="29" t="s">
        <v>562</v>
      </c>
      <c r="B275" s="27" t="s">
        <v>490</v>
      </c>
      <c r="C275" s="29" t="s">
        <v>116</v>
      </c>
      <c r="D275" s="32" t="n">
        <f aca="false">'PL.3A'!D283-'PL.3A'!G283</f>
        <v>0.02</v>
      </c>
      <c r="E275" s="36" t="n">
        <f aca="false">'PL.3A'!H283</f>
        <v>25644750</v>
      </c>
      <c r="F275" s="14" t="n">
        <f aca="false">D275*E275</f>
        <v>512895</v>
      </c>
      <c r="G275" s="27"/>
    </row>
    <row r="276" customFormat="false" ht="15" hidden="false" customHeight="false" outlineLevel="0" collapsed="false">
      <c r="A276" s="29" t="s">
        <v>563</v>
      </c>
      <c r="B276" s="27" t="s">
        <v>521</v>
      </c>
      <c r="C276" s="29" t="s">
        <v>522</v>
      </c>
      <c r="D276" s="32" t="n">
        <f aca="false">'PL.3A'!D284-'PL.3A'!G284</f>
        <v>0.1</v>
      </c>
      <c r="E276" s="36" t="n">
        <f aca="false">'PL.3A'!H284</f>
        <v>25360</v>
      </c>
      <c r="F276" s="14" t="n">
        <f aca="false">D276*E276</f>
        <v>2536</v>
      </c>
      <c r="G276" s="27"/>
    </row>
    <row r="277" customFormat="false" ht="15" hidden="false" customHeight="false" outlineLevel="0" collapsed="false">
      <c r="A277" s="12" t="s">
        <v>564</v>
      </c>
      <c r="B277" s="28" t="s">
        <v>565</v>
      </c>
      <c r="C277" s="27"/>
      <c r="D277" s="27"/>
      <c r="E277" s="27"/>
      <c r="F277" s="27"/>
      <c r="G277" s="27"/>
    </row>
    <row r="278" customFormat="false" ht="15" hidden="false" customHeight="false" outlineLevel="0" collapsed="false">
      <c r="A278" s="29" t="s">
        <v>566</v>
      </c>
      <c r="B278" s="27" t="s">
        <v>567</v>
      </c>
      <c r="C278" s="29" t="s">
        <v>111</v>
      </c>
      <c r="D278" s="32" t="n">
        <f aca="false">'PL.3A'!D286-'PL.3A'!G286</f>
        <v>4.078</v>
      </c>
      <c r="E278" s="36" t="n">
        <f aca="false">'PL.3A'!H286</f>
        <v>1662931.09367337</v>
      </c>
      <c r="F278" s="14" t="n">
        <f aca="false">D278*E278</f>
        <v>6781433</v>
      </c>
      <c r="G278" s="27"/>
    </row>
    <row r="279" customFormat="false" ht="15" hidden="false" customHeight="false" outlineLevel="0" collapsed="false">
      <c r="A279" s="29" t="s">
        <v>568</v>
      </c>
      <c r="B279" s="27" t="s">
        <v>569</v>
      </c>
      <c r="C279" s="29" t="s">
        <v>111</v>
      </c>
      <c r="D279" s="32" t="n">
        <f aca="false">'PL.3A'!D287-'PL.3A'!G287</f>
        <v>2.376</v>
      </c>
      <c r="E279" s="36" t="n">
        <f aca="false">'PL.3A'!H287</f>
        <v>3010629.20875421</v>
      </c>
      <c r="F279" s="14" t="n">
        <f aca="false">D279*E279</f>
        <v>7153255</v>
      </c>
      <c r="G279" s="27"/>
    </row>
    <row r="280" customFormat="false" ht="15" hidden="false" customHeight="false" outlineLevel="0" collapsed="false">
      <c r="A280" s="29" t="s">
        <v>570</v>
      </c>
      <c r="B280" s="27" t="s">
        <v>571</v>
      </c>
      <c r="C280" s="29" t="s">
        <v>111</v>
      </c>
      <c r="D280" s="32" t="n">
        <f aca="false">'PL.3A'!D288-'PL.3A'!G288</f>
        <v>1.814</v>
      </c>
      <c r="E280" s="36" t="n">
        <f aca="false">'PL.3A'!H288</f>
        <v>4370534.1786108</v>
      </c>
      <c r="F280" s="14" t="n">
        <f aca="false">D280*E280</f>
        <v>7928148.99999999</v>
      </c>
      <c r="G280" s="27"/>
    </row>
    <row r="281" customFormat="false" ht="15" hidden="false" customHeight="false" outlineLevel="0" collapsed="false">
      <c r="A281" s="29" t="s">
        <v>572</v>
      </c>
      <c r="B281" s="27" t="s">
        <v>573</v>
      </c>
      <c r="C281" s="29" t="s">
        <v>574</v>
      </c>
      <c r="D281" s="32" t="n">
        <f aca="false">'PL.3A'!D289-'PL.3A'!G289</f>
        <v>10</v>
      </c>
      <c r="E281" s="36" t="n">
        <f aca="false">'PL.3A'!H289</f>
        <v>1770331</v>
      </c>
      <c r="F281" s="14" t="n">
        <f aca="false">D281*E281</f>
        <v>17703310</v>
      </c>
      <c r="G281" s="27"/>
    </row>
    <row r="282" customFormat="false" ht="15" hidden="false" customHeight="false" outlineLevel="0" collapsed="false">
      <c r="A282" s="29" t="s">
        <v>575</v>
      </c>
      <c r="B282" s="27" t="s">
        <v>576</v>
      </c>
      <c r="C282" s="29" t="s">
        <v>245</v>
      </c>
      <c r="D282" s="32" t="n">
        <f aca="false">'PL.3A'!D290-'PL.3A'!G290</f>
        <v>1.4</v>
      </c>
      <c r="E282" s="36" t="n">
        <f aca="false">'PL.3A'!H290</f>
        <v>8549567.85714286</v>
      </c>
      <c r="F282" s="14" t="n">
        <f aca="false">D282*E282</f>
        <v>11969395</v>
      </c>
      <c r="G282" s="27"/>
    </row>
    <row r="283" customFormat="false" ht="15" hidden="false" customHeight="false" outlineLevel="0" collapsed="false">
      <c r="A283" s="29" t="s">
        <v>577</v>
      </c>
      <c r="B283" s="27" t="s">
        <v>578</v>
      </c>
      <c r="C283" s="29" t="s">
        <v>245</v>
      </c>
      <c r="D283" s="32" t="n">
        <f aca="false">'PL.3A'!D291-'PL.3A'!G291</f>
        <v>1.4</v>
      </c>
      <c r="E283" s="36" t="n">
        <f aca="false">'PL.3A'!H291</f>
        <v>6420455.71428572</v>
      </c>
      <c r="F283" s="14" t="n">
        <f aca="false">D283*E283</f>
        <v>8988638.00000001</v>
      </c>
      <c r="G283" s="27"/>
    </row>
    <row r="284" customFormat="false" ht="15" hidden="false" customHeight="false" outlineLevel="0" collapsed="false">
      <c r="A284" s="29" t="s">
        <v>579</v>
      </c>
      <c r="B284" s="27" t="s">
        <v>580</v>
      </c>
      <c r="C284" s="29" t="s">
        <v>149</v>
      </c>
      <c r="D284" s="32" t="n">
        <f aca="false">'PL.3A'!D292-'PL.3A'!G292</f>
        <v>10.654</v>
      </c>
      <c r="E284" s="36" t="n">
        <f aca="false">'PL.3A'!H292</f>
        <v>1132073.02421626</v>
      </c>
      <c r="F284" s="14" t="n">
        <f aca="false">D284*E284</f>
        <v>12061106</v>
      </c>
      <c r="G284" s="27"/>
    </row>
    <row r="285" customFormat="false" ht="15" hidden="false" customHeight="false" outlineLevel="0" collapsed="false">
      <c r="A285" s="29" t="s">
        <v>581</v>
      </c>
      <c r="B285" s="27" t="s">
        <v>416</v>
      </c>
      <c r="C285" s="29" t="s">
        <v>149</v>
      </c>
      <c r="D285" s="32" t="n">
        <f aca="false">'PL.3A'!D293-'PL.3A'!G293</f>
        <v>9.82</v>
      </c>
      <c r="E285" s="36" t="n">
        <f aca="false">'PL.3A'!H293</f>
        <v>1598274.03258656</v>
      </c>
      <c r="F285" s="14" t="n">
        <f aca="false">D285*E285</f>
        <v>15695051</v>
      </c>
      <c r="G285" s="27"/>
    </row>
    <row r="286" customFormat="false" ht="15" hidden="false" customHeight="false" outlineLevel="0" collapsed="false">
      <c r="A286" s="29" t="s">
        <v>582</v>
      </c>
      <c r="B286" s="27" t="s">
        <v>418</v>
      </c>
      <c r="C286" s="29" t="s">
        <v>149</v>
      </c>
      <c r="D286" s="32" t="n">
        <f aca="false">'PL.3A'!D294-'PL.3A'!G294</f>
        <v>9.82</v>
      </c>
      <c r="E286" s="36" t="n">
        <f aca="false">'PL.3A'!H294</f>
        <v>11308913.9511202</v>
      </c>
      <c r="F286" s="14" t="n">
        <f aca="false">D286*E286</f>
        <v>111053535</v>
      </c>
      <c r="G286" s="27"/>
    </row>
    <row r="287" customFormat="false" ht="15" hidden="false" customHeight="false" outlineLevel="0" collapsed="false">
      <c r="A287" s="29" t="s">
        <v>583</v>
      </c>
      <c r="B287" s="27" t="s">
        <v>420</v>
      </c>
      <c r="C287" s="29" t="s">
        <v>149</v>
      </c>
      <c r="D287" s="32" t="n">
        <f aca="false">'PL.3A'!D295-'PL.3A'!G295</f>
        <v>9.82</v>
      </c>
      <c r="E287" s="36" t="n">
        <f aca="false">'PL.3A'!H295</f>
        <v>6138047.96334012</v>
      </c>
      <c r="F287" s="14" t="n">
        <f aca="false">D287*E287</f>
        <v>60275631</v>
      </c>
      <c r="G287" s="27"/>
    </row>
    <row r="288" customFormat="false" ht="15" hidden="false" customHeight="false" outlineLevel="0" collapsed="false">
      <c r="A288" s="29" t="s">
        <v>584</v>
      </c>
      <c r="B288" s="27" t="s">
        <v>422</v>
      </c>
      <c r="C288" s="29" t="s">
        <v>149</v>
      </c>
      <c r="D288" s="32" t="n">
        <f aca="false">'PL.3A'!D296-'PL.3A'!G296</f>
        <v>9.82</v>
      </c>
      <c r="E288" s="36" t="n">
        <f aca="false">'PL.3A'!H296</f>
        <v>2639747.96334012</v>
      </c>
      <c r="F288" s="14" t="n">
        <f aca="false">D288*E288</f>
        <v>25922325</v>
      </c>
      <c r="G288" s="27"/>
    </row>
    <row r="289" customFormat="false" ht="15" hidden="false" customHeight="false" outlineLevel="0" collapsed="false">
      <c r="A289" s="29" t="s">
        <v>585</v>
      </c>
      <c r="B289" s="27" t="s">
        <v>586</v>
      </c>
      <c r="C289" s="29" t="s">
        <v>587</v>
      </c>
      <c r="D289" s="32" t="n">
        <f aca="false">'PL.3A'!D297-'PL.3A'!G297</f>
        <v>4.1</v>
      </c>
      <c r="E289" s="36" t="n">
        <f aca="false">'PL.3A'!H297</f>
        <v>5945123.90243903</v>
      </c>
      <c r="F289" s="14" t="n">
        <f aca="false">D289*E289</f>
        <v>24375008</v>
      </c>
      <c r="G289" s="27"/>
    </row>
    <row r="290" customFormat="false" ht="15" hidden="false" customHeight="false" outlineLevel="0" collapsed="false">
      <c r="A290" s="29" t="s">
        <v>588</v>
      </c>
      <c r="B290" s="27" t="s">
        <v>589</v>
      </c>
      <c r="C290" s="29" t="s">
        <v>116</v>
      </c>
      <c r="D290" s="32" t="n">
        <f aca="false">'PL.3A'!D298-'PL.3A'!G298</f>
        <v>2.44</v>
      </c>
      <c r="E290" s="36" t="n">
        <f aca="false">'PL.3A'!H298</f>
        <v>1446738.93442623</v>
      </c>
      <c r="F290" s="14" t="n">
        <f aca="false">D290*E290</f>
        <v>3530043</v>
      </c>
      <c r="G290" s="27"/>
    </row>
    <row r="291" customFormat="false" ht="15" hidden="false" customHeight="false" outlineLevel="0" collapsed="false">
      <c r="A291" s="29" t="s">
        <v>590</v>
      </c>
      <c r="B291" s="27" t="s">
        <v>591</v>
      </c>
      <c r="C291" s="29" t="s">
        <v>111</v>
      </c>
      <c r="D291" s="32" t="n">
        <f aca="false">'PL.3A'!D299-'PL.3A'!G299</f>
        <v>2.8546</v>
      </c>
      <c r="E291" s="36" t="n">
        <f aca="false">'PL.3A'!H299</f>
        <v>1679124.92117985</v>
      </c>
      <c r="F291" s="14" t="n">
        <f aca="false">D291*E291</f>
        <v>4793230</v>
      </c>
      <c r="G291" s="27"/>
    </row>
    <row r="292" customFormat="false" ht="15" hidden="false" customHeight="false" outlineLevel="0" collapsed="false">
      <c r="A292" s="12" t="s">
        <v>592</v>
      </c>
      <c r="B292" s="28" t="s">
        <v>593</v>
      </c>
      <c r="C292" s="27"/>
      <c r="D292" s="27"/>
      <c r="E292" s="27"/>
      <c r="F292" s="27"/>
      <c r="G292" s="27"/>
    </row>
    <row r="293" customFormat="false" ht="15" hidden="false" customHeight="false" outlineLevel="0" collapsed="false">
      <c r="A293" s="29" t="s">
        <v>594</v>
      </c>
      <c r="B293" s="27" t="s">
        <v>595</v>
      </c>
      <c r="C293" s="29" t="s">
        <v>596</v>
      </c>
      <c r="D293" s="32" t="n">
        <f aca="false">'PL.3A'!D301-'PL.3A'!G301</f>
        <v>8</v>
      </c>
      <c r="E293" s="36" t="n">
        <f aca="false">'PL.3A'!H301</f>
        <v>6901474</v>
      </c>
      <c r="F293" s="14" t="n">
        <f aca="false">D293*E293</f>
        <v>55211792</v>
      </c>
      <c r="G293" s="27"/>
    </row>
    <row r="294" customFormat="false" ht="15" hidden="false" customHeight="false" outlineLevel="0" collapsed="false">
      <c r="A294" s="12" t="s">
        <v>597</v>
      </c>
      <c r="B294" s="28" t="s">
        <v>598</v>
      </c>
      <c r="C294" s="27"/>
      <c r="D294" s="27"/>
      <c r="E294" s="27"/>
      <c r="F294" s="27"/>
      <c r="G294" s="27"/>
    </row>
    <row r="295" customFormat="false" ht="15" hidden="false" customHeight="false" outlineLevel="0" collapsed="false">
      <c r="A295" s="29" t="s">
        <v>599</v>
      </c>
      <c r="B295" s="27" t="s">
        <v>136</v>
      </c>
      <c r="C295" s="29" t="s">
        <v>116</v>
      </c>
      <c r="D295" s="32" t="n">
        <f aca="false">'PL.3A'!D303-'PL.3A'!G303</f>
        <v>3.96</v>
      </c>
      <c r="E295" s="36" t="n">
        <f aca="false">'PL.3A'!H303</f>
        <v>1010703.03030303</v>
      </c>
      <c r="F295" s="14" t="n">
        <f aca="false">D295*E295</f>
        <v>4002384</v>
      </c>
      <c r="G295" s="27"/>
    </row>
    <row r="296" customFormat="false" ht="15" hidden="false" customHeight="false" outlineLevel="0" collapsed="false">
      <c r="A296" s="29" t="s">
        <v>600</v>
      </c>
      <c r="B296" s="27" t="s">
        <v>601</v>
      </c>
      <c r="C296" s="29" t="s">
        <v>116</v>
      </c>
      <c r="D296" s="32" t="n">
        <f aca="false">'PL.3A'!D304-'PL.3A'!G304</f>
        <v>1.01</v>
      </c>
      <c r="E296" s="36" t="n">
        <f aca="false">'PL.3A'!H304</f>
        <v>1533740.59405941</v>
      </c>
      <c r="F296" s="14" t="n">
        <f aca="false">D296*E296</f>
        <v>1549078</v>
      </c>
      <c r="G296" s="27"/>
    </row>
    <row r="297" customFormat="false" ht="15" hidden="false" customHeight="false" outlineLevel="0" collapsed="false">
      <c r="A297" s="29" t="s">
        <v>602</v>
      </c>
      <c r="B297" s="27" t="s">
        <v>603</v>
      </c>
      <c r="C297" s="29" t="s">
        <v>116</v>
      </c>
      <c r="D297" s="32" t="n">
        <f aca="false">'PL.3A'!D305-'PL.3A'!G305</f>
        <v>2.27</v>
      </c>
      <c r="E297" s="36" t="n">
        <f aca="false">'PL.3A'!H305</f>
        <v>1836377.97356828</v>
      </c>
      <c r="F297" s="14" t="n">
        <f aca="false">D297*E297</f>
        <v>4168578</v>
      </c>
      <c r="G297" s="27"/>
    </row>
    <row r="298" customFormat="false" ht="15" hidden="false" customHeight="false" outlineLevel="0" collapsed="false">
      <c r="A298" s="29" t="s">
        <v>604</v>
      </c>
      <c r="B298" s="27" t="s">
        <v>605</v>
      </c>
      <c r="C298" s="29" t="s">
        <v>149</v>
      </c>
      <c r="D298" s="32" t="n">
        <f aca="false">'PL.3A'!D306-'PL.3A'!G306</f>
        <v>0.1773</v>
      </c>
      <c r="E298" s="36" t="n">
        <f aca="false">'PL.3A'!H306</f>
        <v>23674348.5617597</v>
      </c>
      <c r="F298" s="14" t="n">
        <f aca="false">D298*E298</f>
        <v>4197462</v>
      </c>
      <c r="G298" s="27"/>
    </row>
    <row r="299" customFormat="false" ht="15" hidden="false" customHeight="false" outlineLevel="0" collapsed="false">
      <c r="A299" s="29" t="s">
        <v>606</v>
      </c>
      <c r="B299" s="27" t="s">
        <v>607</v>
      </c>
      <c r="C299" s="29" t="s">
        <v>106</v>
      </c>
      <c r="D299" s="32" t="n">
        <f aca="false">'PL.3A'!D307-'PL.3A'!G307</f>
        <v>0.1285</v>
      </c>
      <c r="E299" s="36" t="n">
        <f aca="false">'PL.3A'!H307</f>
        <v>6357151.75097276</v>
      </c>
      <c r="F299" s="14" t="n">
        <f aca="false">D299*E299</f>
        <v>816894</v>
      </c>
      <c r="G299" s="27"/>
    </row>
    <row r="300" customFormat="false" ht="15" hidden="false" customHeight="false" outlineLevel="0" collapsed="false">
      <c r="A300" s="29" t="s">
        <v>608</v>
      </c>
      <c r="B300" s="27" t="s">
        <v>609</v>
      </c>
      <c r="C300" s="29" t="s">
        <v>149</v>
      </c>
      <c r="D300" s="32" t="n">
        <f aca="false">'PL.3A'!D308-'PL.3A'!G308</f>
        <v>14.695</v>
      </c>
      <c r="E300" s="36" t="n">
        <f aca="false">'PL.3A'!H308</f>
        <v>1961812.99761824</v>
      </c>
      <c r="F300" s="14" t="n">
        <f aca="false">D300*E300</f>
        <v>28828842</v>
      </c>
      <c r="G300" s="27"/>
    </row>
    <row r="301" customFormat="false" ht="15" hidden="false" customHeight="false" outlineLevel="0" collapsed="false">
      <c r="A301" s="29" t="s">
        <v>610</v>
      </c>
      <c r="B301" s="27" t="s">
        <v>611</v>
      </c>
      <c r="C301" s="29" t="s">
        <v>149</v>
      </c>
      <c r="D301" s="32" t="n">
        <f aca="false">'PL.3A'!D309-'PL.3A'!G309</f>
        <v>14.695</v>
      </c>
      <c r="E301" s="36" t="n">
        <f aca="false">'PL.3A'!H309</f>
        <v>6138047.97550187</v>
      </c>
      <c r="F301" s="14" t="n">
        <f aca="false">D301*E301</f>
        <v>90198615</v>
      </c>
      <c r="G301" s="27"/>
    </row>
    <row r="302" customFormat="false" ht="15" hidden="false" customHeight="false" outlineLevel="0" collapsed="false">
      <c r="A302" s="29" t="s">
        <v>612</v>
      </c>
      <c r="B302" s="27" t="s">
        <v>613</v>
      </c>
      <c r="C302" s="29" t="s">
        <v>149</v>
      </c>
      <c r="D302" s="32" t="n">
        <f aca="false">'PL.3A'!D310-'PL.3A'!G310</f>
        <v>14.695</v>
      </c>
      <c r="E302" s="36" t="n">
        <f aca="false">'PL.3A'!H310</f>
        <v>2639748.00952705</v>
      </c>
      <c r="F302" s="14" t="n">
        <f aca="false">D302*E302</f>
        <v>38791097</v>
      </c>
      <c r="G302" s="27"/>
    </row>
    <row r="303" customFormat="false" ht="15" hidden="false" customHeight="false" outlineLevel="0" collapsed="false">
      <c r="A303" s="29" t="s">
        <v>614</v>
      </c>
      <c r="B303" s="27" t="s">
        <v>615</v>
      </c>
      <c r="C303" s="29" t="s">
        <v>193</v>
      </c>
      <c r="D303" s="32" t="n">
        <f aca="false">'PL.3A'!D311-'PL.3A'!G311</f>
        <v>60</v>
      </c>
      <c r="E303" s="36" t="n">
        <f aca="false">'PL.3A'!H311</f>
        <v>18880</v>
      </c>
      <c r="F303" s="14" t="n">
        <f aca="false">D303*E303</f>
        <v>1132800</v>
      </c>
      <c r="G303" s="27"/>
    </row>
    <row r="304" customFormat="false" ht="15" hidden="false" customHeight="false" outlineLevel="0" collapsed="false">
      <c r="A304" s="29" t="s">
        <v>616</v>
      </c>
      <c r="B304" s="27" t="s">
        <v>617</v>
      </c>
      <c r="C304" s="29" t="s">
        <v>116</v>
      </c>
      <c r="D304" s="32" t="n">
        <f aca="false">'PL.3A'!D312-'PL.3A'!G312</f>
        <v>3.28</v>
      </c>
      <c r="E304" s="36" t="n">
        <f aca="false">'PL.3A'!H312</f>
        <v>620121.951219512</v>
      </c>
      <c r="F304" s="14" t="n">
        <f aca="false">D304*E304</f>
        <v>2034000</v>
      </c>
      <c r="G304" s="27"/>
    </row>
    <row r="305" customFormat="false" ht="15" hidden="false" customHeight="false" outlineLevel="0" collapsed="false">
      <c r="A305" s="12" t="s">
        <v>618</v>
      </c>
      <c r="B305" s="28" t="s">
        <v>619</v>
      </c>
      <c r="C305" s="27"/>
      <c r="D305" s="27"/>
      <c r="E305" s="27"/>
      <c r="F305" s="27"/>
      <c r="G305" s="27"/>
    </row>
    <row r="306" customFormat="false" ht="15" hidden="false" customHeight="false" outlineLevel="0" collapsed="false">
      <c r="A306" s="29" t="s">
        <v>620</v>
      </c>
      <c r="B306" s="27" t="s">
        <v>621</v>
      </c>
      <c r="C306" s="29" t="s">
        <v>116</v>
      </c>
      <c r="D306" s="32" t="n">
        <f aca="false">'PL.3A'!D314-'PL.3A'!G314</f>
        <v>439.2875</v>
      </c>
      <c r="E306" s="36" t="n">
        <f aca="false">'PL.3A'!H314</f>
        <v>164410.000284552</v>
      </c>
      <c r="F306" s="14" t="n">
        <f aca="false">D306*E306</f>
        <v>72223258.0000001</v>
      </c>
      <c r="G306" s="27"/>
    </row>
    <row r="307" customFormat="false" ht="15" hidden="false" customHeight="false" outlineLevel="0" collapsed="false">
      <c r="A307" s="29" t="s">
        <v>622</v>
      </c>
      <c r="B307" s="27" t="s">
        <v>623</v>
      </c>
      <c r="C307" s="29" t="s">
        <v>111</v>
      </c>
      <c r="D307" s="32" t="n">
        <f aca="false">'PL.3A'!D315-'PL.3A'!G315</f>
        <v>14.7194</v>
      </c>
      <c r="E307" s="36" t="n">
        <f aca="false">'PL.3A'!H315</f>
        <v>269382.991154531</v>
      </c>
      <c r="F307" s="14" t="n">
        <f aca="false">D307*E307</f>
        <v>3965156</v>
      </c>
      <c r="G307" s="27"/>
    </row>
    <row r="308" customFormat="false" ht="15" hidden="false" customHeight="false" outlineLevel="0" collapsed="false">
      <c r="A308" s="12" t="s">
        <v>624</v>
      </c>
      <c r="B308" s="13" t="s">
        <v>625</v>
      </c>
      <c r="C308" s="27"/>
      <c r="D308" s="27"/>
      <c r="E308" s="27"/>
      <c r="F308" s="27"/>
      <c r="G308" s="27"/>
    </row>
    <row r="309" customFormat="false" ht="15" hidden="false" customHeight="false" outlineLevel="0" collapsed="false">
      <c r="A309" s="29" t="s">
        <v>626</v>
      </c>
      <c r="B309" s="27" t="s">
        <v>627</v>
      </c>
      <c r="C309" s="29" t="s">
        <v>245</v>
      </c>
      <c r="D309" s="32" t="n">
        <f aca="false">'PL.3A'!D317-'PL.3A'!G317</f>
        <v>3.02</v>
      </c>
      <c r="E309" s="36" t="n">
        <f aca="false">'PL.3A'!H317</f>
        <v>27641766.8874172</v>
      </c>
      <c r="F309" s="14" t="n">
        <f aca="false">D309*E309</f>
        <v>83478135.9999999</v>
      </c>
      <c r="G309" s="27"/>
    </row>
    <row r="310" customFormat="false" ht="15" hidden="false" customHeight="false" outlineLevel="0" collapsed="false">
      <c r="A310" s="29" t="s">
        <v>628</v>
      </c>
      <c r="B310" s="27" t="s">
        <v>629</v>
      </c>
      <c r="C310" s="29" t="s">
        <v>630</v>
      </c>
      <c r="D310" s="32" t="n">
        <f aca="false">'PL.3A'!D318-'PL.3A'!G318</f>
        <v>6.09</v>
      </c>
      <c r="E310" s="36" t="n">
        <f aca="false">'PL.3A'!H318</f>
        <v>6199504.92610837</v>
      </c>
      <c r="F310" s="14" t="n">
        <f aca="false">D310*E310</f>
        <v>37754985</v>
      </c>
      <c r="G310" s="27"/>
    </row>
    <row r="311" customFormat="false" ht="15" hidden="false" customHeight="false" outlineLevel="0" collapsed="false">
      <c r="A311" s="29" t="s">
        <v>631</v>
      </c>
      <c r="B311" s="27" t="s">
        <v>632</v>
      </c>
      <c r="C311" s="29" t="s">
        <v>240</v>
      </c>
      <c r="D311" s="32" t="n">
        <f aca="false">'PL.3A'!D319-'PL.3A'!G319</f>
        <v>22</v>
      </c>
      <c r="E311" s="36" t="n">
        <f aca="false">'PL.3A'!H319</f>
        <v>111413</v>
      </c>
      <c r="F311" s="14" t="n">
        <f aca="false">D311*E311</f>
        <v>2451086</v>
      </c>
      <c r="G311" s="27"/>
    </row>
    <row r="312" customFormat="false" ht="15" hidden="false" customHeight="false" outlineLevel="0" collapsed="false">
      <c r="A312" s="29" t="s">
        <v>633</v>
      </c>
      <c r="B312" s="27" t="s">
        <v>634</v>
      </c>
      <c r="C312" s="29" t="s">
        <v>245</v>
      </c>
      <c r="D312" s="32" t="n">
        <f aca="false">'PL.3A'!D320-'PL.3A'!G320</f>
        <v>0.12</v>
      </c>
      <c r="E312" s="36" t="n">
        <f aca="false">'PL.3A'!H320</f>
        <v>37543341.6666667</v>
      </c>
      <c r="F312" s="14" t="n">
        <f aca="false">D312*E312</f>
        <v>4505201</v>
      </c>
      <c r="G312" s="27"/>
    </row>
    <row r="313" customFormat="false" ht="15" hidden="false" customHeight="false" outlineLevel="0" collapsed="false">
      <c r="A313" s="29" t="s">
        <v>635</v>
      </c>
      <c r="B313" s="27" t="s">
        <v>636</v>
      </c>
      <c r="C313" s="29" t="s">
        <v>240</v>
      </c>
      <c r="D313" s="32" t="n">
        <f aca="false">'PL.3A'!D321-'PL.3A'!G321</f>
        <v>1</v>
      </c>
      <c r="E313" s="36" t="n">
        <f aca="false">'PL.3A'!H321</f>
        <v>705809</v>
      </c>
      <c r="F313" s="14" t="n">
        <f aca="false">D313*E313</f>
        <v>705809</v>
      </c>
      <c r="G313" s="27"/>
    </row>
    <row r="314" customFormat="false" ht="15" hidden="false" customHeight="false" outlineLevel="0" collapsed="false">
      <c r="A314" s="29" t="s">
        <v>637</v>
      </c>
      <c r="B314" s="27" t="s">
        <v>638</v>
      </c>
      <c r="C314" s="29" t="s">
        <v>240</v>
      </c>
      <c r="D314" s="32" t="n">
        <f aca="false">'PL.3A'!D322-'PL.3A'!G322</f>
        <v>6</v>
      </c>
      <c r="E314" s="36" t="n">
        <f aca="false">'PL.3A'!H322</f>
        <v>380038</v>
      </c>
      <c r="F314" s="14" t="n">
        <f aca="false">D314*E314</f>
        <v>2280228</v>
      </c>
      <c r="G314" s="27"/>
    </row>
    <row r="315" customFormat="false" ht="15" hidden="false" customHeight="false" outlineLevel="0" collapsed="false">
      <c r="A315" s="29" t="s">
        <v>639</v>
      </c>
      <c r="B315" s="27" t="s">
        <v>640</v>
      </c>
      <c r="C315" s="29" t="s">
        <v>240</v>
      </c>
      <c r="D315" s="32" t="n">
        <f aca="false">'PL.3A'!D323-'PL.3A'!G323</f>
        <v>3</v>
      </c>
      <c r="E315" s="36" t="n">
        <f aca="false">'PL.3A'!H323</f>
        <v>339245</v>
      </c>
      <c r="F315" s="14" t="n">
        <f aca="false">D315*E315</f>
        <v>1017735</v>
      </c>
      <c r="G315" s="27"/>
    </row>
    <row r="316" customFormat="false" ht="15" hidden="false" customHeight="false" outlineLevel="0" collapsed="false">
      <c r="A316" s="29" t="s">
        <v>641</v>
      </c>
      <c r="B316" s="27" t="s">
        <v>642</v>
      </c>
      <c r="C316" s="29" t="s">
        <v>240</v>
      </c>
      <c r="D316" s="32" t="n">
        <f aca="false">'PL.3A'!D324-'PL.3A'!G324</f>
        <v>1</v>
      </c>
      <c r="E316" s="36" t="n">
        <f aca="false">'PL.3A'!H324</f>
        <v>279982</v>
      </c>
      <c r="F316" s="14" t="n">
        <f aca="false">D316*E316</f>
        <v>279982</v>
      </c>
      <c r="G316" s="27"/>
    </row>
    <row r="317" customFormat="false" ht="15" hidden="false" customHeight="false" outlineLevel="0" collapsed="false">
      <c r="A317" s="29" t="s">
        <v>643</v>
      </c>
      <c r="B317" s="27" t="s">
        <v>644</v>
      </c>
      <c r="C317" s="29" t="s">
        <v>240</v>
      </c>
      <c r="D317" s="32" t="n">
        <f aca="false">'PL.3A'!D325-'PL.3A'!G325</f>
        <v>16</v>
      </c>
      <c r="E317" s="36" t="n">
        <f aca="false">'PL.3A'!H325</f>
        <v>279982</v>
      </c>
      <c r="F317" s="14" t="n">
        <f aca="false">D317*E317</f>
        <v>4479712</v>
      </c>
      <c r="G317" s="27"/>
    </row>
    <row r="318" customFormat="false" ht="15" hidden="false" customHeight="false" outlineLevel="0" collapsed="false">
      <c r="A318" s="29" t="s">
        <v>645</v>
      </c>
      <c r="B318" s="27" t="s">
        <v>646</v>
      </c>
      <c r="C318" s="29" t="s">
        <v>240</v>
      </c>
      <c r="D318" s="32" t="n">
        <f aca="false">'PL.3A'!D326-'PL.3A'!G326</f>
        <v>4</v>
      </c>
      <c r="E318" s="36" t="n">
        <f aca="false">'PL.3A'!H326</f>
        <v>42328</v>
      </c>
      <c r="F318" s="14" t="n">
        <f aca="false">D318*E318</f>
        <v>169312</v>
      </c>
      <c r="G318" s="27"/>
    </row>
    <row r="319" customFormat="false" ht="15" hidden="false" customHeight="false" outlineLevel="0" collapsed="false">
      <c r="A319" s="29" t="s">
        <v>647</v>
      </c>
      <c r="B319" s="27" t="s">
        <v>648</v>
      </c>
      <c r="C319" s="29" t="s">
        <v>240</v>
      </c>
      <c r="D319" s="32" t="n">
        <f aca="false">'PL.3A'!D327-'PL.3A'!G327</f>
        <v>1</v>
      </c>
      <c r="E319" s="36" t="n">
        <f aca="false">'PL.3A'!H327</f>
        <v>253139</v>
      </c>
      <c r="F319" s="14" t="n">
        <f aca="false">D319*E319</f>
        <v>253139</v>
      </c>
      <c r="G319" s="27"/>
    </row>
    <row r="320" customFormat="false" ht="15" hidden="false" customHeight="false" outlineLevel="0" collapsed="false">
      <c r="A320" s="29" t="s">
        <v>649</v>
      </c>
      <c r="B320" s="27" t="s">
        <v>650</v>
      </c>
      <c r="C320" s="29" t="s">
        <v>240</v>
      </c>
      <c r="D320" s="32" t="n">
        <f aca="false">'PL.3A'!D328-'PL.3A'!G328</f>
        <v>5</v>
      </c>
      <c r="E320" s="36" t="n">
        <f aca="false">'PL.3A'!H328</f>
        <v>3798210</v>
      </c>
      <c r="F320" s="14" t="n">
        <f aca="false">D320*E320</f>
        <v>18991050</v>
      </c>
      <c r="G320" s="27"/>
    </row>
    <row r="321" customFormat="false" ht="15" hidden="false" customHeight="false" outlineLevel="0" collapsed="false">
      <c r="A321" s="29" t="s">
        <v>651</v>
      </c>
      <c r="B321" s="27" t="s">
        <v>652</v>
      </c>
      <c r="C321" s="29" t="s">
        <v>240</v>
      </c>
      <c r="D321" s="32" t="n">
        <f aca="false">'PL.3A'!D329-'PL.3A'!G329</f>
        <v>5</v>
      </c>
      <c r="E321" s="36" t="n">
        <f aca="false">'PL.3A'!H329</f>
        <v>240518</v>
      </c>
      <c r="F321" s="14" t="n">
        <f aca="false">D321*E321</f>
        <v>1202590</v>
      </c>
      <c r="G321" s="27"/>
    </row>
    <row r="322" customFormat="false" ht="15" hidden="false" customHeight="false" outlineLevel="0" collapsed="false">
      <c r="A322" s="29" t="s">
        <v>653</v>
      </c>
      <c r="B322" s="27" t="s">
        <v>654</v>
      </c>
      <c r="C322" s="29" t="s">
        <v>240</v>
      </c>
      <c r="D322" s="32" t="n">
        <f aca="false">'PL.3A'!D330-'PL.3A'!G330</f>
        <v>2</v>
      </c>
      <c r="E322" s="36" t="n">
        <f aca="false">'PL.3A'!H330</f>
        <v>1243709</v>
      </c>
      <c r="F322" s="14" t="n">
        <f aca="false">D322*E322</f>
        <v>2487418</v>
      </c>
      <c r="G322" s="27"/>
    </row>
    <row r="323" customFormat="false" ht="15" hidden="false" customHeight="false" outlineLevel="0" collapsed="false">
      <c r="A323" s="29" t="s">
        <v>655</v>
      </c>
      <c r="B323" s="27" t="s">
        <v>656</v>
      </c>
      <c r="C323" s="29" t="s">
        <v>240</v>
      </c>
      <c r="D323" s="32" t="n">
        <f aca="false">'PL.3A'!D331-'PL.3A'!G331</f>
        <v>3</v>
      </c>
      <c r="E323" s="36" t="n">
        <f aca="false">'PL.3A'!H331</f>
        <v>1054819</v>
      </c>
      <c r="F323" s="14" t="n">
        <f aca="false">D323*E323</f>
        <v>3164457</v>
      </c>
      <c r="G323" s="27"/>
    </row>
    <row r="324" customFormat="false" ht="15" hidden="false" customHeight="false" outlineLevel="0" collapsed="false">
      <c r="A324" s="29" t="s">
        <v>657</v>
      </c>
      <c r="B324" s="27" t="s">
        <v>658</v>
      </c>
      <c r="C324" s="29" t="s">
        <v>240</v>
      </c>
      <c r="D324" s="32" t="n">
        <f aca="false">'PL.3A'!D332-'PL.3A'!G332</f>
        <v>3</v>
      </c>
      <c r="E324" s="36" t="n">
        <f aca="false">'PL.3A'!H332</f>
        <v>984996</v>
      </c>
      <c r="F324" s="14" t="n">
        <f aca="false">D324*E324</f>
        <v>2954988</v>
      </c>
      <c r="G324" s="27"/>
    </row>
    <row r="325" customFormat="false" ht="15" hidden="false" customHeight="false" outlineLevel="0" collapsed="false">
      <c r="A325" s="29" t="s">
        <v>659</v>
      </c>
      <c r="B325" s="27" t="s">
        <v>660</v>
      </c>
      <c r="C325" s="29" t="s">
        <v>240</v>
      </c>
      <c r="D325" s="32" t="n">
        <f aca="false">'PL.3A'!D333-'PL.3A'!G333</f>
        <v>6</v>
      </c>
      <c r="E325" s="36" t="n">
        <f aca="false">'PL.3A'!H333</f>
        <v>683477</v>
      </c>
      <c r="F325" s="14" t="n">
        <f aca="false">D325*E325</f>
        <v>4100862</v>
      </c>
      <c r="G325" s="27"/>
    </row>
    <row r="326" customFormat="false" ht="15" hidden="false" customHeight="false" outlineLevel="0" collapsed="false">
      <c r="A326" s="29" t="s">
        <v>661</v>
      </c>
      <c r="B326" s="27" t="s">
        <v>662</v>
      </c>
      <c r="C326" s="29" t="s">
        <v>663</v>
      </c>
      <c r="D326" s="32" t="n">
        <f aca="false">'PL.3A'!D334-'PL.3A'!G334</f>
        <v>3</v>
      </c>
      <c r="E326" s="36" t="n">
        <f aca="false">'PL.3A'!H334</f>
        <v>766227</v>
      </c>
      <c r="F326" s="14" t="n">
        <f aca="false">D326*E326</f>
        <v>2298681</v>
      </c>
      <c r="G326" s="27"/>
    </row>
    <row r="327" customFormat="false" ht="15" hidden="false" customHeight="false" outlineLevel="0" collapsed="false">
      <c r="A327" s="29" t="s">
        <v>664</v>
      </c>
      <c r="B327" s="27" t="s">
        <v>665</v>
      </c>
      <c r="C327" s="29" t="s">
        <v>240</v>
      </c>
      <c r="D327" s="32" t="n">
        <f aca="false">'PL.3A'!D335-'PL.3A'!G335</f>
        <v>1</v>
      </c>
      <c r="E327" s="36" t="n">
        <f aca="false">'PL.3A'!H335</f>
        <v>3798210</v>
      </c>
      <c r="F327" s="14" t="n">
        <f aca="false">D327*E327</f>
        <v>3798210</v>
      </c>
      <c r="G327" s="27"/>
    </row>
    <row r="328" customFormat="false" ht="15" hidden="false" customHeight="false" outlineLevel="0" collapsed="false">
      <c r="A328" s="29" t="s">
        <v>666</v>
      </c>
      <c r="B328" s="27" t="s">
        <v>667</v>
      </c>
      <c r="C328" s="29" t="s">
        <v>240</v>
      </c>
      <c r="D328" s="32" t="n">
        <f aca="false">'PL.3A'!D336-'PL.3A'!G336</f>
        <v>1</v>
      </c>
      <c r="E328" s="36" t="n">
        <f aca="false">'PL.3A'!H336</f>
        <v>870220</v>
      </c>
      <c r="F328" s="14" t="n">
        <f aca="false">D328*E328</f>
        <v>870220</v>
      </c>
      <c r="G328" s="27"/>
    </row>
    <row r="329" customFormat="false" ht="15" hidden="false" customHeight="false" outlineLevel="0" collapsed="false">
      <c r="A329" s="29" t="s">
        <v>668</v>
      </c>
      <c r="B329" s="27" t="s">
        <v>669</v>
      </c>
      <c r="C329" s="29" t="s">
        <v>240</v>
      </c>
      <c r="D329" s="32" t="n">
        <f aca="false">'PL.3A'!D337-'PL.3A'!G337</f>
        <v>1</v>
      </c>
      <c r="E329" s="36" t="n">
        <f aca="false">'PL.3A'!H337</f>
        <v>3430716</v>
      </c>
      <c r="F329" s="14" t="n">
        <f aca="false">D329*E329</f>
        <v>3430716</v>
      </c>
      <c r="G329" s="27"/>
    </row>
    <row r="330" customFormat="false" ht="15" hidden="false" customHeight="false" outlineLevel="0" collapsed="false">
      <c r="A330" s="29" t="s">
        <v>670</v>
      </c>
      <c r="B330" s="27" t="s">
        <v>671</v>
      </c>
      <c r="C330" s="29" t="s">
        <v>240</v>
      </c>
      <c r="D330" s="32" t="n">
        <f aca="false">'PL.3A'!D338-'PL.3A'!G338</f>
        <v>1</v>
      </c>
      <c r="E330" s="36" t="n">
        <f aca="false">'PL.3A'!H338</f>
        <v>2983600</v>
      </c>
      <c r="F330" s="14" t="n">
        <f aca="false">D330*E330</f>
        <v>2983600</v>
      </c>
      <c r="G330" s="27"/>
    </row>
    <row r="331" customFormat="false" ht="15" hidden="false" customHeight="false" outlineLevel="0" collapsed="false">
      <c r="A331" s="29" t="s">
        <v>672</v>
      </c>
      <c r="B331" s="27" t="s">
        <v>673</v>
      </c>
      <c r="C331" s="29" t="s">
        <v>240</v>
      </c>
      <c r="D331" s="32" t="n">
        <f aca="false">'PL.3A'!D339-'PL.3A'!G339</f>
        <v>1</v>
      </c>
      <c r="E331" s="36" t="n">
        <f aca="false">'PL.3A'!H339</f>
        <v>22854572</v>
      </c>
      <c r="F331" s="14" t="n">
        <f aca="false">D331*E331</f>
        <v>22854572</v>
      </c>
      <c r="G331" s="27"/>
    </row>
    <row r="332" customFormat="false" ht="15" hidden="false" customHeight="false" outlineLevel="0" collapsed="false">
      <c r="A332" s="29" t="s">
        <v>674</v>
      </c>
      <c r="B332" s="27" t="s">
        <v>675</v>
      </c>
      <c r="C332" s="29" t="s">
        <v>240</v>
      </c>
      <c r="D332" s="32" t="n">
        <f aca="false">'PL.3A'!D340-'PL.3A'!G340</f>
        <v>5</v>
      </c>
      <c r="E332" s="36" t="n">
        <f aca="false">'PL.3A'!H340</f>
        <v>178780</v>
      </c>
      <c r="F332" s="14" t="n">
        <f aca="false">D332*E332</f>
        <v>893900</v>
      </c>
      <c r="G332" s="27"/>
    </row>
    <row r="333" customFormat="false" ht="15" hidden="false" customHeight="false" outlineLevel="0" collapsed="false">
      <c r="A333" s="29" t="s">
        <v>676</v>
      </c>
      <c r="B333" s="27" t="s">
        <v>677</v>
      </c>
      <c r="C333" s="29" t="s">
        <v>240</v>
      </c>
      <c r="D333" s="32" t="n">
        <f aca="false">'PL.3A'!D341-'PL.3A'!G341</f>
        <v>5</v>
      </c>
      <c r="E333" s="36" t="n">
        <f aca="false">'PL.3A'!H341</f>
        <v>165221</v>
      </c>
      <c r="F333" s="14" t="n">
        <f aca="false">D333*E333</f>
        <v>826105</v>
      </c>
      <c r="G333" s="27"/>
    </row>
    <row r="334" customFormat="false" ht="15" hidden="false" customHeight="false" outlineLevel="0" collapsed="false">
      <c r="A334" s="29" t="s">
        <v>678</v>
      </c>
      <c r="B334" s="27" t="s">
        <v>679</v>
      </c>
      <c r="C334" s="29" t="s">
        <v>240</v>
      </c>
      <c r="D334" s="32" t="n">
        <f aca="false">'PL.3A'!D342-'PL.3A'!G342</f>
        <v>7</v>
      </c>
      <c r="E334" s="36" t="n">
        <f aca="false">'PL.3A'!H342</f>
        <v>27797</v>
      </c>
      <c r="F334" s="14" t="n">
        <f aca="false">D334*E334</f>
        <v>194579</v>
      </c>
      <c r="G334" s="27"/>
    </row>
    <row r="335" customFormat="false" ht="15" hidden="false" customHeight="false" outlineLevel="0" collapsed="false">
      <c r="A335" s="29" t="s">
        <v>680</v>
      </c>
      <c r="B335" s="27" t="s">
        <v>681</v>
      </c>
      <c r="C335" s="29" t="s">
        <v>240</v>
      </c>
      <c r="D335" s="32" t="n">
        <f aca="false">'PL.3A'!D343-'PL.3A'!G343</f>
        <v>1</v>
      </c>
      <c r="E335" s="36" t="n">
        <f aca="false">'PL.3A'!H343</f>
        <v>256103</v>
      </c>
      <c r="F335" s="14" t="n">
        <f aca="false">D335*E335</f>
        <v>256103</v>
      </c>
      <c r="G335" s="27"/>
    </row>
    <row r="336" customFormat="false" ht="26.85" hidden="false" customHeight="false" outlineLevel="0" collapsed="false">
      <c r="A336" s="29" t="s">
        <v>682</v>
      </c>
      <c r="B336" s="27" t="s">
        <v>683</v>
      </c>
      <c r="C336" s="29" t="s">
        <v>240</v>
      </c>
      <c r="D336" s="32" t="n">
        <f aca="false">'PL.3A'!D344-'PL.3A'!G344</f>
        <v>10</v>
      </c>
      <c r="E336" s="36" t="n">
        <f aca="false">'PL.3A'!H344</f>
        <v>111413</v>
      </c>
      <c r="F336" s="14" t="n">
        <f aca="false">D336*E336</f>
        <v>1114130</v>
      </c>
      <c r="G336" s="27"/>
    </row>
    <row r="337" customFormat="false" ht="15" hidden="false" customHeight="false" outlineLevel="0" collapsed="false">
      <c r="A337" s="29" t="s">
        <v>684</v>
      </c>
      <c r="B337" s="27" t="s">
        <v>685</v>
      </c>
      <c r="C337" s="29" t="s">
        <v>240</v>
      </c>
      <c r="D337" s="32" t="n">
        <f aca="false">'PL.3A'!D345-'PL.3A'!G345</f>
        <v>5</v>
      </c>
      <c r="E337" s="36" t="n">
        <f aca="false">'PL.3A'!H345</f>
        <v>9412035</v>
      </c>
      <c r="F337" s="14" t="n">
        <f aca="false">D337*E337</f>
        <v>47060175</v>
      </c>
      <c r="G337" s="27"/>
    </row>
    <row r="338" customFormat="false" ht="15" hidden="false" customHeight="false" outlineLevel="0" collapsed="false">
      <c r="A338" s="29" t="s">
        <v>686</v>
      </c>
      <c r="B338" s="27" t="s">
        <v>687</v>
      </c>
      <c r="C338" s="29" t="s">
        <v>245</v>
      </c>
      <c r="D338" s="32" t="n">
        <f aca="false">'PL.3A'!D346-'PL.3A'!G346</f>
        <v>3.02</v>
      </c>
      <c r="E338" s="36" t="n">
        <f aca="false">'PL.3A'!H346</f>
        <v>661570.860927152</v>
      </c>
      <c r="F338" s="14" t="n">
        <f aca="false">D338*E338</f>
        <v>1997944</v>
      </c>
      <c r="G338" s="27"/>
    </row>
    <row r="339" customFormat="false" ht="15" hidden="false" customHeight="false" outlineLevel="0" collapsed="false">
      <c r="A339" s="29" t="s">
        <v>688</v>
      </c>
      <c r="B339" s="27" t="s">
        <v>689</v>
      </c>
      <c r="C339" s="29" t="s">
        <v>245</v>
      </c>
      <c r="D339" s="32" t="n">
        <f aca="false">'PL.3A'!D347-'PL.3A'!G347</f>
        <v>6.09</v>
      </c>
      <c r="E339" s="36" t="n">
        <f aca="false">'PL.3A'!H347</f>
        <v>460955.993431856</v>
      </c>
      <c r="F339" s="14" t="n">
        <f aca="false">D339*E339</f>
        <v>2807222</v>
      </c>
      <c r="G339" s="27"/>
    </row>
    <row r="340" customFormat="false" ht="15" hidden="false" customHeight="false" outlineLevel="0" collapsed="false">
      <c r="A340" s="29" t="s">
        <v>690</v>
      </c>
      <c r="B340" s="27" t="s">
        <v>691</v>
      </c>
      <c r="C340" s="29" t="s">
        <v>245</v>
      </c>
      <c r="D340" s="32" t="n">
        <f aca="false">'PL.3A'!D348-'PL.3A'!G348</f>
        <v>9.11</v>
      </c>
      <c r="E340" s="36" t="n">
        <f aca="false">'PL.3A'!H348</f>
        <v>327224.039517014</v>
      </c>
      <c r="F340" s="14" t="n">
        <f aca="false">D340*E340</f>
        <v>2981011</v>
      </c>
      <c r="G340" s="27"/>
    </row>
    <row r="341" customFormat="false" ht="15" hidden="false" customHeight="false" outlineLevel="0" collapsed="false">
      <c r="A341" s="29" t="s">
        <v>692</v>
      </c>
      <c r="B341" s="27" t="s">
        <v>693</v>
      </c>
      <c r="C341" s="29" t="s">
        <v>240</v>
      </c>
      <c r="D341" s="32" t="n">
        <f aca="false">'PL.3A'!D349-'PL.3A'!G349</f>
        <v>304</v>
      </c>
      <c r="E341" s="36" t="n">
        <f aca="false">'PL.3A'!H349</f>
        <v>9186</v>
      </c>
      <c r="F341" s="14" t="n">
        <f aca="false">D341*E341</f>
        <v>2792544</v>
      </c>
      <c r="G341" s="27"/>
    </row>
    <row r="342" customFormat="false" ht="15" hidden="false" customHeight="false" outlineLevel="0" collapsed="false">
      <c r="A342" s="29" t="s">
        <v>694</v>
      </c>
      <c r="B342" s="27" t="s">
        <v>695</v>
      </c>
      <c r="C342" s="29" t="s">
        <v>116</v>
      </c>
      <c r="D342" s="32" t="n">
        <f aca="false">'PL.3A'!D350-'PL.3A'!G350</f>
        <v>150</v>
      </c>
      <c r="E342" s="36" t="n">
        <f aca="false">'PL.3A'!H350</f>
        <v>12248</v>
      </c>
      <c r="F342" s="14" t="n">
        <f aca="false">D342*E342</f>
        <v>1837200</v>
      </c>
      <c r="G342" s="27"/>
    </row>
    <row r="343" customFormat="false" ht="26.85" hidden="false" customHeight="false" outlineLevel="0" collapsed="false">
      <c r="A343" s="29" t="s">
        <v>696</v>
      </c>
      <c r="B343" s="27" t="s">
        <v>697</v>
      </c>
      <c r="C343" s="29" t="s">
        <v>587</v>
      </c>
      <c r="D343" s="32" t="n">
        <f aca="false">'PL.3A'!D351-'PL.3A'!G351</f>
        <v>11.5</v>
      </c>
      <c r="E343" s="36" t="n">
        <f aca="false">'PL.3A'!H351</f>
        <v>446460</v>
      </c>
      <c r="F343" s="14" t="n">
        <f aca="false">D343*E343</f>
        <v>5134290</v>
      </c>
      <c r="G343" s="27"/>
    </row>
    <row r="344" customFormat="false" ht="15" hidden="false" customHeight="false" outlineLevel="0" collapsed="false">
      <c r="A344" s="29" t="s">
        <v>698</v>
      </c>
      <c r="B344" s="27" t="s">
        <v>699</v>
      </c>
      <c r="C344" s="29" t="s">
        <v>111</v>
      </c>
      <c r="D344" s="32" t="n">
        <f aca="false">'PL.3A'!D352-'PL.3A'!G352</f>
        <v>0.086</v>
      </c>
      <c r="E344" s="36" t="n">
        <f aca="false">'PL.3A'!H352</f>
        <v>3752418.60465116</v>
      </c>
      <c r="F344" s="14" t="n">
        <f aca="false">D344*E344</f>
        <v>322708</v>
      </c>
      <c r="G344" s="27"/>
    </row>
    <row r="345" customFormat="false" ht="15" hidden="false" customHeight="false" outlineLevel="0" collapsed="false">
      <c r="A345" s="29" t="s">
        <v>700</v>
      </c>
      <c r="B345" s="27" t="s">
        <v>701</v>
      </c>
      <c r="C345" s="29" t="s">
        <v>116</v>
      </c>
      <c r="D345" s="32" t="n">
        <f aca="false">'PL.3A'!D353-'PL.3A'!G353</f>
        <v>7.6</v>
      </c>
      <c r="E345" s="36" t="n">
        <f aca="false">'PL.3A'!H353</f>
        <v>544450</v>
      </c>
      <c r="F345" s="14" t="n">
        <f aca="false">D345*E345</f>
        <v>4137820</v>
      </c>
      <c r="G345" s="27"/>
    </row>
    <row r="346" customFormat="false" ht="15" hidden="false" customHeight="false" outlineLevel="0" collapsed="false">
      <c r="A346" s="29" t="s">
        <v>702</v>
      </c>
      <c r="B346" s="27" t="s">
        <v>703</v>
      </c>
      <c r="C346" s="29" t="s">
        <v>111</v>
      </c>
      <c r="D346" s="32" t="n">
        <f aca="false">'PL.3A'!D354-'PL.3A'!G354</f>
        <v>0.0294</v>
      </c>
      <c r="E346" s="36" t="n">
        <f aca="false">'PL.3A'!H354</f>
        <v>9370986.39455782</v>
      </c>
      <c r="F346" s="14" t="n">
        <f aca="false">D346*E346</f>
        <v>275507</v>
      </c>
      <c r="G346" s="27"/>
    </row>
    <row r="347" customFormat="false" ht="15" hidden="false" customHeight="false" outlineLevel="0" collapsed="false">
      <c r="A347" s="29" t="s">
        <v>704</v>
      </c>
      <c r="B347" s="27" t="s">
        <v>705</v>
      </c>
      <c r="C347" s="29" t="s">
        <v>131</v>
      </c>
      <c r="D347" s="32" t="n">
        <f aca="false">'PL.3A'!D355-'PL.3A'!G355</f>
        <v>8.4</v>
      </c>
      <c r="E347" s="36" t="n">
        <f aca="false">'PL.3A'!H355</f>
        <v>12247.9761904762</v>
      </c>
      <c r="F347" s="14" t="n">
        <f aca="false">D347*E347</f>
        <v>102883</v>
      </c>
      <c r="G347" s="27"/>
    </row>
    <row r="348" customFormat="false" ht="15" hidden="false" customHeight="false" outlineLevel="0" collapsed="false">
      <c r="A348" s="29" t="s">
        <v>706</v>
      </c>
      <c r="B348" s="27" t="s">
        <v>707</v>
      </c>
      <c r="C348" s="29" t="s">
        <v>587</v>
      </c>
      <c r="D348" s="32" t="n">
        <f aca="false">'PL.3A'!D356-'PL.3A'!G356</f>
        <v>2.5337</v>
      </c>
      <c r="E348" s="36" t="n">
        <f aca="false">'PL.3A'!H356</f>
        <v>523625.922563839</v>
      </c>
      <c r="F348" s="14" t="n">
        <f aca="false">D348*E348</f>
        <v>1326711</v>
      </c>
      <c r="G348" s="27"/>
    </row>
    <row r="349" customFormat="false" ht="15" hidden="false" customHeight="false" outlineLevel="0" collapsed="false">
      <c r="A349" s="29" t="s">
        <v>708</v>
      </c>
      <c r="B349" s="27" t="s">
        <v>709</v>
      </c>
      <c r="C349" s="29" t="s">
        <v>116</v>
      </c>
      <c r="D349" s="32" t="n">
        <f aca="false">'PL.3A'!D357-'PL.3A'!G357</f>
        <v>0.3296</v>
      </c>
      <c r="E349" s="36" t="n">
        <f aca="false">'PL.3A'!H357</f>
        <v>1764083.73786408</v>
      </c>
      <c r="F349" s="14" t="n">
        <f aca="false">D349*E349</f>
        <v>581442.000000001</v>
      </c>
      <c r="G349" s="27"/>
    </row>
    <row r="350" customFormat="false" ht="26.85" hidden="false" customHeight="false" outlineLevel="0" collapsed="false">
      <c r="A350" s="29" t="s">
        <v>710</v>
      </c>
      <c r="B350" s="27" t="s">
        <v>711</v>
      </c>
      <c r="C350" s="29" t="s">
        <v>116</v>
      </c>
      <c r="D350" s="32" t="n">
        <f aca="false">'PL.3A'!D358-'PL.3A'!G358</f>
        <v>0.216</v>
      </c>
      <c r="E350" s="36" t="n">
        <f aca="false">'PL.3A'!H358</f>
        <v>2112935.18518519</v>
      </c>
      <c r="F350" s="14" t="n">
        <f aca="false">D350*E350</f>
        <v>456394.000000001</v>
      </c>
      <c r="G350" s="27"/>
    </row>
    <row r="351" customFormat="false" ht="15" hidden="false" customHeight="false" outlineLevel="0" collapsed="false">
      <c r="A351" s="29" t="s">
        <v>712</v>
      </c>
      <c r="B351" s="27" t="s">
        <v>709</v>
      </c>
      <c r="C351" s="29" t="s">
        <v>116</v>
      </c>
      <c r="D351" s="32" t="n">
        <f aca="false">'PL.3A'!D359-'PL.3A'!G359</f>
        <v>0.008</v>
      </c>
      <c r="E351" s="36" t="n">
        <f aca="false">'PL.3A'!H359</f>
        <v>1764125</v>
      </c>
      <c r="F351" s="14" t="n">
        <f aca="false">D351*E351</f>
        <v>14113</v>
      </c>
      <c r="G351" s="27"/>
    </row>
    <row r="352" customFormat="false" ht="26.85" hidden="false" customHeight="false" outlineLevel="0" collapsed="false">
      <c r="A352" s="29" t="s">
        <v>713</v>
      </c>
      <c r="B352" s="27" t="s">
        <v>714</v>
      </c>
      <c r="C352" s="29" t="s">
        <v>149</v>
      </c>
      <c r="D352" s="32" t="n">
        <f aca="false">'PL.3A'!D360-'PL.3A'!G360</f>
        <v>0.0126</v>
      </c>
      <c r="E352" s="36" t="n">
        <f aca="false">'PL.3A'!H360</f>
        <v>25454126.984127</v>
      </c>
      <c r="F352" s="14" t="n">
        <f aca="false">D352*E352</f>
        <v>320722</v>
      </c>
      <c r="G352" s="27"/>
    </row>
    <row r="353" customFormat="false" ht="15" hidden="false" customHeight="false" outlineLevel="0" collapsed="false">
      <c r="A353" s="29" t="s">
        <v>715</v>
      </c>
      <c r="B353" s="27" t="s">
        <v>531</v>
      </c>
      <c r="C353" s="29" t="s">
        <v>149</v>
      </c>
      <c r="D353" s="32" t="n">
        <f aca="false">'PL.3A'!D361-'PL.3A'!G361</f>
        <v>0.085</v>
      </c>
      <c r="E353" s="36" t="n">
        <f aca="false">'PL.3A'!H361</f>
        <v>30438682.3529412</v>
      </c>
      <c r="F353" s="14" t="n">
        <f aca="false">D353*E353</f>
        <v>2587288</v>
      </c>
      <c r="G353" s="27"/>
    </row>
    <row r="354" customFormat="false" ht="15" hidden="false" customHeight="false" outlineLevel="0" collapsed="false">
      <c r="A354" s="29" t="s">
        <v>716</v>
      </c>
      <c r="B354" s="27" t="s">
        <v>717</v>
      </c>
      <c r="C354" s="29" t="s">
        <v>116</v>
      </c>
      <c r="D354" s="32" t="n">
        <f aca="false">'PL.3A'!D362-'PL.3A'!G362</f>
        <v>0.6591</v>
      </c>
      <c r="E354" s="36" t="n">
        <f aca="false">'PL.3A'!H362</f>
        <v>1568220.30040965</v>
      </c>
      <c r="F354" s="14" t="n">
        <f aca="false">D354*E354</f>
        <v>1033614</v>
      </c>
      <c r="G354" s="27"/>
    </row>
    <row r="355" customFormat="false" ht="15" hidden="false" customHeight="false" outlineLevel="0" collapsed="false">
      <c r="A355" s="29" t="s">
        <v>718</v>
      </c>
      <c r="B355" s="27" t="s">
        <v>719</v>
      </c>
      <c r="C355" s="29" t="s">
        <v>131</v>
      </c>
      <c r="D355" s="32" t="n">
        <f aca="false">'PL.3A'!D363-'PL.3A'!G363</f>
        <v>4.644</v>
      </c>
      <c r="E355" s="36" t="n">
        <f aca="false">'PL.3A'!H363</f>
        <v>132672.049956934</v>
      </c>
      <c r="F355" s="14" t="n">
        <f aca="false">D355*E355</f>
        <v>616129.000000002</v>
      </c>
      <c r="G355" s="27"/>
    </row>
    <row r="356" customFormat="false" ht="15" hidden="false" customHeight="false" outlineLevel="0" collapsed="false">
      <c r="A356" s="29" t="s">
        <v>720</v>
      </c>
      <c r="B356" s="27" t="s">
        <v>721</v>
      </c>
      <c r="C356" s="29" t="s">
        <v>131</v>
      </c>
      <c r="D356" s="32" t="n">
        <f aca="false">'PL.3A'!D364-'PL.3A'!G364</f>
        <v>2.72</v>
      </c>
      <c r="E356" s="36" t="n">
        <f aca="false">'PL.3A'!H364</f>
        <v>98376.8382352941</v>
      </c>
      <c r="F356" s="14" t="n">
        <f aca="false">D356*E356</f>
        <v>267585</v>
      </c>
      <c r="G356" s="27"/>
    </row>
    <row r="357" customFormat="false" ht="26.85" hidden="false" customHeight="false" outlineLevel="0" collapsed="false">
      <c r="A357" s="29" t="s">
        <v>722</v>
      </c>
      <c r="B357" s="27" t="s">
        <v>723</v>
      </c>
      <c r="C357" s="29" t="s">
        <v>106</v>
      </c>
      <c r="D357" s="32" t="n">
        <f aca="false">'PL.3A'!D365-'PL.3A'!G365</f>
        <v>0.0113</v>
      </c>
      <c r="E357" s="36" t="n">
        <f aca="false">'PL.3A'!H365</f>
        <v>15808318.5840708</v>
      </c>
      <c r="F357" s="14" t="n">
        <f aca="false">D357*E357</f>
        <v>178634</v>
      </c>
      <c r="G357" s="27"/>
    </row>
    <row r="358" customFormat="false" ht="15" hidden="false" customHeight="false" outlineLevel="0" collapsed="false">
      <c r="A358" s="29" t="s">
        <v>724</v>
      </c>
      <c r="B358" s="27" t="s">
        <v>699</v>
      </c>
      <c r="C358" s="29" t="s">
        <v>111</v>
      </c>
      <c r="D358" s="32" t="n">
        <f aca="false">'PL.3A'!D366-'PL.3A'!G366</f>
        <v>0.0194</v>
      </c>
      <c r="E358" s="36" t="n">
        <f aca="false">'PL.3A'!H366</f>
        <v>3752422.68041237</v>
      </c>
      <c r="F358" s="14" t="n">
        <f aca="false">D358*E358</f>
        <v>72797</v>
      </c>
      <c r="G358" s="27"/>
    </row>
    <row r="359" customFormat="false" ht="15" hidden="false" customHeight="false" outlineLevel="0" collapsed="false">
      <c r="A359" s="29" t="s">
        <v>725</v>
      </c>
      <c r="B359" s="27" t="s">
        <v>726</v>
      </c>
      <c r="C359" s="29" t="s">
        <v>160</v>
      </c>
      <c r="D359" s="32" t="n">
        <f aca="false">'PL.3A'!D367-'PL.3A'!G367</f>
        <v>2</v>
      </c>
      <c r="E359" s="36" t="n">
        <f aca="false">'PL.3A'!H367</f>
        <v>15874</v>
      </c>
      <c r="F359" s="14" t="n">
        <f aca="false">D359*E359</f>
        <v>31748</v>
      </c>
      <c r="G359" s="27"/>
    </row>
    <row r="360" customFormat="false" ht="26.85" hidden="false" customHeight="false" outlineLevel="0" collapsed="false">
      <c r="A360" s="12" t="s">
        <v>727</v>
      </c>
      <c r="B360" s="13" t="s">
        <v>728</v>
      </c>
      <c r="C360" s="27"/>
      <c r="D360" s="27"/>
      <c r="E360" s="27"/>
      <c r="F360" s="27"/>
      <c r="G360" s="27"/>
    </row>
    <row r="361" customFormat="false" ht="15" hidden="false" customHeight="false" outlineLevel="0" collapsed="false">
      <c r="A361" s="29" t="s">
        <v>729</v>
      </c>
      <c r="B361" s="27" t="s">
        <v>730</v>
      </c>
      <c r="C361" s="29" t="s">
        <v>731</v>
      </c>
      <c r="D361" s="32" t="n">
        <f aca="false">'PL.3A'!D369-'PL.3A'!G369</f>
        <v>1</v>
      </c>
      <c r="E361" s="36" t="n">
        <f aca="false">'PL.3A'!H369</f>
        <v>1314056</v>
      </c>
      <c r="F361" s="14" t="n">
        <f aca="false">D361*E361</f>
        <v>1314056</v>
      </c>
      <c r="G361" s="27"/>
    </row>
    <row r="362" customFormat="false" ht="15" hidden="false" customHeight="false" outlineLevel="0" collapsed="false">
      <c r="A362" s="29" t="s">
        <v>732</v>
      </c>
      <c r="B362" s="27" t="s">
        <v>733</v>
      </c>
      <c r="C362" s="29" t="s">
        <v>731</v>
      </c>
      <c r="D362" s="32" t="n">
        <f aca="false">'PL.3A'!D370-'PL.3A'!G370</f>
        <v>1</v>
      </c>
      <c r="E362" s="36" t="n">
        <f aca="false">'PL.3A'!H370</f>
        <v>2086769</v>
      </c>
      <c r="F362" s="14" t="n">
        <f aca="false">D362*E362</f>
        <v>2086769</v>
      </c>
      <c r="G362" s="27"/>
    </row>
    <row r="363" customFormat="false" ht="26.85" hidden="false" customHeight="false" outlineLevel="0" collapsed="false">
      <c r="A363" s="29" t="s">
        <v>734</v>
      </c>
      <c r="B363" s="27" t="s">
        <v>735</v>
      </c>
      <c r="C363" s="29" t="s">
        <v>731</v>
      </c>
      <c r="D363" s="32" t="n">
        <f aca="false">'PL.3A'!D371-'PL.3A'!G371</f>
        <v>1</v>
      </c>
      <c r="E363" s="36" t="n">
        <f aca="false">'PL.3A'!H371</f>
        <v>3869592</v>
      </c>
      <c r="F363" s="14" t="n">
        <f aca="false">D363*E363</f>
        <v>3869592</v>
      </c>
      <c r="G363" s="27"/>
    </row>
    <row r="364" customFormat="false" ht="15" hidden="false" customHeight="false" outlineLevel="0" collapsed="false">
      <c r="A364" s="29" t="s">
        <v>736</v>
      </c>
      <c r="B364" s="27" t="s">
        <v>737</v>
      </c>
      <c r="C364" s="29" t="s">
        <v>731</v>
      </c>
      <c r="D364" s="32" t="n">
        <f aca="false">'PL.3A'!D372-'PL.3A'!G372</f>
        <v>1</v>
      </c>
      <c r="E364" s="36" t="n">
        <f aca="false">'PL.3A'!H372</f>
        <v>3548250</v>
      </c>
      <c r="F364" s="14" t="n">
        <f aca="false">D364*E364</f>
        <v>3548250</v>
      </c>
      <c r="G364" s="27"/>
    </row>
    <row r="365" customFormat="false" ht="15" hidden="false" customHeight="false" outlineLevel="0" collapsed="false">
      <c r="A365" s="29" t="s">
        <v>738</v>
      </c>
      <c r="B365" s="27" t="s">
        <v>739</v>
      </c>
      <c r="C365" s="29" t="s">
        <v>731</v>
      </c>
      <c r="D365" s="32" t="n">
        <f aca="false">'PL.3A'!D373-'PL.3A'!G373</f>
        <v>1</v>
      </c>
      <c r="E365" s="36" t="n">
        <f aca="false">'PL.3A'!H373</f>
        <v>3512862</v>
      </c>
      <c r="F365" s="14" t="n">
        <f aca="false">D365*E365</f>
        <v>3512862</v>
      </c>
      <c r="G365" s="27"/>
    </row>
    <row r="366" customFormat="false" ht="15" hidden="false" customHeight="false" outlineLevel="0" collapsed="false">
      <c r="A366" s="29" t="s">
        <v>740</v>
      </c>
      <c r="B366" s="27" t="s">
        <v>741</v>
      </c>
      <c r="C366" s="29" t="s">
        <v>731</v>
      </c>
      <c r="D366" s="32" t="n">
        <f aca="false">'PL.3A'!D374-'PL.3A'!G374</f>
        <v>1</v>
      </c>
      <c r="E366" s="36" t="n">
        <f aca="false">'PL.3A'!H374</f>
        <v>3715118</v>
      </c>
      <c r="F366" s="14" t="n">
        <f aca="false">D366*E366</f>
        <v>3715118</v>
      </c>
      <c r="G366" s="27"/>
    </row>
    <row r="367" customFormat="false" ht="15" hidden="false" customHeight="false" outlineLevel="0" collapsed="false">
      <c r="A367" s="29" t="s">
        <v>742</v>
      </c>
      <c r="B367" s="27" t="s">
        <v>743</v>
      </c>
      <c r="C367" s="29" t="s">
        <v>731</v>
      </c>
      <c r="D367" s="32" t="n">
        <f aca="false">'PL.3A'!D375-'PL.3A'!G375</f>
        <v>1</v>
      </c>
      <c r="E367" s="36" t="n">
        <f aca="false">'PL.3A'!H375</f>
        <v>2979702</v>
      </c>
      <c r="F367" s="14" t="n">
        <f aca="false">D367*E367</f>
        <v>2979702</v>
      </c>
      <c r="G367" s="27"/>
    </row>
    <row r="368" customFormat="false" ht="15" hidden="false" customHeight="false" outlineLevel="0" collapsed="false">
      <c r="A368" s="29" t="s">
        <v>744</v>
      </c>
      <c r="B368" s="27" t="s">
        <v>745</v>
      </c>
      <c r="C368" s="29" t="s">
        <v>731</v>
      </c>
      <c r="D368" s="32" t="n">
        <f aca="false">'PL.3A'!D376-'PL.3A'!G376</f>
        <v>1</v>
      </c>
      <c r="E368" s="36" t="n">
        <f aca="false">'PL.3A'!H376</f>
        <v>727834</v>
      </c>
      <c r="F368" s="14" t="n">
        <f aca="false">D368*E368</f>
        <v>727834</v>
      </c>
      <c r="G368" s="27"/>
    </row>
    <row r="369" customFormat="false" ht="15" hidden="false" customHeight="false" outlineLevel="0" collapsed="false">
      <c r="A369" s="29" t="s">
        <v>746</v>
      </c>
      <c r="B369" s="27" t="s">
        <v>747</v>
      </c>
      <c r="C369" s="29" t="s">
        <v>748</v>
      </c>
      <c r="D369" s="32" t="n">
        <f aca="false">'PL.3A'!D377-'PL.3A'!G377</f>
        <v>8</v>
      </c>
      <c r="E369" s="36" t="n">
        <f aca="false">'PL.3A'!H377</f>
        <v>918945</v>
      </c>
      <c r="F369" s="14" t="n">
        <f aca="false">D369*E369</f>
        <v>7351560</v>
      </c>
      <c r="G369" s="27"/>
    </row>
    <row r="370" customFormat="false" ht="15" hidden="false" customHeight="false" outlineLevel="0" collapsed="false">
      <c r="A370" s="29" t="s">
        <v>749</v>
      </c>
      <c r="B370" s="27" t="s">
        <v>750</v>
      </c>
      <c r="C370" s="29" t="s">
        <v>731</v>
      </c>
      <c r="D370" s="32" t="n">
        <f aca="false">'PL.3A'!D378-'PL.3A'!G378</f>
        <v>1</v>
      </c>
      <c r="E370" s="36" t="n">
        <f aca="false">'PL.3A'!H378</f>
        <v>10993490</v>
      </c>
      <c r="F370" s="14" t="n">
        <f aca="false">D370*E370</f>
        <v>10993490</v>
      </c>
      <c r="G370" s="27"/>
    </row>
    <row r="371" customFormat="false" ht="15" hidden="false" customHeight="false" outlineLevel="0" collapsed="false">
      <c r="A371" s="29" t="s">
        <v>751</v>
      </c>
      <c r="B371" s="27" t="s">
        <v>752</v>
      </c>
      <c r="C371" s="29" t="s">
        <v>731</v>
      </c>
      <c r="D371" s="32" t="n">
        <f aca="false">'PL.3A'!D379-'PL.3A'!G379</f>
        <v>1</v>
      </c>
      <c r="E371" s="36" t="n">
        <f aca="false">'PL.3A'!H379</f>
        <v>36531243</v>
      </c>
      <c r="F371" s="14" t="n">
        <f aca="false">D371*E371</f>
        <v>36531243</v>
      </c>
      <c r="G371" s="27"/>
    </row>
    <row r="372" customFormat="false" ht="15" hidden="false" customHeight="false" outlineLevel="0" collapsed="false">
      <c r="A372" s="29" t="s">
        <v>753</v>
      </c>
      <c r="B372" s="27" t="s">
        <v>754</v>
      </c>
      <c r="C372" s="29" t="s">
        <v>224</v>
      </c>
      <c r="D372" s="32" t="n">
        <f aca="false">'PL.3A'!D380-'PL.3A'!G380</f>
        <v>146</v>
      </c>
      <c r="E372" s="36" t="n">
        <f aca="false">'PL.3A'!H380</f>
        <v>2577748</v>
      </c>
      <c r="F372" s="14" t="n">
        <f aca="false">D372*E372</f>
        <v>376351208</v>
      </c>
      <c r="G372" s="27"/>
    </row>
    <row r="373" customFormat="false" ht="15" hidden="false" customHeight="false" outlineLevel="0" collapsed="false">
      <c r="A373" s="29" t="s">
        <v>755</v>
      </c>
      <c r="B373" s="27" t="s">
        <v>756</v>
      </c>
      <c r="C373" s="29" t="s">
        <v>224</v>
      </c>
      <c r="D373" s="32" t="n">
        <f aca="false">'PL.3A'!D381-'PL.3A'!G381</f>
        <v>12</v>
      </c>
      <c r="E373" s="36" t="n">
        <f aca="false">'PL.3A'!H381</f>
        <v>110860</v>
      </c>
      <c r="F373" s="14" t="n">
        <f aca="false">D373*E373</f>
        <v>1330320</v>
      </c>
      <c r="G373" s="27"/>
    </row>
    <row r="374" customFormat="false" ht="15" hidden="false" customHeight="false" outlineLevel="0" collapsed="false">
      <c r="A374" s="29" t="s">
        <v>757</v>
      </c>
      <c r="B374" s="27" t="s">
        <v>758</v>
      </c>
      <c r="C374" s="29" t="s">
        <v>759</v>
      </c>
      <c r="D374" s="32" t="n">
        <f aca="false">'PL.3A'!D382-'PL.3A'!G382</f>
        <v>6</v>
      </c>
      <c r="E374" s="36" t="n">
        <f aca="false">'PL.3A'!H382</f>
        <v>65507</v>
      </c>
      <c r="F374" s="14" t="n">
        <f aca="false">D374*E374</f>
        <v>393042</v>
      </c>
      <c r="G374" s="27"/>
    </row>
    <row r="375" customFormat="false" ht="15" hidden="false" customHeight="false" outlineLevel="0" collapsed="false">
      <c r="A375" s="29" t="s">
        <v>760</v>
      </c>
      <c r="B375" s="27" t="s">
        <v>761</v>
      </c>
      <c r="C375" s="29" t="s">
        <v>731</v>
      </c>
      <c r="D375" s="32" t="n">
        <f aca="false">'PL.3A'!D383-'PL.3A'!G383</f>
        <v>1</v>
      </c>
      <c r="E375" s="36" t="n">
        <f aca="false">'PL.3A'!H383</f>
        <v>6181713</v>
      </c>
      <c r="F375" s="14" t="n">
        <f aca="false">D375*E375</f>
        <v>6181713</v>
      </c>
      <c r="G375" s="27"/>
    </row>
    <row r="376" customFormat="false" ht="15" hidden="false" customHeight="false" outlineLevel="0" collapsed="false">
      <c r="A376" s="29" t="s">
        <v>762</v>
      </c>
      <c r="B376" s="27" t="s">
        <v>763</v>
      </c>
      <c r="C376" s="29" t="s">
        <v>240</v>
      </c>
      <c r="D376" s="32" t="n">
        <f aca="false">'PL.3A'!D384-'PL.3A'!G384</f>
        <v>8</v>
      </c>
      <c r="E376" s="36" t="n">
        <f aca="false">'PL.3A'!H384</f>
        <v>145962</v>
      </c>
      <c r="F376" s="14" t="n">
        <f aca="false">D376*E376</f>
        <v>1167696</v>
      </c>
      <c r="G376" s="27"/>
    </row>
    <row r="377" customFormat="false" ht="15" hidden="false" customHeight="false" outlineLevel="0" collapsed="false">
      <c r="A377" s="29" t="s">
        <v>764</v>
      </c>
      <c r="B377" s="27" t="s">
        <v>765</v>
      </c>
      <c r="C377" s="29" t="s">
        <v>240</v>
      </c>
      <c r="D377" s="32" t="n">
        <f aca="false">'PL.3A'!D385-'PL.3A'!G385</f>
        <v>2</v>
      </c>
      <c r="E377" s="36" t="n">
        <f aca="false">'PL.3A'!H385</f>
        <v>290245</v>
      </c>
      <c r="F377" s="14" t="n">
        <f aca="false">D377*E377</f>
        <v>580490</v>
      </c>
      <c r="G377" s="27"/>
    </row>
    <row r="378" customFormat="false" ht="15" hidden="false" customHeight="false" outlineLevel="0" collapsed="false">
      <c r="A378" s="29" t="s">
        <v>766</v>
      </c>
      <c r="B378" s="27" t="s">
        <v>767</v>
      </c>
      <c r="C378" s="29" t="s">
        <v>224</v>
      </c>
      <c r="D378" s="32" t="n">
        <f aca="false">'PL.3A'!D386-'PL.3A'!G386</f>
        <v>27</v>
      </c>
      <c r="E378" s="36" t="n">
        <f aca="false">'PL.3A'!H386</f>
        <v>443772</v>
      </c>
      <c r="F378" s="14" t="n">
        <f aca="false">D378*E378</f>
        <v>11981844</v>
      </c>
      <c r="G378" s="27"/>
    </row>
    <row r="379" customFormat="false" ht="15" hidden="false" customHeight="false" outlineLevel="0" collapsed="false">
      <c r="A379" s="29" t="s">
        <v>768</v>
      </c>
      <c r="B379" s="27" t="s">
        <v>769</v>
      </c>
      <c r="C379" s="29" t="s">
        <v>224</v>
      </c>
      <c r="D379" s="32" t="n">
        <f aca="false">'PL.3A'!D387-'PL.3A'!G387</f>
        <v>11</v>
      </c>
      <c r="E379" s="36" t="n">
        <f aca="false">'PL.3A'!H387</f>
        <v>448517</v>
      </c>
      <c r="F379" s="14" t="n">
        <f aca="false">D379*E379</f>
        <v>4933687</v>
      </c>
      <c r="G379" s="27"/>
    </row>
    <row r="380" customFormat="false" ht="15" hidden="false" customHeight="false" outlineLevel="0" collapsed="false">
      <c r="A380" s="29" t="s">
        <v>770</v>
      </c>
      <c r="B380" s="27" t="s">
        <v>771</v>
      </c>
      <c r="C380" s="29" t="s">
        <v>224</v>
      </c>
      <c r="D380" s="32" t="n">
        <f aca="false">'PL.3A'!D388-'PL.3A'!G388</f>
        <v>124</v>
      </c>
      <c r="E380" s="36" t="n">
        <f aca="false">'PL.3A'!H388</f>
        <v>162128</v>
      </c>
      <c r="F380" s="14" t="n">
        <f aca="false">D380*E380</f>
        <v>20103872</v>
      </c>
      <c r="G380" s="27"/>
    </row>
    <row r="381" customFormat="false" ht="15" hidden="false" customHeight="false" outlineLevel="0" collapsed="false">
      <c r="A381" s="29" t="s">
        <v>772</v>
      </c>
      <c r="B381" s="27" t="s">
        <v>773</v>
      </c>
      <c r="C381" s="29" t="s">
        <v>224</v>
      </c>
      <c r="D381" s="32" t="n">
        <f aca="false">'PL.3A'!D389-'PL.3A'!G389</f>
        <v>15</v>
      </c>
      <c r="E381" s="36" t="n">
        <f aca="false">'PL.3A'!H389</f>
        <v>1183187</v>
      </c>
      <c r="F381" s="14" t="n">
        <f aca="false">D381*E381</f>
        <v>17747805</v>
      </c>
      <c r="G381" s="27"/>
    </row>
    <row r="382" customFormat="false" ht="15" hidden="false" customHeight="false" outlineLevel="0" collapsed="false">
      <c r="A382" s="29" t="s">
        <v>774</v>
      </c>
      <c r="B382" s="27" t="s">
        <v>775</v>
      </c>
      <c r="C382" s="29" t="s">
        <v>731</v>
      </c>
      <c r="D382" s="32" t="n">
        <f aca="false">'PL.3A'!D390-'PL.3A'!G390</f>
        <v>1</v>
      </c>
      <c r="E382" s="36" t="n">
        <f aca="false">'PL.3A'!H390</f>
        <v>954231</v>
      </c>
      <c r="F382" s="14" t="n">
        <f aca="false">D382*E382</f>
        <v>954231</v>
      </c>
      <c r="G382" s="27"/>
    </row>
    <row r="383" customFormat="false" ht="15" hidden="false" customHeight="false" outlineLevel="0" collapsed="false">
      <c r="A383" s="29" t="s">
        <v>776</v>
      </c>
      <c r="B383" s="27" t="s">
        <v>777</v>
      </c>
      <c r="C383" s="29" t="s">
        <v>778</v>
      </c>
      <c r="D383" s="32" t="n">
        <f aca="false">'PL.3A'!D391-'PL.3A'!G391</f>
        <v>1</v>
      </c>
      <c r="E383" s="36" t="n">
        <f aca="false">'PL.3A'!H391</f>
        <v>17161680</v>
      </c>
      <c r="F383" s="14" t="n">
        <f aca="false">D383*E383</f>
        <v>17161680</v>
      </c>
      <c r="G383" s="27"/>
    </row>
    <row r="384" customFormat="false" ht="15" hidden="false" customHeight="false" outlineLevel="0" collapsed="false">
      <c r="A384" s="29" t="s">
        <v>779</v>
      </c>
      <c r="B384" s="27" t="s">
        <v>780</v>
      </c>
      <c r="C384" s="29" t="s">
        <v>778</v>
      </c>
      <c r="D384" s="32" t="n">
        <f aca="false">'PL.3A'!D392-'PL.3A'!G392</f>
        <v>1</v>
      </c>
      <c r="E384" s="36" t="n">
        <f aca="false">'PL.3A'!H392</f>
        <v>24293764</v>
      </c>
      <c r="F384" s="14" t="n">
        <f aca="false">D384*E384</f>
        <v>24293764</v>
      </c>
      <c r="G384" s="27"/>
    </row>
    <row r="385" customFormat="false" ht="15" hidden="false" customHeight="false" outlineLevel="0" collapsed="false">
      <c r="A385" s="29" t="s">
        <v>781</v>
      </c>
      <c r="B385" s="27" t="s">
        <v>782</v>
      </c>
      <c r="C385" s="29" t="s">
        <v>224</v>
      </c>
      <c r="D385" s="32" t="n">
        <f aca="false">'PL.3A'!D393-'PL.3A'!G393</f>
        <v>36</v>
      </c>
      <c r="E385" s="36" t="n">
        <f aca="false">'PL.3A'!H393</f>
        <v>362876</v>
      </c>
      <c r="F385" s="14" t="n">
        <f aca="false">D385*E385</f>
        <v>13063536</v>
      </c>
      <c r="G385" s="27"/>
    </row>
    <row r="386" customFormat="false" ht="15" hidden="false" customHeight="false" outlineLevel="0" collapsed="false">
      <c r="A386" s="29" t="s">
        <v>783</v>
      </c>
      <c r="B386" s="27" t="s">
        <v>784</v>
      </c>
      <c r="C386" s="29" t="s">
        <v>759</v>
      </c>
      <c r="D386" s="32" t="n">
        <f aca="false">'PL.3A'!D394-'PL.3A'!G394</f>
        <v>8</v>
      </c>
      <c r="E386" s="36" t="n">
        <f aca="false">'PL.3A'!H394</f>
        <v>96479</v>
      </c>
      <c r="F386" s="14" t="n">
        <f aca="false">D386*E386</f>
        <v>771832</v>
      </c>
      <c r="G386" s="27"/>
    </row>
    <row r="387" customFormat="false" ht="15" hidden="false" customHeight="false" outlineLevel="0" collapsed="false">
      <c r="A387" s="29" t="s">
        <v>785</v>
      </c>
      <c r="B387" s="27" t="s">
        <v>786</v>
      </c>
      <c r="C387" s="29" t="s">
        <v>759</v>
      </c>
      <c r="D387" s="32" t="n">
        <f aca="false">'PL.3A'!D395-'PL.3A'!G395</f>
        <v>9</v>
      </c>
      <c r="E387" s="36" t="n">
        <f aca="false">'PL.3A'!H395</f>
        <v>139908</v>
      </c>
      <c r="F387" s="14" t="n">
        <f aca="false">D387*E387</f>
        <v>1259172</v>
      </c>
      <c r="G387" s="27"/>
    </row>
    <row r="388" customFormat="false" ht="15" hidden="false" customHeight="false" outlineLevel="0" collapsed="false">
      <c r="A388" s="29" t="s">
        <v>787</v>
      </c>
      <c r="B388" s="27" t="s">
        <v>788</v>
      </c>
      <c r="C388" s="29" t="s">
        <v>240</v>
      </c>
      <c r="D388" s="32" t="n">
        <f aca="false">'PL.3A'!D396-'PL.3A'!G396</f>
        <v>12</v>
      </c>
      <c r="E388" s="36" t="n">
        <f aca="false">'PL.3A'!H396</f>
        <v>72687</v>
      </c>
      <c r="F388" s="14" t="n">
        <f aca="false">D388*E388</f>
        <v>872244</v>
      </c>
      <c r="G388" s="27"/>
    </row>
    <row r="389" customFormat="false" ht="15" hidden="false" customHeight="false" outlineLevel="0" collapsed="false">
      <c r="A389" s="29" t="s">
        <v>789</v>
      </c>
      <c r="B389" s="27" t="s">
        <v>790</v>
      </c>
      <c r="C389" s="29" t="s">
        <v>193</v>
      </c>
      <c r="D389" s="32" t="n">
        <f aca="false">'PL.3A'!D397-'PL.3A'!G397</f>
        <v>2</v>
      </c>
      <c r="E389" s="36" t="n">
        <f aca="false">'PL.3A'!H397</f>
        <v>11126634</v>
      </c>
      <c r="F389" s="14" t="n">
        <f aca="false">D389*E389</f>
        <v>22253268</v>
      </c>
      <c r="G389" s="27"/>
    </row>
    <row r="390" customFormat="false" ht="15" hidden="false" customHeight="false" outlineLevel="0" collapsed="false">
      <c r="A390" s="29" t="s">
        <v>791</v>
      </c>
      <c r="B390" s="27" t="s">
        <v>792</v>
      </c>
      <c r="C390" s="29" t="s">
        <v>574</v>
      </c>
      <c r="D390" s="32" t="n">
        <f aca="false">'PL.3A'!D398-'PL.3A'!G398</f>
        <v>1</v>
      </c>
      <c r="E390" s="36" t="n">
        <f aca="false">'PL.3A'!H398</f>
        <v>2884369</v>
      </c>
      <c r="F390" s="14" t="n">
        <f aca="false">D390*E390</f>
        <v>2884369</v>
      </c>
      <c r="G390" s="27"/>
    </row>
    <row r="391" customFormat="false" ht="15" hidden="false" customHeight="false" outlineLevel="0" collapsed="false">
      <c r="A391" s="12" t="s">
        <v>793</v>
      </c>
      <c r="B391" s="13" t="s">
        <v>794</v>
      </c>
      <c r="C391" s="27"/>
      <c r="D391" s="27"/>
      <c r="E391" s="27"/>
      <c r="F391" s="27"/>
      <c r="G391" s="27"/>
    </row>
    <row r="392" customFormat="false" ht="15" hidden="false" customHeight="false" outlineLevel="0" collapsed="false">
      <c r="A392" s="29" t="s">
        <v>795</v>
      </c>
      <c r="B392" s="27" t="s">
        <v>796</v>
      </c>
      <c r="C392" s="29" t="s">
        <v>797</v>
      </c>
      <c r="D392" s="32" t="n">
        <f aca="false">'PL.3A'!D400-'PL.3A'!G400</f>
        <v>1</v>
      </c>
      <c r="E392" s="36" t="n">
        <f aca="false">'PL.3A'!H400</f>
        <v>16012691</v>
      </c>
      <c r="F392" s="14" t="n">
        <f aca="false">D392*E392</f>
        <v>16012691</v>
      </c>
      <c r="G392" s="27"/>
    </row>
    <row r="393" customFormat="false" ht="15" hidden="false" customHeight="false" outlineLevel="0" collapsed="false">
      <c r="A393" s="29" t="s">
        <v>798</v>
      </c>
      <c r="B393" s="27" t="s">
        <v>799</v>
      </c>
      <c r="C393" s="29" t="s">
        <v>193</v>
      </c>
      <c r="D393" s="32" t="n">
        <f aca="false">'PL.3A'!D401-'PL.3A'!G401</f>
        <v>1</v>
      </c>
      <c r="E393" s="36" t="n">
        <f aca="false">'PL.3A'!H401</f>
        <v>14708153</v>
      </c>
      <c r="F393" s="14" t="n">
        <f aca="false">D393*E393</f>
        <v>14708153</v>
      </c>
      <c r="G393" s="27"/>
    </row>
    <row r="394" customFormat="false" ht="15" hidden="false" customHeight="false" outlineLevel="0" collapsed="false">
      <c r="A394" s="29" t="s">
        <v>800</v>
      </c>
      <c r="B394" s="27" t="s">
        <v>801</v>
      </c>
      <c r="C394" s="29" t="s">
        <v>224</v>
      </c>
      <c r="D394" s="32" t="n">
        <f aca="false">'PL.3A'!D402-'PL.3A'!G402</f>
        <v>30</v>
      </c>
      <c r="E394" s="36" t="n">
        <f aca="false">'PL.3A'!H402</f>
        <v>917226</v>
      </c>
      <c r="F394" s="14" t="n">
        <f aca="false">D394*E394</f>
        <v>27516780</v>
      </c>
      <c r="G394" s="27"/>
    </row>
    <row r="395" customFormat="false" ht="15" hidden="false" customHeight="false" outlineLevel="0" collapsed="false">
      <c r="A395" s="29" t="s">
        <v>802</v>
      </c>
      <c r="B395" s="27" t="s">
        <v>803</v>
      </c>
      <c r="C395" s="29" t="s">
        <v>240</v>
      </c>
      <c r="D395" s="32" t="n">
        <f aca="false">'PL.3A'!D403-'PL.3A'!G403</f>
        <v>2</v>
      </c>
      <c r="E395" s="36" t="n">
        <f aca="false">'PL.3A'!H403</f>
        <v>24293764</v>
      </c>
      <c r="F395" s="14" t="n">
        <f aca="false">D395*E395</f>
        <v>48587528</v>
      </c>
      <c r="G395" s="27"/>
    </row>
    <row r="396" customFormat="false" ht="15" hidden="false" customHeight="false" outlineLevel="0" collapsed="false">
      <c r="A396" s="29" t="s">
        <v>804</v>
      </c>
      <c r="B396" s="27" t="s">
        <v>805</v>
      </c>
      <c r="C396" s="29" t="s">
        <v>224</v>
      </c>
      <c r="D396" s="32" t="n">
        <f aca="false">'PL.3A'!D404-'PL.3A'!G404</f>
        <v>35</v>
      </c>
      <c r="E396" s="36" t="n">
        <f aca="false">'PL.3A'!H404</f>
        <v>649827</v>
      </c>
      <c r="F396" s="14" t="n">
        <f aca="false">D396*E396</f>
        <v>22743945</v>
      </c>
      <c r="G396" s="27"/>
    </row>
    <row r="397" customFormat="false" ht="15" hidden="false" customHeight="false" outlineLevel="0" collapsed="false">
      <c r="A397" s="29" t="s">
        <v>806</v>
      </c>
      <c r="B397" s="27" t="s">
        <v>807</v>
      </c>
      <c r="C397" s="29" t="s">
        <v>224</v>
      </c>
      <c r="D397" s="32" t="n">
        <f aca="false">'PL.3A'!D405-'PL.3A'!G405</f>
        <v>12</v>
      </c>
      <c r="E397" s="36" t="n">
        <f aca="false">'PL.3A'!H405</f>
        <v>605260</v>
      </c>
      <c r="F397" s="14" t="n">
        <f aca="false">D397*E397</f>
        <v>7263120</v>
      </c>
      <c r="G397" s="27"/>
    </row>
    <row r="398" customFormat="false" ht="15" hidden="false" customHeight="false" outlineLevel="0" collapsed="false">
      <c r="A398" s="29" t="s">
        <v>808</v>
      </c>
      <c r="B398" s="27" t="s">
        <v>809</v>
      </c>
      <c r="C398" s="29" t="s">
        <v>240</v>
      </c>
      <c r="D398" s="32" t="n">
        <f aca="false">'PL.3A'!D406-'PL.3A'!G406</f>
        <v>14</v>
      </c>
      <c r="E398" s="36" t="n">
        <f aca="false">'PL.3A'!H406</f>
        <v>281892</v>
      </c>
      <c r="F398" s="14" t="n">
        <f aca="false">D398*E398</f>
        <v>3946488</v>
      </c>
      <c r="G398" s="27"/>
    </row>
    <row r="399" customFormat="false" ht="15" hidden="false" customHeight="false" outlineLevel="0" collapsed="false">
      <c r="A399" s="29" t="s">
        <v>810</v>
      </c>
      <c r="B399" s="27" t="s">
        <v>811</v>
      </c>
      <c r="C399" s="29" t="s">
        <v>193</v>
      </c>
      <c r="D399" s="32" t="n">
        <f aca="false">'PL.3A'!D407-'PL.3A'!G407</f>
        <v>2</v>
      </c>
      <c r="E399" s="36" t="n">
        <f aca="false">'PL.3A'!H407</f>
        <v>465400</v>
      </c>
      <c r="F399" s="14" t="n">
        <f aca="false">D399*E399</f>
        <v>930800</v>
      </c>
      <c r="G399" s="27"/>
    </row>
    <row r="400" customFormat="false" ht="15" hidden="false" customHeight="false" outlineLevel="0" collapsed="false">
      <c r="A400" s="29" t="s">
        <v>812</v>
      </c>
      <c r="B400" s="27" t="s">
        <v>813</v>
      </c>
      <c r="C400" s="29" t="s">
        <v>814</v>
      </c>
      <c r="D400" s="32" t="n">
        <f aca="false">'PL.3A'!D408-'PL.3A'!G408</f>
        <v>1</v>
      </c>
      <c r="E400" s="36" t="n">
        <f aca="false">'PL.3A'!H408</f>
        <v>759002</v>
      </c>
      <c r="F400" s="14" t="n">
        <f aca="false">D400*E400</f>
        <v>759002</v>
      </c>
      <c r="G400" s="27"/>
    </row>
    <row r="401" customFormat="false" ht="15" hidden="false" customHeight="false" outlineLevel="0" collapsed="false">
      <c r="A401" s="29" t="s">
        <v>815</v>
      </c>
      <c r="B401" s="27" t="s">
        <v>792</v>
      </c>
      <c r="C401" s="29" t="s">
        <v>574</v>
      </c>
      <c r="D401" s="32" t="n">
        <f aca="false">'PL.3A'!D409-'PL.3A'!G409</f>
        <v>1</v>
      </c>
      <c r="E401" s="36" t="n">
        <f aca="false">'PL.3A'!H409</f>
        <v>2884369</v>
      </c>
      <c r="F401" s="14" t="n">
        <f aca="false">D401*E401</f>
        <v>2884369</v>
      </c>
      <c r="G401" s="27"/>
    </row>
    <row r="402" customFormat="false" ht="15" hidden="false" customHeight="false" outlineLevel="0" collapsed="false">
      <c r="A402" s="12" t="s">
        <v>816</v>
      </c>
      <c r="B402" s="13" t="s">
        <v>817</v>
      </c>
      <c r="C402" s="27"/>
      <c r="D402" s="27"/>
      <c r="E402" s="27"/>
      <c r="F402" s="27"/>
      <c r="G402" s="27"/>
    </row>
    <row r="403" customFormat="false" ht="15" hidden="false" customHeight="false" outlineLevel="0" collapsed="false">
      <c r="A403" s="29" t="s">
        <v>818</v>
      </c>
      <c r="B403" s="27" t="s">
        <v>819</v>
      </c>
      <c r="C403" s="29" t="s">
        <v>224</v>
      </c>
      <c r="D403" s="32" t="n">
        <f aca="false">'PL.3A'!D411-'PL.3A'!G411</f>
        <v>50</v>
      </c>
      <c r="E403" s="36" t="n">
        <f aca="false">'PL.3A'!H411</f>
        <v>194866</v>
      </c>
      <c r="F403" s="14" t="n">
        <f aca="false">D403*E403</f>
        <v>9743300</v>
      </c>
      <c r="G403" s="27"/>
    </row>
    <row r="404" customFormat="false" ht="15" hidden="false" customHeight="false" outlineLevel="0" collapsed="false">
      <c r="A404" s="29" t="s">
        <v>820</v>
      </c>
      <c r="B404" s="27" t="s">
        <v>821</v>
      </c>
      <c r="C404" s="29" t="s">
        <v>224</v>
      </c>
      <c r="D404" s="32" t="n">
        <f aca="false">'PL.3A'!D412-'PL.3A'!G412</f>
        <v>858</v>
      </c>
      <c r="E404" s="36" t="n">
        <f aca="false">'PL.3A'!H412</f>
        <v>79511</v>
      </c>
      <c r="F404" s="14" t="n">
        <f aca="false">D404*E404</f>
        <v>68220438</v>
      </c>
      <c r="G404" s="27"/>
    </row>
    <row r="405" customFormat="false" ht="15" hidden="false" customHeight="false" outlineLevel="0" collapsed="false">
      <c r="A405" s="29" t="s">
        <v>822</v>
      </c>
      <c r="B405" s="27" t="s">
        <v>823</v>
      </c>
      <c r="C405" s="29" t="s">
        <v>224</v>
      </c>
      <c r="D405" s="32" t="n">
        <f aca="false">'PL.3A'!D413-'PL.3A'!G413</f>
        <v>2045</v>
      </c>
      <c r="E405" s="36" t="n">
        <f aca="false">'PL.3A'!H413</f>
        <v>27166</v>
      </c>
      <c r="F405" s="14" t="n">
        <f aca="false">D405*E405</f>
        <v>55554470</v>
      </c>
      <c r="G405" s="27"/>
    </row>
    <row r="406" customFormat="false" ht="15" hidden="false" customHeight="false" outlineLevel="0" collapsed="false">
      <c r="A406" s="29" t="s">
        <v>824</v>
      </c>
      <c r="B406" s="27" t="s">
        <v>825</v>
      </c>
      <c r="C406" s="29" t="s">
        <v>224</v>
      </c>
      <c r="D406" s="32" t="n">
        <f aca="false">'PL.3A'!D414-'PL.3A'!G414</f>
        <v>158</v>
      </c>
      <c r="E406" s="36" t="n">
        <f aca="false">'PL.3A'!H414</f>
        <v>179653</v>
      </c>
      <c r="F406" s="14" t="n">
        <f aca="false">D406*E406</f>
        <v>28385174</v>
      </c>
      <c r="G406" s="27"/>
    </row>
    <row r="407" customFormat="false" ht="15" hidden="false" customHeight="false" outlineLevel="0" collapsed="false">
      <c r="A407" s="29" t="s">
        <v>826</v>
      </c>
      <c r="B407" s="27" t="s">
        <v>827</v>
      </c>
      <c r="C407" s="29" t="s">
        <v>224</v>
      </c>
      <c r="D407" s="32" t="n">
        <f aca="false">'PL.3A'!D415-'PL.3A'!G415</f>
        <v>807</v>
      </c>
      <c r="E407" s="36" t="n">
        <f aca="false">'PL.3A'!H415</f>
        <v>1807450</v>
      </c>
      <c r="F407" s="14" t="n">
        <f aca="false">D407*E407</f>
        <v>1458612150</v>
      </c>
      <c r="G407" s="27"/>
    </row>
    <row r="408" customFormat="false" ht="15" hidden="false" customHeight="false" outlineLevel="0" collapsed="false">
      <c r="A408" s="29" t="s">
        <v>828</v>
      </c>
      <c r="B408" s="27" t="s">
        <v>829</v>
      </c>
      <c r="C408" s="29" t="s">
        <v>224</v>
      </c>
      <c r="D408" s="32" t="n">
        <f aca="false">'PL.3A'!D416-'PL.3A'!G416</f>
        <v>97</v>
      </c>
      <c r="E408" s="36" t="n">
        <f aca="false">'PL.3A'!H416</f>
        <v>2300188</v>
      </c>
      <c r="F408" s="14" t="n">
        <f aca="false">D408*E408</f>
        <v>223118236</v>
      </c>
      <c r="G408" s="27"/>
    </row>
    <row r="409" customFormat="false" ht="15" hidden="false" customHeight="false" outlineLevel="0" collapsed="false">
      <c r="A409" s="29" t="s">
        <v>830</v>
      </c>
      <c r="B409" s="27" t="s">
        <v>831</v>
      </c>
      <c r="C409" s="29" t="s">
        <v>832</v>
      </c>
      <c r="D409" s="32" t="n">
        <f aca="false">'PL.3A'!D417-'PL.3A'!G417</f>
        <v>8</v>
      </c>
      <c r="E409" s="36" t="n">
        <f aca="false">'PL.3A'!H417</f>
        <v>16568319</v>
      </c>
      <c r="F409" s="14" t="n">
        <f aca="false">D409*E409</f>
        <v>132546552</v>
      </c>
      <c r="G409" s="27"/>
    </row>
    <row r="410" customFormat="false" ht="15" hidden="false" customHeight="false" outlineLevel="0" collapsed="false">
      <c r="A410" s="29" t="s">
        <v>833</v>
      </c>
      <c r="B410" s="27" t="s">
        <v>834</v>
      </c>
      <c r="C410" s="29" t="s">
        <v>835</v>
      </c>
      <c r="D410" s="32" t="n">
        <f aca="false">'PL.3A'!D418-'PL.3A'!G418</f>
        <v>8</v>
      </c>
      <c r="E410" s="36" t="n">
        <f aca="false">'PL.3A'!H418</f>
        <v>2828048</v>
      </c>
      <c r="F410" s="14" t="n">
        <f aca="false">D410*E410</f>
        <v>22624384</v>
      </c>
      <c r="G410" s="27"/>
    </row>
    <row r="411" customFormat="false" ht="15" hidden="false" customHeight="false" outlineLevel="0" collapsed="false">
      <c r="A411" s="29" t="s">
        <v>836</v>
      </c>
      <c r="B411" s="27" t="s">
        <v>837</v>
      </c>
      <c r="C411" s="29" t="s">
        <v>193</v>
      </c>
      <c r="D411" s="32" t="n">
        <f aca="false">'PL.3A'!D419-'PL.3A'!G419</f>
        <v>8</v>
      </c>
      <c r="E411" s="36" t="n">
        <f aca="false">'PL.3A'!H419</f>
        <v>1712411</v>
      </c>
      <c r="F411" s="14" t="n">
        <f aca="false">D411*E411</f>
        <v>13699288</v>
      </c>
      <c r="G411" s="27"/>
    </row>
    <row r="412" customFormat="false" ht="15" hidden="false" customHeight="false" outlineLevel="0" collapsed="false">
      <c r="A412" s="29" t="s">
        <v>838</v>
      </c>
      <c r="B412" s="27" t="s">
        <v>788</v>
      </c>
      <c r="C412" s="29" t="s">
        <v>759</v>
      </c>
      <c r="D412" s="32" t="n">
        <f aca="false">'PL.3A'!D420-'PL.3A'!G420</f>
        <v>5</v>
      </c>
      <c r="E412" s="36" t="n">
        <f aca="false">'PL.3A'!H420</f>
        <v>72687</v>
      </c>
      <c r="F412" s="14" t="n">
        <f aca="false">D412*E412</f>
        <v>363435</v>
      </c>
      <c r="G412" s="27"/>
    </row>
    <row r="413" customFormat="false" ht="15" hidden="false" customHeight="false" outlineLevel="0" collapsed="false">
      <c r="A413" s="29" t="s">
        <v>839</v>
      </c>
      <c r="B413" s="27" t="s">
        <v>840</v>
      </c>
      <c r="C413" s="29" t="s">
        <v>240</v>
      </c>
      <c r="D413" s="32" t="n">
        <f aca="false">'PL.3A'!D421-'PL.3A'!G421</f>
        <v>32</v>
      </c>
      <c r="E413" s="36" t="n">
        <f aca="false">'PL.3A'!H421</f>
        <v>290245</v>
      </c>
      <c r="F413" s="14" t="n">
        <f aca="false">D413*E413</f>
        <v>9287840</v>
      </c>
      <c r="G413" s="27"/>
    </row>
    <row r="414" customFormat="false" ht="15" hidden="false" customHeight="false" outlineLevel="0" collapsed="false">
      <c r="A414" s="29" t="s">
        <v>841</v>
      </c>
      <c r="B414" s="27" t="s">
        <v>842</v>
      </c>
      <c r="C414" s="29" t="s">
        <v>778</v>
      </c>
      <c r="D414" s="32" t="n">
        <f aca="false">'PL.3A'!D422-'PL.3A'!G422</f>
        <v>20</v>
      </c>
      <c r="E414" s="36" t="n">
        <f aca="false">'PL.3A'!H422</f>
        <v>2191412</v>
      </c>
      <c r="F414" s="14" t="n">
        <f aca="false">D414*E414</f>
        <v>43828240</v>
      </c>
      <c r="G414" s="27"/>
    </row>
    <row r="415" customFormat="false" ht="15" hidden="false" customHeight="false" outlineLevel="0" collapsed="false">
      <c r="A415" s="29" t="s">
        <v>843</v>
      </c>
      <c r="B415" s="27" t="s">
        <v>844</v>
      </c>
      <c r="C415" s="29" t="s">
        <v>778</v>
      </c>
      <c r="D415" s="32" t="n">
        <f aca="false">'PL.3A'!D423-'PL.3A'!G423</f>
        <v>4</v>
      </c>
      <c r="E415" s="36" t="n">
        <f aca="false">'PL.3A'!H423</f>
        <v>2562973</v>
      </c>
      <c r="F415" s="14" t="n">
        <f aca="false">D415*E415</f>
        <v>10251892</v>
      </c>
      <c r="G415" s="27"/>
    </row>
    <row r="416" customFormat="false" ht="15" hidden="false" customHeight="false" outlineLevel="0" collapsed="false">
      <c r="A416" s="29" t="s">
        <v>845</v>
      </c>
      <c r="B416" s="27" t="s">
        <v>846</v>
      </c>
      <c r="C416" s="29" t="s">
        <v>224</v>
      </c>
      <c r="D416" s="32" t="n">
        <f aca="false">'PL.3A'!D424-'PL.3A'!G424</f>
        <v>19</v>
      </c>
      <c r="E416" s="36" t="n">
        <f aca="false">'PL.3A'!H424</f>
        <v>261046</v>
      </c>
      <c r="F416" s="14" t="n">
        <f aca="false">D416*E416</f>
        <v>4959874</v>
      </c>
      <c r="G416" s="27"/>
    </row>
    <row r="417" customFormat="false" ht="15" hidden="false" customHeight="false" outlineLevel="0" collapsed="false">
      <c r="A417" s="29" t="s">
        <v>847</v>
      </c>
      <c r="B417" s="27" t="s">
        <v>848</v>
      </c>
      <c r="C417" s="29" t="s">
        <v>759</v>
      </c>
      <c r="D417" s="32" t="n">
        <f aca="false">'PL.3A'!D425-'PL.3A'!G425</f>
        <v>16</v>
      </c>
      <c r="E417" s="36" t="n">
        <f aca="false">'PL.3A'!H425</f>
        <v>60698</v>
      </c>
      <c r="F417" s="14" t="n">
        <f aca="false">D417*E417</f>
        <v>971168</v>
      </c>
      <c r="G417" s="27"/>
    </row>
    <row r="418" customFormat="false" ht="15" hidden="false" customHeight="false" outlineLevel="0" collapsed="false">
      <c r="A418" s="29" t="s">
        <v>849</v>
      </c>
      <c r="B418" s="27" t="s">
        <v>792</v>
      </c>
      <c r="C418" s="29" t="s">
        <v>574</v>
      </c>
      <c r="D418" s="32" t="n">
        <f aca="false">'PL.3A'!D426-'PL.3A'!G426</f>
        <v>2</v>
      </c>
      <c r="E418" s="36" t="n">
        <f aca="false">'PL.3A'!H426</f>
        <v>2884369</v>
      </c>
      <c r="F418" s="14" t="n">
        <f aca="false">D418*E418</f>
        <v>5768738</v>
      </c>
      <c r="G418" s="27"/>
    </row>
    <row r="419" customFormat="false" ht="15" hidden="false" customHeight="false" outlineLevel="0" collapsed="false">
      <c r="A419" s="12" t="s">
        <v>850</v>
      </c>
      <c r="B419" s="13" t="s">
        <v>851</v>
      </c>
      <c r="C419" s="27"/>
      <c r="D419" s="27"/>
      <c r="E419" s="27"/>
      <c r="F419" s="27"/>
      <c r="G419" s="27"/>
    </row>
    <row r="420" customFormat="false" ht="15" hidden="false" customHeight="false" outlineLevel="0" collapsed="false">
      <c r="A420" s="29" t="s">
        <v>852</v>
      </c>
      <c r="B420" s="27" t="s">
        <v>853</v>
      </c>
      <c r="C420" s="29" t="s">
        <v>832</v>
      </c>
      <c r="D420" s="32" t="n">
        <f aca="false">'PL.3A'!D428-'PL.3A'!G428</f>
        <v>1</v>
      </c>
      <c r="E420" s="36" t="n">
        <f aca="false">'PL.3A'!H428</f>
        <v>19081282</v>
      </c>
      <c r="F420" s="14" t="n">
        <f aca="false">D420*E420</f>
        <v>19081282</v>
      </c>
      <c r="G420" s="27"/>
    </row>
    <row r="421" customFormat="false" ht="15" hidden="false" customHeight="false" outlineLevel="0" collapsed="false">
      <c r="A421" s="29" t="s">
        <v>854</v>
      </c>
      <c r="B421" s="27" t="s">
        <v>855</v>
      </c>
      <c r="C421" s="29" t="s">
        <v>856</v>
      </c>
      <c r="D421" s="32" t="n">
        <f aca="false">'PL.3A'!D429-'PL.3A'!G429</f>
        <v>27</v>
      </c>
      <c r="E421" s="36" t="n">
        <f aca="false">'PL.3A'!H429</f>
        <v>7866459</v>
      </c>
      <c r="F421" s="14" t="n">
        <f aca="false">D421*E421</f>
        <v>212394393</v>
      </c>
      <c r="G421" s="27"/>
    </row>
    <row r="422" customFormat="false" ht="15" hidden="false" customHeight="false" outlineLevel="0" collapsed="false">
      <c r="A422" s="29" t="s">
        <v>857</v>
      </c>
      <c r="B422" s="27" t="s">
        <v>858</v>
      </c>
      <c r="C422" s="29" t="s">
        <v>856</v>
      </c>
      <c r="D422" s="32" t="n">
        <f aca="false">'PL.3A'!D430-'PL.3A'!G430</f>
        <v>2</v>
      </c>
      <c r="E422" s="36" t="n">
        <f aca="false">'PL.3A'!H430</f>
        <v>8745293</v>
      </c>
      <c r="F422" s="14" t="n">
        <f aca="false">D422*E422</f>
        <v>17490586</v>
      </c>
      <c r="G422" s="27"/>
    </row>
    <row r="423" customFormat="false" ht="15" hidden="false" customHeight="false" outlineLevel="0" collapsed="false">
      <c r="A423" s="29" t="s">
        <v>859</v>
      </c>
      <c r="B423" s="27" t="s">
        <v>860</v>
      </c>
      <c r="C423" s="29" t="s">
        <v>835</v>
      </c>
      <c r="D423" s="32" t="n">
        <f aca="false">'PL.3A'!D431-'PL.3A'!G431</f>
        <v>1</v>
      </c>
      <c r="E423" s="36" t="n">
        <f aca="false">'PL.3A'!H431</f>
        <v>1795689</v>
      </c>
      <c r="F423" s="14" t="n">
        <f aca="false">D423*E423</f>
        <v>1795689</v>
      </c>
      <c r="G423" s="27"/>
    </row>
    <row r="424" customFormat="false" ht="15" hidden="false" customHeight="false" outlineLevel="0" collapsed="false">
      <c r="A424" s="29" t="s">
        <v>861</v>
      </c>
      <c r="B424" s="27" t="s">
        <v>862</v>
      </c>
      <c r="C424" s="29" t="s">
        <v>835</v>
      </c>
      <c r="D424" s="32" t="n">
        <f aca="false">'PL.3A'!D432-'PL.3A'!G432</f>
        <v>29</v>
      </c>
      <c r="E424" s="36" t="n">
        <f aca="false">'PL.3A'!H432</f>
        <v>2330609</v>
      </c>
      <c r="F424" s="14" t="n">
        <f aca="false">D424*E424</f>
        <v>67587661</v>
      </c>
      <c r="G424" s="27"/>
    </row>
    <row r="425" customFormat="false" ht="15" hidden="false" customHeight="false" outlineLevel="0" collapsed="false">
      <c r="A425" s="29" t="s">
        <v>863</v>
      </c>
      <c r="B425" s="27" t="s">
        <v>864</v>
      </c>
      <c r="C425" s="29" t="s">
        <v>224</v>
      </c>
      <c r="D425" s="32" t="n">
        <f aca="false">'PL.3A'!D433-'PL.3A'!G433</f>
        <v>15</v>
      </c>
      <c r="E425" s="36" t="n">
        <f aca="false">'PL.3A'!H433</f>
        <v>951835</v>
      </c>
      <c r="F425" s="14" t="n">
        <f aca="false">D425*E425</f>
        <v>14277525</v>
      </c>
      <c r="G425" s="27"/>
    </row>
    <row r="426" customFormat="false" ht="15" hidden="false" customHeight="false" outlineLevel="0" collapsed="false">
      <c r="A426" s="29" t="s">
        <v>865</v>
      </c>
      <c r="B426" s="27" t="s">
        <v>866</v>
      </c>
      <c r="C426" s="29" t="s">
        <v>224</v>
      </c>
      <c r="D426" s="32" t="n">
        <f aca="false">'PL.3A'!D434-'PL.3A'!G434</f>
        <v>983</v>
      </c>
      <c r="E426" s="36" t="n">
        <f aca="false">'PL.3A'!H434</f>
        <v>329826</v>
      </c>
      <c r="F426" s="14" t="n">
        <f aca="false">D426*E426</f>
        <v>324218958</v>
      </c>
      <c r="G426" s="27"/>
    </row>
    <row r="427" customFormat="false" ht="15" hidden="false" customHeight="false" outlineLevel="0" collapsed="false">
      <c r="A427" s="29" t="s">
        <v>867</v>
      </c>
      <c r="B427" s="27" t="s">
        <v>868</v>
      </c>
      <c r="C427" s="29" t="s">
        <v>224</v>
      </c>
      <c r="D427" s="32" t="n">
        <f aca="false">'PL.3A'!D435-'PL.3A'!G435</f>
        <v>993</v>
      </c>
      <c r="E427" s="36" t="n">
        <f aca="false">'PL.3A'!H435</f>
        <v>66779</v>
      </c>
      <c r="F427" s="14" t="n">
        <f aca="false">D427*E427</f>
        <v>66311547</v>
      </c>
      <c r="G427" s="27"/>
    </row>
    <row r="428" customFormat="false" ht="15" hidden="false" customHeight="false" outlineLevel="0" collapsed="false">
      <c r="A428" s="29" t="s">
        <v>869</v>
      </c>
      <c r="B428" s="27" t="s">
        <v>870</v>
      </c>
      <c r="C428" s="29" t="s">
        <v>193</v>
      </c>
      <c r="D428" s="32" t="n">
        <f aca="false">'PL.3A'!D436-'PL.3A'!G436</f>
        <v>1</v>
      </c>
      <c r="E428" s="36" t="n">
        <f aca="false">'PL.3A'!H436</f>
        <v>3613994</v>
      </c>
      <c r="F428" s="14" t="n">
        <f aca="false">D428*E428</f>
        <v>3613994</v>
      </c>
      <c r="G428" s="27"/>
    </row>
    <row r="429" customFormat="false" ht="15" hidden="false" customHeight="false" outlineLevel="0" collapsed="false">
      <c r="A429" s="29" t="s">
        <v>871</v>
      </c>
      <c r="B429" s="27" t="s">
        <v>872</v>
      </c>
      <c r="C429" s="29" t="s">
        <v>731</v>
      </c>
      <c r="D429" s="32" t="n">
        <f aca="false">'PL.3A'!D437-'PL.3A'!G437</f>
        <v>29</v>
      </c>
      <c r="E429" s="36" t="n">
        <f aca="false">'PL.3A'!H437</f>
        <v>816304</v>
      </c>
      <c r="F429" s="14" t="n">
        <f aca="false">D429*E429</f>
        <v>23672816</v>
      </c>
      <c r="G429" s="27"/>
    </row>
    <row r="430" customFormat="false" ht="15" hidden="false" customHeight="false" outlineLevel="0" collapsed="false">
      <c r="A430" s="29" t="s">
        <v>873</v>
      </c>
      <c r="B430" s="27" t="s">
        <v>874</v>
      </c>
      <c r="C430" s="29" t="s">
        <v>224</v>
      </c>
      <c r="D430" s="32" t="n">
        <f aca="false">'PL.3A'!D438-'PL.3A'!G438</f>
        <v>8</v>
      </c>
      <c r="E430" s="36" t="n">
        <f aca="false">'PL.3A'!H438</f>
        <v>165183</v>
      </c>
      <c r="F430" s="14" t="n">
        <f aca="false">D430*E430</f>
        <v>1321464</v>
      </c>
      <c r="G430" s="27"/>
    </row>
    <row r="431" customFormat="false" ht="15" hidden="false" customHeight="false" outlineLevel="0" collapsed="false">
      <c r="A431" s="29" t="s">
        <v>875</v>
      </c>
      <c r="B431" s="27" t="s">
        <v>876</v>
      </c>
      <c r="C431" s="29" t="s">
        <v>224</v>
      </c>
      <c r="D431" s="32" t="n">
        <f aca="false">'PL.3A'!D439-'PL.3A'!G439</f>
        <v>144</v>
      </c>
      <c r="E431" s="36" t="n">
        <f aca="false">'PL.3A'!H439</f>
        <v>165183</v>
      </c>
      <c r="F431" s="14" t="n">
        <f aca="false">D431*E431</f>
        <v>23786352</v>
      </c>
      <c r="G431" s="27"/>
    </row>
    <row r="432" customFormat="false" ht="15" hidden="false" customHeight="false" outlineLevel="0" collapsed="false">
      <c r="A432" s="29" t="s">
        <v>877</v>
      </c>
      <c r="B432" s="27" t="s">
        <v>878</v>
      </c>
      <c r="C432" s="29" t="s">
        <v>224</v>
      </c>
      <c r="D432" s="32" t="n">
        <f aca="false">'PL.3A'!D440-'PL.3A'!G440</f>
        <v>933</v>
      </c>
      <c r="E432" s="36" t="n">
        <f aca="false">'PL.3A'!H440</f>
        <v>34894</v>
      </c>
      <c r="F432" s="14" t="n">
        <f aca="false">D432*E432</f>
        <v>32556102</v>
      </c>
      <c r="G432" s="27"/>
    </row>
    <row r="433" customFormat="false" ht="15" hidden="false" customHeight="false" outlineLevel="0" collapsed="false">
      <c r="A433" s="29" t="s">
        <v>879</v>
      </c>
      <c r="B433" s="27" t="s">
        <v>880</v>
      </c>
      <c r="C433" s="29" t="s">
        <v>224</v>
      </c>
      <c r="D433" s="32" t="n">
        <f aca="false">'PL.3A'!D441-'PL.3A'!G441</f>
        <v>9</v>
      </c>
      <c r="E433" s="36" t="n">
        <f aca="false">'PL.3A'!H441</f>
        <v>311609</v>
      </c>
      <c r="F433" s="14" t="n">
        <f aca="false">D433*E433</f>
        <v>2804481</v>
      </c>
      <c r="G433" s="27"/>
    </row>
    <row r="434" customFormat="false" ht="15" hidden="false" customHeight="false" outlineLevel="0" collapsed="false">
      <c r="A434" s="29" t="s">
        <v>881</v>
      </c>
      <c r="B434" s="27" t="s">
        <v>882</v>
      </c>
      <c r="C434" s="29" t="s">
        <v>778</v>
      </c>
      <c r="D434" s="32" t="n">
        <f aca="false">'PL.3A'!D442-'PL.3A'!G442</f>
        <v>232</v>
      </c>
      <c r="E434" s="36" t="n">
        <f aca="false">'PL.3A'!H442</f>
        <v>37556</v>
      </c>
      <c r="F434" s="14" t="n">
        <f aca="false">D434*E434</f>
        <v>8712992</v>
      </c>
      <c r="G434" s="27"/>
    </row>
    <row r="435" customFormat="false" ht="15" hidden="false" customHeight="false" outlineLevel="0" collapsed="false">
      <c r="A435" s="29" t="s">
        <v>883</v>
      </c>
      <c r="B435" s="27" t="s">
        <v>848</v>
      </c>
      <c r="C435" s="29" t="s">
        <v>778</v>
      </c>
      <c r="D435" s="32" t="n">
        <f aca="false">'PL.3A'!D443-'PL.3A'!G443</f>
        <v>8</v>
      </c>
      <c r="E435" s="36" t="n">
        <f aca="false">'PL.3A'!H443</f>
        <v>57091</v>
      </c>
      <c r="F435" s="14" t="n">
        <f aca="false">D435*E435</f>
        <v>456728</v>
      </c>
      <c r="G435" s="27"/>
    </row>
    <row r="436" customFormat="false" ht="15" hidden="false" customHeight="false" outlineLevel="0" collapsed="false">
      <c r="A436" s="29" t="s">
        <v>884</v>
      </c>
      <c r="B436" s="27" t="s">
        <v>788</v>
      </c>
      <c r="C436" s="29" t="s">
        <v>759</v>
      </c>
      <c r="D436" s="32" t="n">
        <f aca="false">'PL.3A'!D444-'PL.3A'!G444</f>
        <v>7</v>
      </c>
      <c r="E436" s="36" t="n">
        <f aca="false">'PL.3A'!H444</f>
        <v>68023</v>
      </c>
      <c r="F436" s="14" t="n">
        <f aca="false">D436*E436</f>
        <v>476161</v>
      </c>
      <c r="G436" s="27"/>
    </row>
    <row r="437" customFormat="false" ht="26.85" hidden="false" customHeight="false" outlineLevel="0" collapsed="false">
      <c r="A437" s="29" t="s">
        <v>885</v>
      </c>
      <c r="B437" s="27" t="s">
        <v>886</v>
      </c>
      <c r="C437" s="29" t="s">
        <v>193</v>
      </c>
      <c r="D437" s="32" t="n">
        <f aca="false">'PL.3A'!D445-'PL.3A'!G445</f>
        <v>27</v>
      </c>
      <c r="E437" s="36" t="n">
        <f aca="false">'PL.3A'!H445</f>
        <v>7034449</v>
      </c>
      <c r="F437" s="14" t="n">
        <f aca="false">D437*E437</f>
        <v>189930123</v>
      </c>
      <c r="G437" s="27"/>
    </row>
    <row r="438" customFormat="false" ht="26.85" hidden="false" customHeight="false" outlineLevel="0" collapsed="false">
      <c r="A438" s="29" t="s">
        <v>887</v>
      </c>
      <c r="B438" s="27" t="s">
        <v>888</v>
      </c>
      <c r="C438" s="29" t="s">
        <v>193</v>
      </c>
      <c r="D438" s="32" t="n">
        <f aca="false">'PL.3A'!D446-'PL.3A'!G446</f>
        <v>2</v>
      </c>
      <c r="E438" s="36" t="n">
        <f aca="false">'PL.3A'!H446</f>
        <v>9952470</v>
      </c>
      <c r="F438" s="14" t="n">
        <f aca="false">D438*E438</f>
        <v>19904940</v>
      </c>
      <c r="G438" s="27"/>
    </row>
    <row r="439" customFormat="false" ht="15" hidden="false" customHeight="false" outlineLevel="0" collapsed="false">
      <c r="A439" s="29" t="s">
        <v>889</v>
      </c>
      <c r="B439" s="27" t="s">
        <v>890</v>
      </c>
      <c r="C439" s="29" t="s">
        <v>891</v>
      </c>
      <c r="D439" s="32" t="n">
        <f aca="false">'PL.3A'!D447-'PL.3A'!G447</f>
        <v>31</v>
      </c>
      <c r="E439" s="36" t="n">
        <f aca="false">'PL.3A'!H447</f>
        <v>3937997</v>
      </c>
      <c r="F439" s="14" t="n">
        <f aca="false">D439*E439</f>
        <v>122077907</v>
      </c>
      <c r="G439" s="27"/>
    </row>
    <row r="440" customFormat="false" ht="15" hidden="false" customHeight="false" outlineLevel="0" collapsed="false">
      <c r="A440" s="29" t="s">
        <v>892</v>
      </c>
      <c r="B440" s="27" t="s">
        <v>893</v>
      </c>
      <c r="C440" s="29" t="s">
        <v>224</v>
      </c>
      <c r="D440" s="32" t="n">
        <f aca="false">'PL.3A'!D448-'PL.3A'!G448</f>
        <v>372</v>
      </c>
      <c r="E440" s="36" t="n">
        <f aca="false">'PL.3A'!H448</f>
        <v>62194</v>
      </c>
      <c r="F440" s="14" t="n">
        <f aca="false">D440*E440</f>
        <v>23136168</v>
      </c>
      <c r="G440" s="27"/>
    </row>
    <row r="441" customFormat="false" ht="15" hidden="false" customHeight="false" outlineLevel="0" collapsed="false">
      <c r="A441" s="29" t="s">
        <v>894</v>
      </c>
      <c r="B441" s="27" t="s">
        <v>792</v>
      </c>
      <c r="C441" s="29" t="s">
        <v>574</v>
      </c>
      <c r="D441" s="32" t="n">
        <f aca="false">'PL.3A'!D449-'PL.3A'!G449</f>
        <v>2</v>
      </c>
      <c r="E441" s="36" t="n">
        <f aca="false">'PL.3A'!H449</f>
        <v>3025561</v>
      </c>
      <c r="F441" s="14" t="n">
        <f aca="false">D441*E441</f>
        <v>6051122</v>
      </c>
      <c r="G441" s="27"/>
    </row>
    <row r="442" customFormat="false" ht="26.85" hidden="false" customHeight="false" outlineLevel="0" collapsed="false">
      <c r="A442" s="12" t="s">
        <v>895</v>
      </c>
      <c r="B442" s="13" t="s">
        <v>896</v>
      </c>
      <c r="C442" s="27"/>
      <c r="D442" s="27"/>
      <c r="E442" s="27"/>
      <c r="F442" s="27"/>
      <c r="G442" s="27"/>
    </row>
    <row r="443" customFormat="false" ht="15" hidden="false" customHeight="false" outlineLevel="0" collapsed="false">
      <c r="A443" s="29" t="s">
        <v>897</v>
      </c>
      <c r="B443" s="27" t="s">
        <v>898</v>
      </c>
      <c r="C443" s="29" t="s">
        <v>731</v>
      </c>
      <c r="D443" s="32" t="n">
        <f aca="false">'PL.3A'!D451-'PL.3A'!G451</f>
        <v>1</v>
      </c>
      <c r="E443" s="36" t="n">
        <f aca="false">'PL.3A'!H451</f>
        <v>374720</v>
      </c>
      <c r="F443" s="14" t="n">
        <f aca="false">D443*E443</f>
        <v>374720</v>
      </c>
      <c r="G443" s="27"/>
    </row>
    <row r="444" customFormat="false" ht="15" hidden="false" customHeight="false" outlineLevel="0" collapsed="false">
      <c r="A444" s="29" t="s">
        <v>899</v>
      </c>
      <c r="B444" s="27" t="s">
        <v>900</v>
      </c>
      <c r="C444" s="29" t="s">
        <v>901</v>
      </c>
      <c r="D444" s="32" t="n">
        <f aca="false">'PL.3A'!D452-'PL.3A'!G452</f>
        <v>1</v>
      </c>
      <c r="E444" s="36" t="n">
        <f aca="false">'PL.3A'!H452</f>
        <v>242931</v>
      </c>
      <c r="F444" s="14" t="n">
        <f aca="false">D444*E444</f>
        <v>242931</v>
      </c>
      <c r="G444" s="27"/>
    </row>
    <row r="445" customFormat="false" ht="15" hidden="false" customHeight="false" outlineLevel="0" collapsed="false">
      <c r="A445" s="29" t="s">
        <v>902</v>
      </c>
      <c r="B445" s="27" t="s">
        <v>903</v>
      </c>
      <c r="C445" s="29" t="s">
        <v>901</v>
      </c>
      <c r="D445" s="32" t="n">
        <f aca="false">'PL.3A'!D453-'PL.3A'!G453</f>
        <v>2</v>
      </c>
      <c r="E445" s="36" t="n">
        <f aca="false">'PL.3A'!H453</f>
        <v>194342</v>
      </c>
      <c r="F445" s="14" t="n">
        <f aca="false">D445*E445</f>
        <v>388684</v>
      </c>
      <c r="G445" s="27"/>
    </row>
    <row r="446" customFormat="false" ht="15" hidden="false" customHeight="false" outlineLevel="0" collapsed="false">
      <c r="A446" s="29" t="s">
        <v>904</v>
      </c>
      <c r="B446" s="27" t="s">
        <v>905</v>
      </c>
      <c r="C446" s="29" t="s">
        <v>731</v>
      </c>
      <c r="D446" s="32" t="n">
        <f aca="false">'PL.3A'!D454-'PL.3A'!G454</f>
        <v>1</v>
      </c>
      <c r="E446" s="36" t="n">
        <f aca="false">'PL.3A'!H454</f>
        <v>2465618</v>
      </c>
      <c r="F446" s="14" t="n">
        <f aca="false">D446*E446</f>
        <v>2465618</v>
      </c>
      <c r="G446" s="27"/>
    </row>
    <row r="447" customFormat="false" ht="15" hidden="false" customHeight="false" outlineLevel="0" collapsed="false">
      <c r="A447" s="29" t="s">
        <v>906</v>
      </c>
      <c r="B447" s="27" t="s">
        <v>907</v>
      </c>
      <c r="C447" s="29" t="s">
        <v>908</v>
      </c>
      <c r="D447" s="32" t="n">
        <f aca="false">'PL.3A'!D455-'PL.3A'!G455</f>
        <v>8</v>
      </c>
      <c r="E447" s="36" t="n">
        <f aca="false">'PL.3A'!H455</f>
        <v>38215</v>
      </c>
      <c r="F447" s="14" t="n">
        <f aca="false">D447*E447</f>
        <v>305720</v>
      </c>
      <c r="G447" s="27"/>
    </row>
    <row r="448" customFormat="false" ht="15" hidden="false" customHeight="false" outlineLevel="0" collapsed="false">
      <c r="A448" s="29" t="s">
        <v>909</v>
      </c>
      <c r="B448" s="27" t="s">
        <v>910</v>
      </c>
      <c r="C448" s="29" t="s">
        <v>911</v>
      </c>
      <c r="D448" s="32" t="n">
        <f aca="false">'PL.3A'!D456-'PL.3A'!G456</f>
        <v>1</v>
      </c>
      <c r="E448" s="36" t="n">
        <f aca="false">'PL.3A'!H456</f>
        <v>17502028</v>
      </c>
      <c r="F448" s="14" t="n">
        <f aca="false">D448*E448</f>
        <v>17502028</v>
      </c>
      <c r="G448" s="27"/>
    </row>
    <row r="449" customFormat="false" ht="15" hidden="false" customHeight="false" outlineLevel="0" collapsed="false">
      <c r="A449" s="29" t="s">
        <v>912</v>
      </c>
      <c r="B449" s="27" t="s">
        <v>913</v>
      </c>
      <c r="C449" s="29" t="s">
        <v>240</v>
      </c>
      <c r="D449" s="32" t="n">
        <f aca="false">'PL.3A'!D457-'PL.3A'!G457</f>
        <v>1</v>
      </c>
      <c r="E449" s="36" t="n">
        <f aca="false">'PL.3A'!H457</f>
        <v>5586531</v>
      </c>
      <c r="F449" s="14" t="n">
        <f aca="false">D449*E449</f>
        <v>5586531</v>
      </c>
      <c r="G449" s="27"/>
    </row>
    <row r="450" customFormat="false" ht="15" hidden="false" customHeight="false" outlineLevel="0" collapsed="false">
      <c r="A450" s="29" t="s">
        <v>914</v>
      </c>
      <c r="B450" s="27" t="s">
        <v>915</v>
      </c>
      <c r="C450" s="29" t="s">
        <v>193</v>
      </c>
      <c r="D450" s="32" t="n">
        <f aca="false">'PL.3A'!D458-'PL.3A'!G458</f>
        <v>1</v>
      </c>
      <c r="E450" s="36" t="n">
        <f aca="false">'PL.3A'!H458</f>
        <v>5023533</v>
      </c>
      <c r="F450" s="14" t="n">
        <f aca="false">D450*E450</f>
        <v>5023533</v>
      </c>
      <c r="G450" s="27"/>
    </row>
    <row r="451" customFormat="false" ht="15" hidden="false" customHeight="false" outlineLevel="0" collapsed="false">
      <c r="A451" s="29" t="s">
        <v>916</v>
      </c>
      <c r="B451" s="27" t="s">
        <v>917</v>
      </c>
      <c r="C451" s="29" t="s">
        <v>240</v>
      </c>
      <c r="D451" s="32" t="n">
        <f aca="false">'PL.3A'!D459-'PL.3A'!G459</f>
        <v>1</v>
      </c>
      <c r="E451" s="36" t="n">
        <f aca="false">'PL.3A'!H459</f>
        <v>1972119</v>
      </c>
      <c r="F451" s="14" t="n">
        <f aca="false">D451*E451</f>
        <v>1972119</v>
      </c>
      <c r="G451" s="27"/>
    </row>
    <row r="452" customFormat="false" ht="15" hidden="false" customHeight="false" outlineLevel="0" collapsed="false">
      <c r="A452" s="29" t="s">
        <v>918</v>
      </c>
      <c r="B452" s="27" t="s">
        <v>919</v>
      </c>
      <c r="C452" s="29" t="s">
        <v>920</v>
      </c>
      <c r="D452" s="32" t="n">
        <f aca="false">'PL.3A'!D460-'PL.3A'!G460</f>
        <v>1</v>
      </c>
      <c r="E452" s="36" t="n">
        <f aca="false">'PL.3A'!H460</f>
        <v>25535895</v>
      </c>
      <c r="F452" s="14" t="n">
        <f aca="false">D452*E452</f>
        <v>25535895</v>
      </c>
      <c r="G452" s="27"/>
    </row>
    <row r="453" customFormat="false" ht="15" hidden="false" customHeight="false" outlineLevel="0" collapsed="false">
      <c r="A453" s="29" t="s">
        <v>921</v>
      </c>
      <c r="B453" s="27" t="s">
        <v>922</v>
      </c>
      <c r="C453" s="29" t="s">
        <v>193</v>
      </c>
      <c r="D453" s="32" t="n">
        <f aca="false">'PL.3A'!D461-'PL.3A'!G461</f>
        <v>3</v>
      </c>
      <c r="E453" s="36" t="n">
        <f aca="false">'PL.3A'!H461</f>
        <v>4465298</v>
      </c>
      <c r="F453" s="14" t="n">
        <f aca="false">D453*E453</f>
        <v>13395894</v>
      </c>
      <c r="G453" s="27"/>
    </row>
    <row r="454" customFormat="false" ht="15" hidden="false" customHeight="false" outlineLevel="0" collapsed="false">
      <c r="A454" s="29" t="s">
        <v>923</v>
      </c>
      <c r="B454" s="27" t="s">
        <v>924</v>
      </c>
      <c r="C454" s="29" t="s">
        <v>193</v>
      </c>
      <c r="D454" s="32" t="n">
        <f aca="false">'PL.3A'!D462-'PL.3A'!G462</f>
        <v>1</v>
      </c>
      <c r="E454" s="36" t="n">
        <f aca="false">'PL.3A'!H462</f>
        <v>2877292</v>
      </c>
      <c r="F454" s="14" t="n">
        <f aca="false">D454*E454</f>
        <v>2877292</v>
      </c>
      <c r="G454" s="27"/>
    </row>
    <row r="455" customFormat="false" ht="15" hidden="false" customHeight="false" outlineLevel="0" collapsed="false">
      <c r="A455" s="29" t="s">
        <v>925</v>
      </c>
      <c r="B455" s="27" t="s">
        <v>926</v>
      </c>
      <c r="C455" s="29" t="s">
        <v>731</v>
      </c>
      <c r="D455" s="32" t="n">
        <f aca="false">'PL.3A'!D463-'PL.3A'!G463</f>
        <v>1</v>
      </c>
      <c r="E455" s="36" t="n">
        <f aca="false">'PL.3A'!H463</f>
        <v>3082211</v>
      </c>
      <c r="F455" s="14" t="n">
        <f aca="false">D455*E455</f>
        <v>3082211</v>
      </c>
      <c r="G455" s="27"/>
    </row>
    <row r="456" customFormat="false" ht="15" hidden="false" customHeight="false" outlineLevel="0" collapsed="false">
      <c r="A456" s="29" t="s">
        <v>927</v>
      </c>
      <c r="B456" s="27" t="s">
        <v>928</v>
      </c>
      <c r="C456" s="29" t="s">
        <v>240</v>
      </c>
      <c r="D456" s="32" t="n">
        <f aca="false">'PL.3A'!D464-'PL.3A'!G464</f>
        <v>3</v>
      </c>
      <c r="E456" s="36" t="n">
        <f aca="false">'PL.3A'!H464</f>
        <v>464994</v>
      </c>
      <c r="F456" s="14" t="n">
        <f aca="false">D456*E456</f>
        <v>1394982</v>
      </c>
      <c r="G456" s="27"/>
    </row>
    <row r="457" customFormat="false" ht="15" hidden="false" customHeight="false" outlineLevel="0" collapsed="false">
      <c r="A457" s="29" t="s">
        <v>929</v>
      </c>
      <c r="B457" s="27" t="s">
        <v>930</v>
      </c>
      <c r="C457" s="29" t="s">
        <v>240</v>
      </c>
      <c r="D457" s="32" t="n">
        <f aca="false">'PL.3A'!D465-'PL.3A'!G465</f>
        <v>2</v>
      </c>
      <c r="E457" s="36" t="n">
        <f aca="false">'PL.3A'!H465</f>
        <v>464994</v>
      </c>
      <c r="F457" s="14" t="n">
        <f aca="false">D457*E457</f>
        <v>929988</v>
      </c>
      <c r="G457" s="27"/>
    </row>
    <row r="458" customFormat="false" ht="15" hidden="false" customHeight="false" outlineLevel="0" collapsed="false">
      <c r="A458" s="29" t="s">
        <v>931</v>
      </c>
      <c r="B458" s="27" t="s">
        <v>932</v>
      </c>
      <c r="C458" s="29" t="s">
        <v>240</v>
      </c>
      <c r="D458" s="32" t="n">
        <f aca="false">'PL.3A'!D466-'PL.3A'!G466</f>
        <v>1</v>
      </c>
      <c r="E458" s="36" t="n">
        <f aca="false">'PL.3A'!H466</f>
        <v>916730</v>
      </c>
      <c r="F458" s="14" t="n">
        <f aca="false">D458*E458</f>
        <v>916730</v>
      </c>
      <c r="G458" s="27"/>
    </row>
    <row r="459" customFormat="false" ht="15" hidden="false" customHeight="false" outlineLevel="0" collapsed="false">
      <c r="A459" s="29" t="s">
        <v>933</v>
      </c>
      <c r="B459" s="27" t="s">
        <v>934</v>
      </c>
      <c r="C459" s="29" t="s">
        <v>193</v>
      </c>
      <c r="D459" s="32" t="n">
        <f aca="false">'PL.3A'!D467-'PL.3A'!G467</f>
        <v>1</v>
      </c>
      <c r="E459" s="36" t="n">
        <f aca="false">'PL.3A'!H467</f>
        <v>277731</v>
      </c>
      <c r="F459" s="14" t="n">
        <f aca="false">D459*E459</f>
        <v>277731</v>
      </c>
      <c r="G459" s="27"/>
    </row>
    <row r="460" customFormat="false" ht="15" hidden="false" customHeight="false" outlineLevel="0" collapsed="false">
      <c r="A460" s="29" t="s">
        <v>935</v>
      </c>
      <c r="B460" s="27" t="s">
        <v>898</v>
      </c>
      <c r="C460" s="29" t="s">
        <v>193</v>
      </c>
      <c r="D460" s="32" t="n">
        <f aca="false">'PL.3A'!D468-'PL.3A'!G468</f>
        <v>38</v>
      </c>
      <c r="E460" s="36" t="n">
        <f aca="false">'PL.3A'!H468</f>
        <v>374720</v>
      </c>
      <c r="F460" s="14" t="n">
        <f aca="false">D460*E460</f>
        <v>14239360</v>
      </c>
      <c r="G460" s="27"/>
    </row>
    <row r="461" customFormat="false" ht="15" hidden="false" customHeight="false" outlineLevel="0" collapsed="false">
      <c r="A461" s="29" t="s">
        <v>936</v>
      </c>
      <c r="B461" s="27" t="s">
        <v>937</v>
      </c>
      <c r="C461" s="29" t="s">
        <v>938</v>
      </c>
      <c r="D461" s="32" t="n">
        <f aca="false">'PL.3A'!D469-'PL.3A'!G469</f>
        <v>1</v>
      </c>
      <c r="E461" s="36" t="n">
        <f aca="false">'PL.3A'!H469</f>
        <v>15514612</v>
      </c>
      <c r="F461" s="14" t="n">
        <f aca="false">D461*E461</f>
        <v>15514612</v>
      </c>
      <c r="G461" s="27"/>
    </row>
    <row r="462" customFormat="false" ht="15" hidden="false" customHeight="false" outlineLevel="0" collapsed="false">
      <c r="A462" s="29" t="s">
        <v>939</v>
      </c>
      <c r="B462" s="27" t="s">
        <v>940</v>
      </c>
      <c r="C462" s="29" t="s">
        <v>778</v>
      </c>
      <c r="D462" s="32" t="n">
        <f aca="false">'PL.3A'!D470-'PL.3A'!G470</f>
        <v>1</v>
      </c>
      <c r="E462" s="36" t="n">
        <f aca="false">'PL.3A'!H470</f>
        <v>7047288</v>
      </c>
      <c r="F462" s="14" t="n">
        <f aca="false">D462*E462</f>
        <v>7047288</v>
      </c>
      <c r="G462" s="27"/>
    </row>
    <row r="463" customFormat="false" ht="15" hidden="false" customHeight="false" outlineLevel="0" collapsed="false">
      <c r="A463" s="12" t="s">
        <v>941</v>
      </c>
      <c r="B463" s="13" t="s">
        <v>942</v>
      </c>
      <c r="C463" s="27"/>
      <c r="D463" s="27"/>
      <c r="E463" s="27"/>
      <c r="F463" s="27"/>
      <c r="G463" s="27"/>
    </row>
    <row r="464" customFormat="false" ht="15" hidden="false" customHeight="false" outlineLevel="0" collapsed="false">
      <c r="A464" s="29" t="s">
        <v>943</v>
      </c>
      <c r="B464" s="27" t="s">
        <v>944</v>
      </c>
      <c r="C464" s="29" t="s">
        <v>111</v>
      </c>
      <c r="D464" s="32" t="n">
        <f aca="false">'PL.3A'!D472-'PL.3A'!G472</f>
        <v>3.6936</v>
      </c>
      <c r="E464" s="36" t="n">
        <f aca="false">'PL.3A'!H472</f>
        <v>1537187.02620749</v>
      </c>
      <c r="F464" s="14" t="n">
        <f aca="false">D464*E464</f>
        <v>5677753.99999999</v>
      </c>
      <c r="G464" s="27"/>
    </row>
    <row r="465" customFormat="false" ht="15" hidden="false" customHeight="false" outlineLevel="0" collapsed="false">
      <c r="A465" s="29" t="s">
        <v>945</v>
      </c>
      <c r="B465" s="27" t="s">
        <v>946</v>
      </c>
      <c r="C465" s="29" t="s">
        <v>106</v>
      </c>
      <c r="D465" s="32" t="n">
        <f aca="false">'PL.3A'!D473-'PL.3A'!G473</f>
        <v>0.0402</v>
      </c>
      <c r="E465" s="36" t="n">
        <f aca="false">'PL.3A'!H473</f>
        <v>6286542.28855721</v>
      </c>
      <c r="F465" s="14" t="n">
        <f aca="false">D465*E465</f>
        <v>252719</v>
      </c>
      <c r="G465" s="27"/>
    </row>
    <row r="466" customFormat="false" ht="15" hidden="false" customHeight="false" outlineLevel="0" collapsed="false">
      <c r="A466" s="29" t="s">
        <v>947</v>
      </c>
      <c r="B466" s="27" t="s">
        <v>180</v>
      </c>
      <c r="C466" s="29" t="s">
        <v>116</v>
      </c>
      <c r="D466" s="32" t="n">
        <f aca="false">'PL.3A'!D474-'PL.3A'!G474</f>
        <v>7.238</v>
      </c>
      <c r="E466" s="36" t="n">
        <f aca="false">'PL.3A'!H474</f>
        <v>1254177.94970986</v>
      </c>
      <c r="F466" s="14" t="n">
        <f aca="false">D466*E466</f>
        <v>9077739.99999997</v>
      </c>
      <c r="G466" s="27"/>
    </row>
    <row r="467" customFormat="false" ht="15" hidden="false" customHeight="false" outlineLevel="0" collapsed="false">
      <c r="A467" s="29" t="s">
        <v>948</v>
      </c>
      <c r="B467" s="27" t="s">
        <v>946</v>
      </c>
      <c r="C467" s="29" t="s">
        <v>106</v>
      </c>
      <c r="D467" s="32" t="n">
        <f aca="false">'PL.3A'!D475-'PL.3A'!G475</f>
        <v>0.0985</v>
      </c>
      <c r="E467" s="36" t="n">
        <f aca="false">'PL.3A'!H475</f>
        <v>6286548.22335025</v>
      </c>
      <c r="F467" s="14" t="n">
        <f aca="false">D467*E467</f>
        <v>619225</v>
      </c>
      <c r="G467" s="27"/>
    </row>
    <row r="468" customFormat="false" ht="15" hidden="false" customHeight="false" outlineLevel="0" collapsed="false">
      <c r="A468" s="29" t="s">
        <v>949</v>
      </c>
      <c r="B468" s="27" t="s">
        <v>950</v>
      </c>
      <c r="C468" s="29" t="s">
        <v>116</v>
      </c>
      <c r="D468" s="32" t="n">
        <f aca="false">'PL.3A'!D476-'PL.3A'!G476</f>
        <v>17.1</v>
      </c>
      <c r="E468" s="36" t="n">
        <f aca="false">'PL.3A'!H476</f>
        <v>1697979.00584795</v>
      </c>
      <c r="F468" s="14" t="n">
        <f aca="false">D468*E468</f>
        <v>29035440.9999999</v>
      </c>
      <c r="G468" s="27"/>
    </row>
    <row r="469" customFormat="false" ht="26.85" hidden="false" customHeight="false" outlineLevel="0" collapsed="false">
      <c r="A469" s="29" t="s">
        <v>951</v>
      </c>
      <c r="B469" s="27" t="s">
        <v>952</v>
      </c>
      <c r="C469" s="29" t="s">
        <v>106</v>
      </c>
      <c r="D469" s="32" t="n">
        <f aca="false">'PL.3A'!D477-'PL.3A'!G477</f>
        <v>4.4835</v>
      </c>
      <c r="E469" s="36" t="n">
        <f aca="false">'PL.3A'!H477</f>
        <v>10390889.9297424</v>
      </c>
      <c r="F469" s="14" t="n">
        <f aca="false">D469*E469</f>
        <v>46587555.0000001</v>
      </c>
      <c r="G469" s="27"/>
    </row>
    <row r="470" customFormat="false" ht="15" hidden="false" customHeight="false" outlineLevel="0" collapsed="false">
      <c r="A470" s="29" t="s">
        <v>953</v>
      </c>
      <c r="B470" s="27" t="s">
        <v>950</v>
      </c>
      <c r="C470" s="29" t="s">
        <v>116</v>
      </c>
      <c r="D470" s="32" t="n">
        <f aca="false">'PL.3A'!D478-'PL.3A'!G478</f>
        <v>44.835</v>
      </c>
      <c r="E470" s="36" t="n">
        <f aca="false">'PL.3A'!H478</f>
        <v>1697978.98962864</v>
      </c>
      <c r="F470" s="14" t="n">
        <f aca="false">D470*E470</f>
        <v>76128888.0000001</v>
      </c>
      <c r="G470" s="27"/>
    </row>
    <row r="471" customFormat="false" ht="15" hidden="false" customHeight="false" outlineLevel="0" collapsed="false">
      <c r="A471" s="29" t="s">
        <v>954</v>
      </c>
      <c r="B471" s="27" t="s">
        <v>955</v>
      </c>
      <c r="C471" s="29" t="s">
        <v>106</v>
      </c>
      <c r="D471" s="32" t="n">
        <f aca="false">'PL.3A'!D479-'PL.3A'!G479</f>
        <v>1.1529</v>
      </c>
      <c r="E471" s="36" t="n">
        <f aca="false">'PL.3A'!H479</f>
        <v>17061955.9372018</v>
      </c>
      <c r="F471" s="14" t="n">
        <f aca="false">D471*E471</f>
        <v>19670729</v>
      </c>
      <c r="G471" s="27"/>
    </row>
    <row r="472" customFormat="false" ht="15" hidden="false" customHeight="false" outlineLevel="0" collapsed="false">
      <c r="A472" s="29" t="s">
        <v>956</v>
      </c>
      <c r="B472" s="27" t="s">
        <v>957</v>
      </c>
      <c r="C472" s="29" t="s">
        <v>116</v>
      </c>
      <c r="D472" s="32" t="n">
        <f aca="false">'PL.3A'!D480-'PL.3A'!G480</f>
        <v>13.302</v>
      </c>
      <c r="E472" s="36" t="n">
        <f aca="false">'PL.3A'!H480</f>
        <v>2084986.01714028</v>
      </c>
      <c r="F472" s="14" t="n">
        <f aca="false">D472*E472</f>
        <v>27734484</v>
      </c>
      <c r="G472" s="27"/>
    </row>
    <row r="473" customFormat="false" ht="15" hidden="false" customHeight="false" outlineLevel="0" collapsed="false">
      <c r="A473" s="29" t="s">
        <v>958</v>
      </c>
      <c r="B473" s="27" t="s">
        <v>959</v>
      </c>
      <c r="C473" s="29" t="s">
        <v>149</v>
      </c>
      <c r="D473" s="32" t="n">
        <f aca="false">'PL.3A'!D481-'PL.3A'!G481</f>
        <v>1.7107</v>
      </c>
      <c r="E473" s="36" t="n">
        <f aca="false">'PL.3A'!H481</f>
        <v>22904380.0783305</v>
      </c>
      <c r="F473" s="14" t="n">
        <f aca="false">D473*E473</f>
        <v>39182523</v>
      </c>
      <c r="G473" s="27"/>
    </row>
    <row r="474" customFormat="false" ht="15" hidden="false" customHeight="false" outlineLevel="0" collapsed="false">
      <c r="A474" s="29" t="s">
        <v>960</v>
      </c>
      <c r="B474" s="27" t="s">
        <v>961</v>
      </c>
      <c r="C474" s="29" t="s">
        <v>149</v>
      </c>
      <c r="D474" s="32" t="n">
        <f aca="false">'PL.3A'!D482-'PL.3A'!G482</f>
        <v>10.9979</v>
      </c>
      <c r="E474" s="36" t="n">
        <f aca="false">'PL.3A'!H482</f>
        <v>22691077.0237955</v>
      </c>
      <c r="F474" s="14" t="n">
        <f aca="false">D474*E474</f>
        <v>249554196.000001</v>
      </c>
      <c r="G474" s="27"/>
    </row>
    <row r="475" customFormat="false" ht="15" hidden="false" customHeight="false" outlineLevel="0" collapsed="false">
      <c r="A475" s="29" t="s">
        <v>962</v>
      </c>
      <c r="B475" s="27" t="s">
        <v>963</v>
      </c>
      <c r="C475" s="29" t="s">
        <v>149</v>
      </c>
      <c r="D475" s="32" t="n">
        <f aca="false">'PL.3A'!D483-'PL.3A'!G483</f>
        <v>1.0158</v>
      </c>
      <c r="E475" s="36" t="n">
        <f aca="false">'PL.3A'!H483</f>
        <v>22000315.0226423</v>
      </c>
      <c r="F475" s="14" t="n">
        <f aca="false">D475*E475</f>
        <v>22347920.0000001</v>
      </c>
      <c r="G475" s="27"/>
    </row>
    <row r="476" customFormat="false" ht="15" hidden="false" customHeight="false" outlineLevel="0" collapsed="false">
      <c r="A476" s="29" t="s">
        <v>964</v>
      </c>
      <c r="B476" s="27" t="s">
        <v>965</v>
      </c>
      <c r="C476" s="29" t="s">
        <v>106</v>
      </c>
      <c r="D476" s="32" t="n">
        <f aca="false">'PL.3A'!D484-'PL.3A'!G484</f>
        <v>0.4978</v>
      </c>
      <c r="E476" s="36" t="n">
        <f aca="false">'PL.3A'!H484</f>
        <v>15305640.8196063</v>
      </c>
      <c r="F476" s="14" t="n">
        <f aca="false">D476*E476</f>
        <v>7619148.00000002</v>
      </c>
      <c r="G476" s="27"/>
    </row>
    <row r="477" customFormat="false" ht="15" hidden="false" customHeight="false" outlineLevel="0" collapsed="false">
      <c r="A477" s="29" t="s">
        <v>966</v>
      </c>
      <c r="B477" s="27" t="s">
        <v>967</v>
      </c>
      <c r="C477" s="29" t="s">
        <v>116</v>
      </c>
      <c r="D477" s="32" t="n">
        <f aca="false">'PL.3A'!D485-'PL.3A'!G485</f>
        <v>0.0747</v>
      </c>
      <c r="E477" s="36" t="n">
        <f aca="false">'PL.3A'!H485</f>
        <v>1848366.80053548</v>
      </c>
      <c r="F477" s="14" t="n">
        <f aca="false">D477*E477</f>
        <v>138073</v>
      </c>
      <c r="G477" s="27"/>
    </row>
    <row r="478" customFormat="false" ht="15" hidden="false" customHeight="false" outlineLevel="0" collapsed="false">
      <c r="A478" s="12" t="s">
        <v>968</v>
      </c>
      <c r="B478" s="13" t="s">
        <v>969</v>
      </c>
      <c r="C478" s="27"/>
      <c r="D478" s="27"/>
      <c r="E478" s="27"/>
      <c r="F478" s="27"/>
      <c r="G478" s="27"/>
    </row>
    <row r="479" customFormat="false" ht="15" hidden="false" customHeight="false" outlineLevel="0" collapsed="false">
      <c r="A479" s="12" t="s">
        <v>970</v>
      </c>
      <c r="B479" s="28" t="s">
        <v>971</v>
      </c>
      <c r="C479" s="27"/>
      <c r="D479" s="27"/>
      <c r="E479" s="27"/>
      <c r="F479" s="27"/>
      <c r="G479" s="27"/>
    </row>
    <row r="480" customFormat="false" ht="15" hidden="false" customHeight="false" outlineLevel="0" collapsed="false">
      <c r="A480" s="29" t="s">
        <v>972</v>
      </c>
      <c r="B480" s="27" t="s">
        <v>944</v>
      </c>
      <c r="C480" s="29" t="s">
        <v>111</v>
      </c>
      <c r="D480" s="32" t="n">
        <f aca="false">'PL.3A'!D488-'PL.3A'!G488</f>
        <v>0.6318</v>
      </c>
      <c r="E480" s="36" t="n">
        <f aca="false">'PL.3A'!H488</f>
        <v>3817749.28774929</v>
      </c>
      <c r="F480" s="14" t="n">
        <f aca="false">D480*E480</f>
        <v>2412054</v>
      </c>
      <c r="G480" s="27"/>
    </row>
    <row r="481" customFormat="false" ht="15" hidden="false" customHeight="false" outlineLevel="0" collapsed="false">
      <c r="A481" s="29" t="s">
        <v>973</v>
      </c>
      <c r="B481" s="27" t="s">
        <v>946</v>
      </c>
      <c r="C481" s="29" t="s">
        <v>106</v>
      </c>
      <c r="D481" s="32" t="n">
        <f aca="false">'PL.3A'!D489-'PL.3A'!G489</f>
        <v>0.0592</v>
      </c>
      <c r="E481" s="36" t="n">
        <f aca="false">'PL.3A'!H489</f>
        <v>6286554.05405405</v>
      </c>
      <c r="F481" s="14" t="n">
        <f aca="false">D481*E481</f>
        <v>372164</v>
      </c>
      <c r="G481" s="27"/>
    </row>
    <row r="482" customFormat="false" ht="15" hidden="false" customHeight="false" outlineLevel="0" collapsed="false">
      <c r="A482" s="29" t="s">
        <v>974</v>
      </c>
      <c r="B482" s="27" t="s">
        <v>975</v>
      </c>
      <c r="C482" s="29" t="s">
        <v>116</v>
      </c>
      <c r="D482" s="32" t="n">
        <f aca="false">'PL.3A'!D490-'PL.3A'!G490</f>
        <v>0.676</v>
      </c>
      <c r="E482" s="36" t="n">
        <f aca="false">'PL.3A'!H490</f>
        <v>1329213.01775148</v>
      </c>
      <c r="F482" s="14" t="n">
        <f aca="false">D482*E482</f>
        <v>898548.000000001</v>
      </c>
      <c r="G482" s="27"/>
    </row>
    <row r="483" customFormat="false" ht="15" hidden="false" customHeight="false" outlineLevel="0" collapsed="false">
      <c r="A483" s="29" t="s">
        <v>976</v>
      </c>
      <c r="B483" s="27" t="s">
        <v>977</v>
      </c>
      <c r="C483" s="29" t="s">
        <v>116</v>
      </c>
      <c r="D483" s="32" t="n">
        <f aca="false">'PL.3A'!D491-'PL.3A'!G491</f>
        <v>1.5625</v>
      </c>
      <c r="E483" s="36" t="n">
        <f aca="false">'PL.3A'!H491</f>
        <v>1462108.16</v>
      </c>
      <c r="F483" s="14" t="n">
        <f aca="false">D483*E483</f>
        <v>2284544</v>
      </c>
      <c r="G483" s="27"/>
    </row>
    <row r="484" customFormat="false" ht="15" hidden="false" customHeight="false" outlineLevel="0" collapsed="false">
      <c r="A484" s="29" t="s">
        <v>978</v>
      </c>
      <c r="B484" s="27" t="s">
        <v>946</v>
      </c>
      <c r="C484" s="29" t="s">
        <v>106</v>
      </c>
      <c r="D484" s="32" t="n">
        <f aca="false">'PL.3A'!D492-'PL.3A'!G492</f>
        <v>0.0388</v>
      </c>
      <c r="E484" s="36" t="n">
        <f aca="false">'PL.3A'!H492</f>
        <v>6286546.39175258</v>
      </c>
      <c r="F484" s="14" t="n">
        <f aca="false">D484*E484</f>
        <v>243918</v>
      </c>
      <c r="G484" s="27"/>
    </row>
    <row r="485" customFormat="false" ht="15" hidden="false" customHeight="false" outlineLevel="0" collapsed="false">
      <c r="A485" s="29" t="s">
        <v>979</v>
      </c>
      <c r="B485" s="27" t="s">
        <v>980</v>
      </c>
      <c r="C485" s="29" t="s">
        <v>116</v>
      </c>
      <c r="D485" s="32" t="n">
        <f aca="false">'PL.3A'!D493-'PL.3A'!G493</f>
        <v>0.6208</v>
      </c>
      <c r="E485" s="36" t="n">
        <f aca="false">'PL.3A'!H493</f>
        <v>1329212.30670103</v>
      </c>
      <c r="F485" s="14" t="n">
        <f aca="false">D485*E485</f>
        <v>825174.999999999</v>
      </c>
      <c r="G485" s="27"/>
    </row>
    <row r="486" customFormat="false" ht="15" hidden="false" customHeight="false" outlineLevel="0" collapsed="false">
      <c r="A486" s="29" t="s">
        <v>981</v>
      </c>
      <c r="B486" s="27" t="s">
        <v>946</v>
      </c>
      <c r="C486" s="29" t="s">
        <v>106</v>
      </c>
      <c r="D486" s="32" t="n">
        <f aca="false">'PL.3A'!D494-'PL.3A'!G494</f>
        <v>0.1552</v>
      </c>
      <c r="E486" s="36" t="n">
        <f aca="false">'PL.3A'!H494</f>
        <v>6286552.83505155</v>
      </c>
      <c r="F486" s="14" t="n">
        <f aca="false">D486*E486</f>
        <v>975673.000000001</v>
      </c>
      <c r="G486" s="27"/>
    </row>
    <row r="487" customFormat="false" ht="15" hidden="false" customHeight="false" outlineLevel="0" collapsed="false">
      <c r="A487" s="29" t="s">
        <v>982</v>
      </c>
      <c r="B487" s="27" t="s">
        <v>983</v>
      </c>
      <c r="C487" s="29" t="s">
        <v>116</v>
      </c>
      <c r="D487" s="32" t="n">
        <f aca="false">'PL.3A'!D495-'PL.3A'!G495</f>
        <v>1.7072</v>
      </c>
      <c r="E487" s="36" t="n">
        <f aca="false">'PL.3A'!H495</f>
        <v>1974820.75913777</v>
      </c>
      <c r="F487" s="14" t="n">
        <f aca="false">D487*E487</f>
        <v>3371414</v>
      </c>
      <c r="G487" s="27"/>
    </row>
    <row r="488" customFormat="false" ht="15" hidden="false" customHeight="false" outlineLevel="0" collapsed="false">
      <c r="A488" s="29" t="s">
        <v>984</v>
      </c>
      <c r="B488" s="27" t="s">
        <v>946</v>
      </c>
      <c r="C488" s="29" t="s">
        <v>106</v>
      </c>
      <c r="D488" s="32" t="n">
        <f aca="false">'PL.3A'!D496-'PL.3A'!G496</f>
        <v>0.0388</v>
      </c>
      <c r="E488" s="36" t="n">
        <f aca="false">'PL.3A'!H496</f>
        <v>6286546.39175258</v>
      </c>
      <c r="F488" s="14" t="n">
        <f aca="false">D488*E488</f>
        <v>243918</v>
      </c>
      <c r="G488" s="27"/>
    </row>
    <row r="489" customFormat="false" ht="15" hidden="false" customHeight="false" outlineLevel="0" collapsed="false">
      <c r="A489" s="29" t="s">
        <v>985</v>
      </c>
      <c r="B489" s="27" t="s">
        <v>983</v>
      </c>
      <c r="C489" s="29" t="s">
        <v>116</v>
      </c>
      <c r="D489" s="32" t="n">
        <f aca="false">'PL.3A'!D497-'PL.3A'!G497</f>
        <v>0.4268</v>
      </c>
      <c r="E489" s="36" t="n">
        <f aca="false">'PL.3A'!H497</f>
        <v>1974821.93064667</v>
      </c>
      <c r="F489" s="14" t="n">
        <f aca="false">D489*E489</f>
        <v>842853.999999999</v>
      </c>
      <c r="G489" s="27"/>
    </row>
    <row r="490" customFormat="false" ht="15" hidden="false" customHeight="false" outlineLevel="0" collapsed="false">
      <c r="A490" s="29" t="s">
        <v>986</v>
      </c>
      <c r="B490" s="27" t="s">
        <v>987</v>
      </c>
      <c r="C490" s="29" t="s">
        <v>106</v>
      </c>
      <c r="D490" s="32" t="n">
        <f aca="false">'PL.3A'!D498-'PL.3A'!G498</f>
        <v>0.0493</v>
      </c>
      <c r="E490" s="36" t="n">
        <f aca="false">'PL.3A'!H498</f>
        <v>15424604.4624746</v>
      </c>
      <c r="F490" s="14" t="n">
        <f aca="false">D490*E490</f>
        <v>760432.999999998</v>
      </c>
      <c r="G490" s="27"/>
    </row>
    <row r="491" customFormat="false" ht="15" hidden="false" customHeight="false" outlineLevel="0" collapsed="false">
      <c r="A491" s="29" t="s">
        <v>988</v>
      </c>
      <c r="B491" s="27" t="s">
        <v>989</v>
      </c>
      <c r="C491" s="29" t="s">
        <v>116</v>
      </c>
      <c r="D491" s="32" t="n">
        <f aca="false">'PL.3A'!D499-'PL.3A'!G499</f>
        <v>0.271</v>
      </c>
      <c r="E491" s="36" t="n">
        <f aca="false">'PL.3A'!H499</f>
        <v>2172225.09225092</v>
      </c>
      <c r="F491" s="14" t="n">
        <f aca="false">D491*E491</f>
        <v>588672.999999999</v>
      </c>
      <c r="G491" s="27"/>
    </row>
    <row r="492" customFormat="false" ht="15" hidden="false" customHeight="false" outlineLevel="0" collapsed="false">
      <c r="A492" s="29" t="s">
        <v>990</v>
      </c>
      <c r="B492" s="27" t="s">
        <v>959</v>
      </c>
      <c r="C492" s="29" t="s">
        <v>149</v>
      </c>
      <c r="D492" s="32" t="n">
        <f aca="false">'PL.3A'!D500-'PL.3A'!G500</f>
        <v>0.412</v>
      </c>
      <c r="E492" s="36" t="n">
        <f aca="false">'PL.3A'!H500</f>
        <v>22904381.0679612</v>
      </c>
      <c r="F492" s="14" t="n">
        <f aca="false">D492*E492</f>
        <v>9436605.00000002</v>
      </c>
      <c r="G492" s="27"/>
    </row>
    <row r="493" customFormat="false" ht="15" hidden="false" customHeight="false" outlineLevel="0" collapsed="false">
      <c r="A493" s="29" t="s">
        <v>991</v>
      </c>
      <c r="B493" s="27" t="s">
        <v>961</v>
      </c>
      <c r="C493" s="29" t="s">
        <v>149</v>
      </c>
      <c r="D493" s="32" t="n">
        <f aca="false">'PL.3A'!D501-'PL.3A'!G501</f>
        <v>0.5446</v>
      </c>
      <c r="E493" s="36" t="n">
        <f aca="false">'PL.3A'!H501</f>
        <v>22691077.8553066</v>
      </c>
      <c r="F493" s="14" t="n">
        <f aca="false">D493*E493</f>
        <v>12357561</v>
      </c>
      <c r="G493" s="27"/>
    </row>
    <row r="494" customFormat="false" ht="26.85" hidden="false" customHeight="false" outlineLevel="0" collapsed="false">
      <c r="A494" s="29" t="s">
        <v>992</v>
      </c>
      <c r="B494" s="27" t="s">
        <v>993</v>
      </c>
      <c r="C494" s="29" t="s">
        <v>116</v>
      </c>
      <c r="D494" s="32" t="n">
        <f aca="false">'PL.3A'!D502-'PL.3A'!G502</f>
        <v>3.2987</v>
      </c>
      <c r="E494" s="36" t="n">
        <f aca="false">'PL.3A'!H502</f>
        <v>1691858.00466851</v>
      </c>
      <c r="F494" s="14" t="n">
        <f aca="false">D494*E494</f>
        <v>5580932.00000001</v>
      </c>
      <c r="G494" s="27"/>
    </row>
    <row r="495" customFormat="false" ht="15" hidden="false" customHeight="false" outlineLevel="0" collapsed="false">
      <c r="A495" s="29" t="s">
        <v>994</v>
      </c>
      <c r="B495" s="27" t="s">
        <v>995</v>
      </c>
      <c r="C495" s="29" t="s">
        <v>116</v>
      </c>
      <c r="D495" s="32" t="n">
        <f aca="false">'PL.3A'!D503-'PL.3A'!G503</f>
        <v>0.5034</v>
      </c>
      <c r="E495" s="36" t="n">
        <f aca="false">'PL.3A'!H503</f>
        <v>2286756.05880016</v>
      </c>
      <c r="F495" s="14" t="n">
        <f aca="false">D495*E495</f>
        <v>1151153</v>
      </c>
      <c r="G495" s="27"/>
    </row>
    <row r="496" customFormat="false" ht="15" hidden="false" customHeight="false" outlineLevel="0" collapsed="false">
      <c r="A496" s="29" t="s">
        <v>996</v>
      </c>
      <c r="B496" s="27" t="s">
        <v>997</v>
      </c>
      <c r="C496" s="29" t="s">
        <v>106</v>
      </c>
      <c r="D496" s="32" t="n">
        <f aca="false">'PL.3A'!D504-'PL.3A'!G504</f>
        <v>0.0915</v>
      </c>
      <c r="E496" s="36" t="n">
        <f aca="false">'PL.3A'!H504</f>
        <v>16548043.715847</v>
      </c>
      <c r="F496" s="14" t="n">
        <f aca="false">D496*E496</f>
        <v>1514146</v>
      </c>
      <c r="G496" s="27"/>
    </row>
    <row r="497" customFormat="false" ht="26.85" hidden="false" customHeight="false" outlineLevel="0" collapsed="false">
      <c r="A497" s="29" t="s">
        <v>998</v>
      </c>
      <c r="B497" s="27" t="s">
        <v>993</v>
      </c>
      <c r="C497" s="29" t="s">
        <v>116</v>
      </c>
      <c r="D497" s="32" t="n">
        <f aca="false">'PL.3A'!D505-'PL.3A'!G505</f>
        <v>4.3124</v>
      </c>
      <c r="E497" s="36" t="n">
        <f aca="false">'PL.3A'!H505</f>
        <v>1883531.90798627</v>
      </c>
      <c r="F497" s="14" t="n">
        <f aca="false">D497*E497</f>
        <v>8122542.99999999</v>
      </c>
      <c r="G497" s="27"/>
    </row>
    <row r="498" customFormat="false" ht="15" hidden="false" customHeight="false" outlineLevel="0" collapsed="false">
      <c r="A498" s="29" t="s">
        <v>999</v>
      </c>
      <c r="B498" s="27" t="s">
        <v>1000</v>
      </c>
      <c r="C498" s="29" t="s">
        <v>131</v>
      </c>
      <c r="D498" s="32" t="n">
        <f aca="false">'PL.3A'!D506-'PL.3A'!G506</f>
        <v>39.2036</v>
      </c>
      <c r="E498" s="36" t="n">
        <f aca="false">'PL.3A'!H506</f>
        <v>104068.988562275</v>
      </c>
      <c r="F498" s="14" t="n">
        <f aca="false">D498*E498</f>
        <v>4079879</v>
      </c>
      <c r="G498" s="27"/>
    </row>
    <row r="499" customFormat="false" ht="15" hidden="false" customHeight="false" outlineLevel="0" collapsed="false">
      <c r="A499" s="29" t="s">
        <v>1001</v>
      </c>
      <c r="B499" s="27" t="s">
        <v>1002</v>
      </c>
      <c r="C499" s="29" t="s">
        <v>131</v>
      </c>
      <c r="D499" s="32" t="n">
        <f aca="false">'PL.3A'!D507-'PL.3A'!G507</f>
        <v>39.2036</v>
      </c>
      <c r="E499" s="36" t="n">
        <f aca="false">'PL.3A'!H507</f>
        <v>83491.005928027</v>
      </c>
      <c r="F499" s="14" t="n">
        <f aca="false">D499*E499</f>
        <v>3273148</v>
      </c>
      <c r="G499" s="27"/>
    </row>
    <row r="500" customFormat="false" ht="26.85" hidden="false" customHeight="false" outlineLevel="0" collapsed="false">
      <c r="A500" s="29" t="s">
        <v>1003</v>
      </c>
      <c r="B500" s="27" t="s">
        <v>1004</v>
      </c>
      <c r="C500" s="29" t="s">
        <v>131</v>
      </c>
      <c r="D500" s="32" t="n">
        <f aca="false">'PL.3A'!D508-'PL.3A'!G508</f>
        <v>39.2036</v>
      </c>
      <c r="E500" s="36" t="n">
        <f aca="false">'PL.3A'!H508</f>
        <v>70201.9967554</v>
      </c>
      <c r="F500" s="14" t="n">
        <f aca="false">D500*E500</f>
        <v>2752171</v>
      </c>
      <c r="G500" s="27"/>
    </row>
    <row r="501" customFormat="false" ht="26.85" hidden="false" customHeight="false" outlineLevel="0" collapsed="false">
      <c r="A501" s="29" t="s">
        <v>1005</v>
      </c>
      <c r="B501" s="27" t="s">
        <v>1006</v>
      </c>
      <c r="C501" s="29" t="s">
        <v>131</v>
      </c>
      <c r="D501" s="32" t="n">
        <f aca="false">'PL.3A'!D509-'PL.3A'!G509</f>
        <v>59.9972</v>
      </c>
      <c r="E501" s="36" t="n">
        <f aca="false">'PL.3A'!H509</f>
        <v>53237.0010600495</v>
      </c>
      <c r="F501" s="14" t="n">
        <f aca="false">D501*E501</f>
        <v>3194071</v>
      </c>
      <c r="G501" s="27"/>
    </row>
    <row r="502" customFormat="false" ht="15" hidden="false" customHeight="false" outlineLevel="0" collapsed="false">
      <c r="A502" s="29" t="s">
        <v>1007</v>
      </c>
      <c r="B502" s="27" t="s">
        <v>965</v>
      </c>
      <c r="C502" s="29" t="s">
        <v>106</v>
      </c>
      <c r="D502" s="32" t="n">
        <f aca="false">'PL.3A'!D510-'PL.3A'!G510</f>
        <v>0.2079</v>
      </c>
      <c r="E502" s="36" t="n">
        <f aca="false">'PL.3A'!H510</f>
        <v>15305642.1356421</v>
      </c>
      <c r="F502" s="14" t="n">
        <f aca="false">D502*E502</f>
        <v>3182042.99999999</v>
      </c>
      <c r="G502" s="27"/>
    </row>
    <row r="503" customFormat="false" ht="15" hidden="false" customHeight="false" outlineLevel="0" collapsed="false">
      <c r="A503" s="29" t="s">
        <v>1008</v>
      </c>
      <c r="B503" s="27" t="s">
        <v>967</v>
      </c>
      <c r="C503" s="29" t="s">
        <v>116</v>
      </c>
      <c r="D503" s="32" t="n">
        <f aca="false">'PL.3A'!D511-'PL.3A'!G511</f>
        <v>2.0794</v>
      </c>
      <c r="E503" s="36" t="n">
        <f aca="false">'PL.3A'!H511</f>
        <v>1848366.83658748</v>
      </c>
      <c r="F503" s="14" t="n">
        <f aca="false">D503*E503</f>
        <v>3843494.00000001</v>
      </c>
      <c r="G503" s="27"/>
    </row>
    <row r="504" customFormat="false" ht="15" hidden="false" customHeight="false" outlineLevel="0" collapsed="false">
      <c r="A504" s="29" t="s">
        <v>1009</v>
      </c>
      <c r="B504" s="27" t="s">
        <v>955</v>
      </c>
      <c r="C504" s="29" t="s">
        <v>106</v>
      </c>
      <c r="D504" s="32" t="n">
        <f aca="false">'PL.3A'!D512-'PL.3A'!G512</f>
        <v>0.36</v>
      </c>
      <c r="E504" s="36" t="n">
        <f aca="false">'PL.3A'!H512</f>
        <v>17061955.5555556</v>
      </c>
      <c r="F504" s="14" t="n">
        <f aca="false">D504*E504</f>
        <v>6142304.00000002</v>
      </c>
      <c r="G504" s="27"/>
    </row>
    <row r="505" customFormat="false" ht="15" hidden="false" customHeight="false" outlineLevel="0" collapsed="false">
      <c r="A505" s="29" t="s">
        <v>1010</v>
      </c>
      <c r="B505" s="27" t="s">
        <v>1011</v>
      </c>
      <c r="C505" s="29" t="s">
        <v>131</v>
      </c>
      <c r="D505" s="32" t="n">
        <f aca="false">'PL.3A'!D513-'PL.3A'!G513</f>
        <v>36</v>
      </c>
      <c r="E505" s="36" t="n">
        <f aca="false">'PL.3A'!H513</f>
        <v>44400</v>
      </c>
      <c r="F505" s="14" t="n">
        <f aca="false">D505*E505</f>
        <v>1598400</v>
      </c>
      <c r="G505" s="27"/>
    </row>
    <row r="506" customFormat="false" ht="15" hidden="false" customHeight="false" outlineLevel="0" collapsed="false">
      <c r="A506" s="29" t="s">
        <v>1012</v>
      </c>
      <c r="B506" s="27" t="s">
        <v>1013</v>
      </c>
      <c r="C506" s="29" t="s">
        <v>131</v>
      </c>
      <c r="D506" s="32" t="n">
        <f aca="false">'PL.3A'!D514-'PL.3A'!G514</f>
        <v>19.4256</v>
      </c>
      <c r="E506" s="36" t="n">
        <f aca="false">'PL.3A'!H514</f>
        <v>389412.991104522</v>
      </c>
      <c r="F506" s="14" t="n">
        <f aca="false">D506*E506</f>
        <v>7564581</v>
      </c>
      <c r="G506" s="27"/>
    </row>
    <row r="507" customFormat="false" ht="26.85" hidden="false" customHeight="false" outlineLevel="0" collapsed="false">
      <c r="A507" s="29" t="s">
        <v>1014</v>
      </c>
      <c r="B507" s="27" t="s">
        <v>1015</v>
      </c>
      <c r="C507" s="29" t="s">
        <v>131</v>
      </c>
      <c r="D507" s="32" t="n">
        <f aca="false">'PL.3A'!D515-'PL.3A'!G515</f>
        <v>1.98</v>
      </c>
      <c r="E507" s="36" t="n">
        <f aca="false">'PL.3A'!H515</f>
        <v>3145427.77777778</v>
      </c>
      <c r="F507" s="14" t="n">
        <f aca="false">D507*E507</f>
        <v>6227947</v>
      </c>
      <c r="G507" s="27"/>
    </row>
    <row r="508" customFormat="false" ht="26.85" hidden="false" customHeight="false" outlineLevel="0" collapsed="false">
      <c r="A508" s="29" t="s">
        <v>1016</v>
      </c>
      <c r="B508" s="27" t="s">
        <v>1017</v>
      </c>
      <c r="C508" s="29" t="s">
        <v>131</v>
      </c>
      <c r="D508" s="32" t="n">
        <f aca="false">'PL.3A'!D516-'PL.3A'!G516</f>
        <v>7.54</v>
      </c>
      <c r="E508" s="36" t="n">
        <f aca="false">'PL.3A'!H516</f>
        <v>3117255.96816976</v>
      </c>
      <c r="F508" s="14" t="n">
        <f aca="false">D508*E508</f>
        <v>23504110</v>
      </c>
      <c r="G508" s="27"/>
    </row>
    <row r="509" customFormat="false" ht="15" hidden="false" customHeight="false" outlineLevel="0" collapsed="false">
      <c r="A509" s="29" t="s">
        <v>1018</v>
      </c>
      <c r="B509" s="27" t="s">
        <v>1019</v>
      </c>
      <c r="C509" s="29" t="s">
        <v>240</v>
      </c>
      <c r="D509" s="32" t="n">
        <f aca="false">'PL.3A'!D517-'PL.3A'!G517</f>
        <v>1</v>
      </c>
      <c r="E509" s="36" t="n">
        <f aca="false">'PL.3A'!H517</f>
        <v>3062138</v>
      </c>
      <c r="F509" s="14" t="n">
        <f aca="false">D509*E509</f>
        <v>3062138</v>
      </c>
      <c r="G509" s="27"/>
    </row>
    <row r="510" customFormat="false" ht="15" hidden="false" customHeight="false" outlineLevel="0" collapsed="false">
      <c r="A510" s="12" t="s">
        <v>1020</v>
      </c>
      <c r="B510" s="28" t="s">
        <v>1021</v>
      </c>
      <c r="C510" s="27"/>
      <c r="D510" s="27"/>
      <c r="E510" s="27"/>
      <c r="F510" s="27"/>
      <c r="G510" s="27"/>
    </row>
    <row r="511" customFormat="false" ht="15" hidden="false" customHeight="false" outlineLevel="0" collapsed="false">
      <c r="A511" s="29" t="s">
        <v>1022</v>
      </c>
      <c r="B511" s="27" t="s">
        <v>1023</v>
      </c>
      <c r="C511" s="29" t="s">
        <v>116</v>
      </c>
      <c r="D511" s="32" t="n">
        <f aca="false">'PL.3A'!D519-'PL.3A'!G519</f>
        <v>0.507</v>
      </c>
      <c r="E511" s="36" t="n">
        <f aca="false">'PL.3A'!H519</f>
        <v>1424090.72978304</v>
      </c>
      <c r="F511" s="14" t="n">
        <f aca="false">D511*E511</f>
        <v>722014.000000001</v>
      </c>
      <c r="G511" s="27"/>
    </row>
    <row r="512" customFormat="false" ht="26.85" hidden="false" customHeight="false" outlineLevel="0" collapsed="false">
      <c r="A512" s="29" t="s">
        <v>1024</v>
      </c>
      <c r="B512" s="27" t="s">
        <v>993</v>
      </c>
      <c r="C512" s="29" t="s">
        <v>116</v>
      </c>
      <c r="D512" s="32" t="n">
        <f aca="false">'PL.3A'!D520-'PL.3A'!G520</f>
        <v>1.1035</v>
      </c>
      <c r="E512" s="36" t="n">
        <f aca="false">'PL.3A'!H520</f>
        <v>1691857.72541912</v>
      </c>
      <c r="F512" s="14" t="n">
        <f aca="false">D512*E512</f>
        <v>1866965</v>
      </c>
      <c r="G512" s="27"/>
    </row>
    <row r="513" customFormat="false" ht="15" hidden="false" customHeight="false" outlineLevel="0" collapsed="false">
      <c r="A513" s="29" t="s">
        <v>1025</v>
      </c>
      <c r="B513" s="27" t="s">
        <v>1026</v>
      </c>
      <c r="C513" s="29" t="s">
        <v>116</v>
      </c>
      <c r="D513" s="32" t="n">
        <f aca="false">'PL.3A'!D521-'PL.3A'!G521</f>
        <v>0.2006</v>
      </c>
      <c r="E513" s="36" t="n">
        <f aca="false">'PL.3A'!H521</f>
        <v>2029456.63010967</v>
      </c>
      <c r="F513" s="14" t="n">
        <f aca="false">D513*E513</f>
        <v>407109</v>
      </c>
      <c r="G513" s="27"/>
    </row>
    <row r="514" customFormat="false" ht="26.85" hidden="false" customHeight="false" outlineLevel="0" collapsed="false">
      <c r="A514" s="29" t="s">
        <v>1027</v>
      </c>
      <c r="B514" s="27" t="s">
        <v>1028</v>
      </c>
      <c r="C514" s="29" t="s">
        <v>116</v>
      </c>
      <c r="D514" s="32" t="n">
        <f aca="false">'PL.3A'!D522-'PL.3A'!G522</f>
        <v>0.0677</v>
      </c>
      <c r="E514" s="36" t="n">
        <f aca="false">'PL.3A'!H522</f>
        <v>2057400.29542098</v>
      </c>
      <c r="F514" s="14" t="n">
        <f aca="false">D514*E514</f>
        <v>139286</v>
      </c>
      <c r="G514" s="27"/>
    </row>
    <row r="515" customFormat="false" ht="26.85" hidden="false" customHeight="false" outlineLevel="0" collapsed="false">
      <c r="A515" s="29" t="s">
        <v>1029</v>
      </c>
      <c r="B515" s="27" t="s">
        <v>1030</v>
      </c>
      <c r="C515" s="29" t="s">
        <v>149</v>
      </c>
      <c r="D515" s="32" t="n">
        <f aca="false">'PL.3A'!D523-'PL.3A'!G523</f>
        <v>0.0683</v>
      </c>
      <c r="E515" s="36" t="n">
        <f aca="false">'PL.3A'!H523</f>
        <v>25003382.1376281</v>
      </c>
      <c r="F515" s="14" t="n">
        <f aca="false">D515*E515</f>
        <v>1707731</v>
      </c>
      <c r="G515" s="27"/>
    </row>
    <row r="516" customFormat="false" ht="15" hidden="false" customHeight="false" outlineLevel="0" collapsed="false">
      <c r="A516" s="29" t="s">
        <v>1031</v>
      </c>
      <c r="B516" s="27" t="s">
        <v>1032</v>
      </c>
      <c r="C516" s="29" t="s">
        <v>131</v>
      </c>
      <c r="D516" s="32" t="n">
        <f aca="false">'PL.3A'!D524-'PL.3A'!G524</f>
        <v>8.8</v>
      </c>
      <c r="E516" s="36" t="n">
        <f aca="false">'PL.3A'!H524</f>
        <v>104068.977272727</v>
      </c>
      <c r="F516" s="14" t="n">
        <f aca="false">D516*E516</f>
        <v>915806.999999998</v>
      </c>
      <c r="G516" s="27"/>
    </row>
    <row r="517" customFormat="false" ht="15" hidden="false" customHeight="false" outlineLevel="0" collapsed="false">
      <c r="A517" s="29" t="s">
        <v>1033</v>
      </c>
      <c r="B517" s="27" t="s">
        <v>1034</v>
      </c>
      <c r="C517" s="29" t="s">
        <v>131</v>
      </c>
      <c r="D517" s="32" t="n">
        <f aca="false">'PL.3A'!D525-'PL.3A'!G525</f>
        <v>5.72</v>
      </c>
      <c r="E517" s="36" t="n">
        <f aca="false">'PL.3A'!H525</f>
        <v>188325</v>
      </c>
      <c r="F517" s="14" t="n">
        <f aca="false">D517*E517</f>
        <v>1077219</v>
      </c>
      <c r="G517" s="27"/>
    </row>
    <row r="518" customFormat="false" ht="15" hidden="false" customHeight="false" outlineLevel="0" collapsed="false">
      <c r="A518" s="12" t="s">
        <v>1035</v>
      </c>
      <c r="B518" s="28" t="s">
        <v>1036</v>
      </c>
      <c r="C518" s="27"/>
      <c r="D518" s="27"/>
      <c r="E518" s="27"/>
      <c r="F518" s="27"/>
      <c r="G518" s="27"/>
    </row>
    <row r="519" customFormat="false" ht="15" hidden="false" customHeight="false" outlineLevel="0" collapsed="false">
      <c r="A519" s="29" t="s">
        <v>1037</v>
      </c>
      <c r="B519" s="27" t="s">
        <v>944</v>
      </c>
      <c r="C519" s="29" t="s">
        <v>111</v>
      </c>
      <c r="D519" s="32" t="n">
        <f aca="false">'PL.3A'!D527-'PL.3A'!G527</f>
        <v>2.52</v>
      </c>
      <c r="E519" s="36" t="n">
        <f aca="false">'PL.3A'!H527</f>
        <v>3817748.80952381</v>
      </c>
      <c r="F519" s="14" t="n">
        <f aca="false">D519*E519</f>
        <v>9620727</v>
      </c>
      <c r="G519" s="27"/>
    </row>
    <row r="520" customFormat="false" ht="15" hidden="false" customHeight="false" outlineLevel="0" collapsed="false">
      <c r="A520" s="29" t="s">
        <v>1038</v>
      </c>
      <c r="B520" s="27" t="s">
        <v>1039</v>
      </c>
      <c r="C520" s="29" t="s">
        <v>106</v>
      </c>
      <c r="D520" s="32" t="n">
        <f aca="false">'PL.3A'!D528-'PL.3A'!G528</f>
        <v>0.078</v>
      </c>
      <c r="E520" s="36" t="n">
        <f aca="false">'PL.3A'!H528</f>
        <v>10047076.9230769</v>
      </c>
      <c r="F520" s="14" t="n">
        <f aca="false">D520*E520</f>
        <v>783671.999999998</v>
      </c>
      <c r="G520" s="27"/>
    </row>
    <row r="521" customFormat="false" ht="15" hidden="false" customHeight="false" outlineLevel="0" collapsed="false">
      <c r="A521" s="29" t="s">
        <v>1040</v>
      </c>
      <c r="B521" s="27" t="s">
        <v>1041</v>
      </c>
      <c r="C521" s="29" t="s">
        <v>116</v>
      </c>
      <c r="D521" s="32" t="n">
        <f aca="false">'PL.3A'!D529-'PL.3A'!G529</f>
        <v>6.735</v>
      </c>
      <c r="E521" s="36" t="n">
        <f aca="false">'PL.3A'!H529</f>
        <v>1309795.99109131</v>
      </c>
      <c r="F521" s="14" t="n">
        <f aca="false">D521*E521</f>
        <v>8821475.99999997</v>
      </c>
      <c r="G521" s="27"/>
    </row>
    <row r="522" customFormat="false" ht="15" hidden="false" customHeight="false" outlineLevel="0" collapsed="false">
      <c r="A522" s="29" t="s">
        <v>1042</v>
      </c>
      <c r="B522" s="27" t="s">
        <v>955</v>
      </c>
      <c r="C522" s="29" t="s">
        <v>106</v>
      </c>
      <c r="D522" s="32" t="n">
        <f aca="false">'PL.3A'!D530-'PL.3A'!G530</f>
        <v>0.39</v>
      </c>
      <c r="E522" s="36" t="n">
        <f aca="false">'PL.3A'!H530</f>
        <v>17061956.4102564</v>
      </c>
      <c r="F522" s="14" t="n">
        <f aca="false">D522*E522</f>
        <v>6654163</v>
      </c>
      <c r="G522" s="27"/>
    </row>
    <row r="523" customFormat="false" ht="15" hidden="false" customHeight="false" outlineLevel="0" collapsed="false">
      <c r="A523" s="29" t="s">
        <v>1043</v>
      </c>
      <c r="B523" s="27" t="s">
        <v>983</v>
      </c>
      <c r="C523" s="29" t="s">
        <v>116</v>
      </c>
      <c r="D523" s="32" t="n">
        <f aca="false">'PL.3A'!D531-'PL.3A'!G531</f>
        <v>5.85</v>
      </c>
      <c r="E523" s="36" t="n">
        <f aca="false">'PL.3A'!H531</f>
        <v>1974821.02564103</v>
      </c>
      <c r="F523" s="14" t="n">
        <f aca="false">D523*E523</f>
        <v>11552703</v>
      </c>
      <c r="G523" s="27"/>
    </row>
    <row r="524" customFormat="false" ht="15" hidden="false" customHeight="false" outlineLevel="0" collapsed="false">
      <c r="A524" s="29" t="s">
        <v>1044</v>
      </c>
      <c r="B524" s="27" t="s">
        <v>1045</v>
      </c>
      <c r="C524" s="29" t="s">
        <v>116</v>
      </c>
      <c r="D524" s="32" t="n">
        <f aca="false">'PL.3A'!D532-'PL.3A'!G532</f>
        <v>12.9375</v>
      </c>
      <c r="E524" s="36" t="n">
        <f aca="false">'PL.3A'!H532</f>
        <v>1448375.03381643</v>
      </c>
      <c r="F524" s="14" t="n">
        <f aca="false">D524*E524</f>
        <v>18738352.0000001</v>
      </c>
      <c r="G524" s="27"/>
    </row>
    <row r="525" customFormat="false" ht="26.85" hidden="false" customHeight="false" outlineLevel="0" collapsed="false">
      <c r="A525" s="29" t="s">
        <v>1046</v>
      </c>
      <c r="B525" s="27" t="s">
        <v>1047</v>
      </c>
      <c r="C525" s="29" t="s">
        <v>106</v>
      </c>
      <c r="D525" s="32" t="n">
        <f aca="false">'PL.3A'!D533-'PL.3A'!G533</f>
        <v>2.4418</v>
      </c>
      <c r="E525" s="36" t="n">
        <f aca="false">'PL.3A'!H533</f>
        <v>13835457.8589565</v>
      </c>
      <c r="F525" s="14" t="n">
        <f aca="false">D525*E525</f>
        <v>33783421</v>
      </c>
      <c r="G525" s="27"/>
    </row>
    <row r="526" customFormat="false" ht="15" hidden="false" customHeight="false" outlineLevel="0" collapsed="false">
      <c r="A526" s="29" t="s">
        <v>1048</v>
      </c>
      <c r="B526" s="27" t="s">
        <v>1049</v>
      </c>
      <c r="C526" s="29" t="s">
        <v>116</v>
      </c>
      <c r="D526" s="32" t="n">
        <f aca="false">'PL.3A'!D534-'PL.3A'!G534</f>
        <v>30.5225</v>
      </c>
      <c r="E526" s="36" t="n">
        <f aca="false">'PL.3A'!H534</f>
        <v>1953955.99967237</v>
      </c>
      <c r="F526" s="14" t="n">
        <f aca="false">D526*E526</f>
        <v>59639621.9999999</v>
      </c>
      <c r="G526" s="27"/>
    </row>
    <row r="527" customFormat="false" ht="15" hidden="false" customHeight="false" outlineLevel="0" collapsed="false">
      <c r="A527" s="29" t="s">
        <v>1050</v>
      </c>
      <c r="B527" s="27" t="s">
        <v>955</v>
      </c>
      <c r="C527" s="29" t="s">
        <v>106</v>
      </c>
      <c r="D527" s="32" t="n">
        <f aca="false">'PL.3A'!D535-'PL.3A'!G535</f>
        <v>0.312</v>
      </c>
      <c r="E527" s="36" t="n">
        <f aca="false">'PL.3A'!H535</f>
        <v>17061955.1282051</v>
      </c>
      <c r="F527" s="14" t="n">
        <f aca="false">D527*E527</f>
        <v>5323329.99999999</v>
      </c>
      <c r="G527" s="27"/>
    </row>
    <row r="528" customFormat="false" ht="15" hidden="false" customHeight="false" outlineLevel="0" collapsed="false">
      <c r="A528" s="29" t="s">
        <v>1051</v>
      </c>
      <c r="B528" s="27" t="s">
        <v>983</v>
      </c>
      <c r="C528" s="29" t="s">
        <v>116</v>
      </c>
      <c r="D528" s="32" t="n">
        <f aca="false">'PL.3A'!D536-'PL.3A'!G536</f>
        <v>3.9</v>
      </c>
      <c r="E528" s="36" t="n">
        <f aca="false">'PL.3A'!H536</f>
        <v>1974821.02564103</v>
      </c>
      <c r="F528" s="14" t="n">
        <f aca="false">D528*E528</f>
        <v>7701802.00000002</v>
      </c>
      <c r="G528" s="27"/>
    </row>
    <row r="529" customFormat="false" ht="15" hidden="false" customHeight="false" outlineLevel="0" collapsed="false">
      <c r="A529" s="29" t="s">
        <v>1052</v>
      </c>
      <c r="B529" s="27" t="s">
        <v>965</v>
      </c>
      <c r="C529" s="29" t="s">
        <v>106</v>
      </c>
      <c r="D529" s="32" t="n">
        <f aca="false">'PL.3A'!D537-'PL.3A'!G537</f>
        <v>0.5175</v>
      </c>
      <c r="E529" s="36" t="n">
        <f aca="false">'PL.3A'!H537</f>
        <v>15305640.5797101</v>
      </c>
      <c r="F529" s="14" t="n">
        <f aca="false">D529*E529</f>
        <v>7920668.99999998</v>
      </c>
      <c r="G529" s="27"/>
    </row>
    <row r="530" customFormat="false" ht="15" hidden="false" customHeight="false" outlineLevel="0" collapsed="false">
      <c r="A530" s="29" t="s">
        <v>1053</v>
      </c>
      <c r="B530" s="27" t="s">
        <v>1054</v>
      </c>
      <c r="C530" s="29" t="s">
        <v>116</v>
      </c>
      <c r="D530" s="32" t="n">
        <f aca="false">'PL.3A'!D538-'PL.3A'!G538</f>
        <v>7.7625</v>
      </c>
      <c r="E530" s="36" t="n">
        <f aca="false">'PL.3A'!H538</f>
        <v>1738200.06441224</v>
      </c>
      <c r="F530" s="14" t="n">
        <f aca="false">D530*E530</f>
        <v>13492778</v>
      </c>
      <c r="G530" s="27"/>
    </row>
    <row r="531" customFormat="false" ht="15" hidden="false" customHeight="false" outlineLevel="0" collapsed="false">
      <c r="A531" s="29" t="s">
        <v>1055</v>
      </c>
      <c r="B531" s="27" t="s">
        <v>959</v>
      </c>
      <c r="C531" s="29" t="s">
        <v>149</v>
      </c>
      <c r="D531" s="32" t="n">
        <f aca="false">'PL.3A'!D539-'PL.3A'!G539</f>
        <v>1.4405</v>
      </c>
      <c r="E531" s="36" t="n">
        <f aca="false">'PL.3A'!H539</f>
        <v>22904379.7292607</v>
      </c>
      <c r="F531" s="14" t="n">
        <f aca="false">D531*E531</f>
        <v>32993759</v>
      </c>
      <c r="G531" s="27"/>
    </row>
    <row r="532" customFormat="false" ht="15" hidden="false" customHeight="false" outlineLevel="0" collapsed="false">
      <c r="A532" s="29" t="s">
        <v>1056</v>
      </c>
      <c r="B532" s="27" t="s">
        <v>961</v>
      </c>
      <c r="C532" s="29" t="s">
        <v>149</v>
      </c>
      <c r="D532" s="32" t="n">
        <f aca="false">'PL.3A'!D540-'PL.3A'!G540</f>
        <v>5.6953</v>
      </c>
      <c r="E532" s="36" t="n">
        <f aca="false">'PL.3A'!H540</f>
        <v>22691077.028427</v>
      </c>
      <c r="F532" s="14" t="n">
        <f aca="false">D532*E532</f>
        <v>129232491</v>
      </c>
      <c r="G532" s="27"/>
    </row>
    <row r="533" customFormat="false" ht="15" hidden="false" customHeight="false" outlineLevel="0" collapsed="false">
      <c r="A533" s="29" t="s">
        <v>1057</v>
      </c>
      <c r="B533" s="27" t="s">
        <v>963</v>
      </c>
      <c r="C533" s="29" t="s">
        <v>149</v>
      </c>
      <c r="D533" s="32" t="n">
        <f aca="false">'PL.3A'!D541-'PL.3A'!G541</f>
        <v>0.6629</v>
      </c>
      <c r="E533" s="36" t="n">
        <f aca="false">'PL.3A'!H541</f>
        <v>22000315.2813396</v>
      </c>
      <c r="F533" s="14" t="n">
        <f aca="false">D533*E533</f>
        <v>14584009</v>
      </c>
      <c r="G533" s="27"/>
    </row>
    <row r="534" customFormat="false" ht="15" hidden="false" customHeight="false" outlineLevel="0" collapsed="false">
      <c r="A534" s="12" t="s">
        <v>1058</v>
      </c>
      <c r="B534" s="28" t="s">
        <v>1059</v>
      </c>
      <c r="C534" s="27"/>
      <c r="D534" s="27"/>
      <c r="E534" s="27"/>
      <c r="F534" s="27"/>
      <c r="G534" s="27"/>
    </row>
    <row r="535" customFormat="false" ht="15" hidden="false" customHeight="false" outlineLevel="0" collapsed="false">
      <c r="A535" s="29" t="s">
        <v>1060</v>
      </c>
      <c r="B535" s="27" t="s">
        <v>1061</v>
      </c>
      <c r="C535" s="29" t="s">
        <v>1062</v>
      </c>
      <c r="D535" s="32" t="n">
        <f aca="false">'PL.3A'!D543-'PL.3A'!G543</f>
        <v>3</v>
      </c>
      <c r="E535" s="36" t="n">
        <f aca="false">'PL.3A'!H543</f>
        <v>1065448</v>
      </c>
      <c r="F535" s="14" t="n">
        <f aca="false">D535*E535</f>
        <v>3196344</v>
      </c>
      <c r="G535" s="27"/>
    </row>
    <row r="536" customFormat="false" ht="15" hidden="false" customHeight="false" outlineLevel="0" collapsed="false">
      <c r="A536" s="29" t="s">
        <v>1063</v>
      </c>
      <c r="B536" s="27" t="s">
        <v>1064</v>
      </c>
      <c r="C536" s="29" t="s">
        <v>1065</v>
      </c>
      <c r="D536" s="32" t="n">
        <f aca="false">'PL.3A'!D544-'PL.3A'!G544</f>
        <v>1</v>
      </c>
      <c r="E536" s="36" t="n">
        <f aca="false">'PL.3A'!H544</f>
        <v>979017</v>
      </c>
      <c r="F536" s="14" t="n">
        <f aca="false">D536*E536</f>
        <v>979017</v>
      </c>
      <c r="G536" s="27"/>
    </row>
    <row r="537" customFormat="false" ht="15" hidden="false" customHeight="false" outlineLevel="0" collapsed="false">
      <c r="A537" s="29" t="s">
        <v>1066</v>
      </c>
      <c r="B537" s="27" t="s">
        <v>1067</v>
      </c>
      <c r="C537" s="29" t="s">
        <v>224</v>
      </c>
      <c r="D537" s="32" t="n">
        <f aca="false">'PL.3A'!D545-'PL.3A'!G545</f>
        <v>18</v>
      </c>
      <c r="E537" s="36" t="n">
        <f aca="false">'PL.3A'!H545</f>
        <v>555750</v>
      </c>
      <c r="F537" s="14" t="n">
        <f aca="false">D537*E537</f>
        <v>10003500</v>
      </c>
      <c r="G537" s="27"/>
    </row>
    <row r="538" customFormat="false" ht="15" hidden="false" customHeight="false" outlineLevel="0" collapsed="false">
      <c r="A538" s="29" t="s">
        <v>1068</v>
      </c>
      <c r="B538" s="27" t="s">
        <v>1069</v>
      </c>
      <c r="C538" s="29" t="s">
        <v>224</v>
      </c>
      <c r="D538" s="32" t="n">
        <f aca="false">'PL.3A'!D546-'PL.3A'!G546</f>
        <v>18</v>
      </c>
      <c r="E538" s="36" t="n">
        <f aca="false">'PL.3A'!H546</f>
        <v>169566</v>
      </c>
      <c r="F538" s="14" t="n">
        <f aca="false">D538*E538</f>
        <v>3052188</v>
      </c>
      <c r="G538" s="27"/>
    </row>
    <row r="539" customFormat="false" ht="15" hidden="false" customHeight="false" outlineLevel="0" collapsed="false">
      <c r="A539" s="29" t="s">
        <v>1070</v>
      </c>
      <c r="B539" s="27" t="s">
        <v>1071</v>
      </c>
      <c r="C539" s="29" t="s">
        <v>240</v>
      </c>
      <c r="D539" s="32" t="n">
        <f aca="false">'PL.3A'!D547-'PL.3A'!G547</f>
        <v>3</v>
      </c>
      <c r="E539" s="36" t="n">
        <f aca="false">'PL.3A'!H547</f>
        <v>965253</v>
      </c>
      <c r="F539" s="14" t="n">
        <f aca="false">D539*E539</f>
        <v>2895759</v>
      </c>
      <c r="G539" s="27"/>
    </row>
    <row r="540" customFormat="false" ht="15" hidden="false" customHeight="false" outlineLevel="0" collapsed="false">
      <c r="A540" s="29" t="s">
        <v>1072</v>
      </c>
      <c r="B540" s="27" t="s">
        <v>1073</v>
      </c>
      <c r="C540" s="29" t="s">
        <v>193</v>
      </c>
      <c r="D540" s="32" t="n">
        <f aca="false">'PL.3A'!D548-'PL.3A'!G548</f>
        <v>20</v>
      </c>
      <c r="E540" s="36" t="n">
        <f aca="false">'PL.3A'!H548</f>
        <v>722933</v>
      </c>
      <c r="F540" s="14" t="n">
        <f aca="false">D540*E540</f>
        <v>14458660</v>
      </c>
      <c r="G540" s="27"/>
    </row>
    <row r="541" customFormat="false" ht="15" hidden="false" customHeight="false" outlineLevel="0" collapsed="false">
      <c r="A541" s="29" t="s">
        <v>1074</v>
      </c>
      <c r="B541" s="27" t="s">
        <v>1075</v>
      </c>
      <c r="C541" s="29" t="s">
        <v>193</v>
      </c>
      <c r="D541" s="32" t="n">
        <f aca="false">'PL.3A'!D549-'PL.3A'!G549</f>
        <v>8</v>
      </c>
      <c r="E541" s="36" t="n">
        <f aca="false">'PL.3A'!H549</f>
        <v>442867</v>
      </c>
      <c r="F541" s="14" t="n">
        <f aca="false">D541*E541</f>
        <v>3542936</v>
      </c>
      <c r="G541" s="27"/>
    </row>
    <row r="542" customFormat="false" ht="15" hidden="false" customHeight="false" outlineLevel="0" collapsed="false">
      <c r="A542" s="29" t="s">
        <v>1076</v>
      </c>
      <c r="B542" s="27" t="s">
        <v>1077</v>
      </c>
      <c r="C542" s="29" t="s">
        <v>245</v>
      </c>
      <c r="D542" s="32" t="n">
        <f aca="false">'PL.3A'!D550-'PL.3A'!G550</f>
        <v>0.02</v>
      </c>
      <c r="E542" s="36" t="n">
        <f aca="false">'PL.3A'!H550</f>
        <v>118584200</v>
      </c>
      <c r="F542" s="14" t="n">
        <f aca="false">D542*E542</f>
        <v>2371684</v>
      </c>
      <c r="G542" s="27"/>
    </row>
    <row r="543" customFormat="false" ht="15" hidden="false" customHeight="false" outlineLevel="0" collapsed="false">
      <c r="A543" s="29" t="s">
        <v>1078</v>
      </c>
      <c r="B543" s="27" t="s">
        <v>1079</v>
      </c>
      <c r="C543" s="29" t="s">
        <v>193</v>
      </c>
      <c r="D543" s="32" t="n">
        <f aca="false">'PL.3A'!D551-'PL.3A'!G551</f>
        <v>1</v>
      </c>
      <c r="E543" s="36" t="n">
        <f aca="false">'PL.3A'!H551</f>
        <v>1357340</v>
      </c>
      <c r="F543" s="14" t="n">
        <f aca="false">D543*E543</f>
        <v>1357340</v>
      </c>
      <c r="G543" s="27"/>
    </row>
    <row r="544" customFormat="false" ht="15" hidden="false" customHeight="false" outlineLevel="0" collapsed="false">
      <c r="A544" s="29" t="s">
        <v>1080</v>
      </c>
      <c r="B544" s="27" t="s">
        <v>1081</v>
      </c>
      <c r="C544" s="29" t="s">
        <v>245</v>
      </c>
      <c r="D544" s="32" t="n">
        <f aca="false">'PL.3A'!D552-'PL.3A'!G552</f>
        <v>0.4</v>
      </c>
      <c r="E544" s="36" t="n">
        <f aca="false">'PL.3A'!H552</f>
        <v>44553962.5</v>
      </c>
      <c r="F544" s="14" t="n">
        <f aca="false">D544*E544</f>
        <v>17821585</v>
      </c>
      <c r="G544" s="27"/>
    </row>
    <row r="545" customFormat="false" ht="26.85" hidden="false" customHeight="false" outlineLevel="0" collapsed="false">
      <c r="A545" s="29" t="s">
        <v>1082</v>
      </c>
      <c r="B545" s="27" t="s">
        <v>1083</v>
      </c>
      <c r="C545" s="29" t="s">
        <v>245</v>
      </c>
      <c r="D545" s="32" t="n">
        <f aca="false">'PL.3A'!D553-'PL.3A'!G553</f>
        <v>0.06</v>
      </c>
      <c r="E545" s="36" t="n">
        <f aca="false">'PL.3A'!H553</f>
        <v>20699050</v>
      </c>
      <c r="F545" s="14" t="n">
        <f aca="false">D545*E545</f>
        <v>1241943</v>
      </c>
      <c r="G545" s="27"/>
    </row>
    <row r="546" customFormat="false" ht="15" hidden="false" customHeight="false" outlineLevel="0" collapsed="false">
      <c r="A546" s="29" t="s">
        <v>1084</v>
      </c>
      <c r="B546" s="27" t="s">
        <v>1085</v>
      </c>
      <c r="C546" s="29" t="s">
        <v>240</v>
      </c>
      <c r="D546" s="32" t="n">
        <f aca="false">'PL.3A'!D554-'PL.3A'!G554</f>
        <v>10</v>
      </c>
      <c r="E546" s="36" t="n">
        <f aca="false">'PL.3A'!H554</f>
        <v>266438</v>
      </c>
      <c r="F546" s="14" t="n">
        <f aca="false">D546*E546</f>
        <v>2664380</v>
      </c>
      <c r="G546" s="27"/>
    </row>
    <row r="547" customFormat="false" ht="15" hidden="false" customHeight="false" outlineLevel="0" collapsed="false">
      <c r="A547" s="29" t="s">
        <v>1086</v>
      </c>
      <c r="B547" s="27" t="s">
        <v>1087</v>
      </c>
      <c r="C547" s="29" t="s">
        <v>240</v>
      </c>
      <c r="D547" s="32" t="n">
        <f aca="false">'PL.3A'!D555-'PL.3A'!G555</f>
        <v>14</v>
      </c>
      <c r="E547" s="36" t="n">
        <f aca="false">'PL.3A'!H555</f>
        <v>2904232</v>
      </c>
      <c r="F547" s="14" t="n">
        <f aca="false">D547*E547</f>
        <v>40659248</v>
      </c>
      <c r="G547" s="27"/>
    </row>
    <row r="548" customFormat="false" ht="15" hidden="false" customHeight="false" outlineLevel="0" collapsed="false">
      <c r="A548" s="29" t="s">
        <v>1088</v>
      </c>
      <c r="B548" s="27" t="s">
        <v>1089</v>
      </c>
      <c r="C548" s="29" t="s">
        <v>240</v>
      </c>
      <c r="D548" s="32" t="n">
        <f aca="false">'PL.3A'!D556-'PL.3A'!G556</f>
        <v>4</v>
      </c>
      <c r="E548" s="36" t="n">
        <f aca="false">'PL.3A'!H556</f>
        <v>1809914</v>
      </c>
      <c r="F548" s="14" t="n">
        <f aca="false">D548*E548</f>
        <v>7239656</v>
      </c>
      <c r="G548" s="27"/>
    </row>
    <row r="549" customFormat="false" ht="15" hidden="false" customHeight="false" outlineLevel="0" collapsed="false">
      <c r="A549" s="29" t="s">
        <v>1090</v>
      </c>
      <c r="B549" s="27" t="s">
        <v>1091</v>
      </c>
      <c r="C549" s="29" t="s">
        <v>240</v>
      </c>
      <c r="D549" s="32" t="n">
        <f aca="false">'PL.3A'!D557-'PL.3A'!G557</f>
        <v>18</v>
      </c>
      <c r="E549" s="36" t="n">
        <f aca="false">'PL.3A'!H557</f>
        <v>731532</v>
      </c>
      <c r="F549" s="14" t="n">
        <f aca="false">D549*E549</f>
        <v>13167576</v>
      </c>
      <c r="G549" s="27"/>
    </row>
    <row r="550" customFormat="false" ht="15" hidden="false" customHeight="false" outlineLevel="0" collapsed="false">
      <c r="A550" s="29" t="s">
        <v>1092</v>
      </c>
      <c r="B550" s="27" t="s">
        <v>1093</v>
      </c>
      <c r="C550" s="29" t="s">
        <v>245</v>
      </c>
      <c r="D550" s="32" t="n">
        <f aca="false">'PL.3A'!D558-'PL.3A'!G558</f>
        <v>0.15</v>
      </c>
      <c r="E550" s="36" t="n">
        <f aca="false">'PL.3A'!H558</f>
        <v>7935313.33333333</v>
      </c>
      <c r="F550" s="14" t="n">
        <f aca="false">D550*E550</f>
        <v>1190297</v>
      </c>
      <c r="G550" s="27"/>
    </row>
    <row r="551" customFormat="false" ht="15" hidden="false" customHeight="false" outlineLevel="0" collapsed="false">
      <c r="A551" s="29" t="s">
        <v>1094</v>
      </c>
      <c r="B551" s="27" t="s">
        <v>1095</v>
      </c>
      <c r="C551" s="29" t="s">
        <v>240</v>
      </c>
      <c r="D551" s="32" t="n">
        <f aca="false">'PL.3A'!D559-'PL.3A'!G559</f>
        <v>2</v>
      </c>
      <c r="E551" s="36" t="n">
        <f aca="false">'PL.3A'!H559</f>
        <v>249013</v>
      </c>
      <c r="F551" s="14" t="n">
        <f aca="false">D551*E551</f>
        <v>498026</v>
      </c>
      <c r="G551" s="27"/>
    </row>
    <row r="552" customFormat="false" ht="15" hidden="false" customHeight="false" outlineLevel="0" collapsed="false">
      <c r="A552" s="29" t="s">
        <v>1096</v>
      </c>
      <c r="B552" s="27" t="s">
        <v>1097</v>
      </c>
      <c r="C552" s="29" t="s">
        <v>224</v>
      </c>
      <c r="D552" s="32" t="n">
        <f aca="false">'PL.3A'!D560-'PL.3A'!G560</f>
        <v>25</v>
      </c>
      <c r="E552" s="36" t="n">
        <f aca="false">'PL.3A'!H560</f>
        <v>45280</v>
      </c>
      <c r="F552" s="14" t="n">
        <f aca="false">D552*E552</f>
        <v>1132000</v>
      </c>
      <c r="G552" s="27"/>
    </row>
    <row r="553" customFormat="false" ht="26.85" hidden="false" customHeight="false" outlineLevel="0" collapsed="false">
      <c r="A553" s="29" t="s">
        <v>1098</v>
      </c>
      <c r="B553" s="27" t="s">
        <v>1099</v>
      </c>
      <c r="C553" s="29" t="s">
        <v>224</v>
      </c>
      <c r="D553" s="32" t="n">
        <f aca="false">'PL.3A'!D561-'PL.3A'!G561</f>
        <v>25</v>
      </c>
      <c r="E553" s="36" t="n">
        <f aca="false">'PL.3A'!H561</f>
        <v>66836</v>
      </c>
      <c r="F553" s="14" t="n">
        <f aca="false">D553*E553</f>
        <v>1670900</v>
      </c>
      <c r="G553" s="27"/>
    </row>
    <row r="554" customFormat="false" ht="15" hidden="false" customHeight="false" outlineLevel="0" collapsed="false">
      <c r="A554" s="29" t="s">
        <v>1100</v>
      </c>
      <c r="B554" s="27" t="s">
        <v>1101</v>
      </c>
      <c r="C554" s="29" t="s">
        <v>240</v>
      </c>
      <c r="D554" s="32" t="n">
        <f aca="false">'PL.3A'!D562-'PL.3A'!G562</f>
        <v>20</v>
      </c>
      <c r="E554" s="36" t="n">
        <f aca="false">'PL.3A'!H562</f>
        <v>220474</v>
      </c>
      <c r="F554" s="14" t="n">
        <f aca="false">D554*E554</f>
        <v>4409480</v>
      </c>
      <c r="G554" s="27"/>
    </row>
    <row r="555" customFormat="false" ht="15" hidden="false" customHeight="false" outlineLevel="0" collapsed="false">
      <c r="A555" s="29" t="s">
        <v>1102</v>
      </c>
      <c r="B555" s="27" t="s">
        <v>1103</v>
      </c>
      <c r="C555" s="29" t="s">
        <v>240</v>
      </c>
      <c r="D555" s="32" t="n">
        <f aca="false">'PL.3A'!D563-'PL.3A'!G563</f>
        <v>3</v>
      </c>
      <c r="E555" s="36" t="n">
        <f aca="false">'PL.3A'!H563</f>
        <v>2694681</v>
      </c>
      <c r="F555" s="14" t="n">
        <f aca="false">D555*E555</f>
        <v>8084043</v>
      </c>
      <c r="G555" s="27"/>
    </row>
    <row r="556" customFormat="false" ht="15" hidden="false" customHeight="false" outlineLevel="0" collapsed="false">
      <c r="A556" s="29" t="s">
        <v>1104</v>
      </c>
      <c r="B556" s="27" t="s">
        <v>1105</v>
      </c>
      <c r="C556" s="29" t="s">
        <v>240</v>
      </c>
      <c r="D556" s="32" t="n">
        <f aca="false">'PL.3A'!D564-'PL.3A'!G564</f>
        <v>2</v>
      </c>
      <c r="E556" s="36" t="n">
        <f aca="false">'PL.3A'!H564</f>
        <v>3707607</v>
      </c>
      <c r="F556" s="14" t="n">
        <f aca="false">D556*E556</f>
        <v>7415214</v>
      </c>
      <c r="G556" s="27"/>
    </row>
    <row r="557" customFormat="false" ht="15" hidden="false" customHeight="false" outlineLevel="0" collapsed="false">
      <c r="A557" s="29" t="s">
        <v>1106</v>
      </c>
      <c r="B557" s="27" t="s">
        <v>1107</v>
      </c>
      <c r="C557" s="29" t="s">
        <v>240</v>
      </c>
      <c r="D557" s="32" t="n">
        <f aca="false">'PL.3A'!D565-'PL.3A'!G565</f>
        <v>1</v>
      </c>
      <c r="E557" s="36" t="n">
        <f aca="false">'PL.3A'!H565</f>
        <v>4199962</v>
      </c>
      <c r="F557" s="14" t="n">
        <f aca="false">D557*E557</f>
        <v>4199962</v>
      </c>
      <c r="G557" s="27"/>
    </row>
    <row r="558" customFormat="false" ht="15" hidden="false" customHeight="false" outlineLevel="0" collapsed="false">
      <c r="A558" s="29" t="s">
        <v>1108</v>
      </c>
      <c r="B558" s="27" t="s">
        <v>1109</v>
      </c>
      <c r="C558" s="29" t="s">
        <v>240</v>
      </c>
      <c r="D558" s="32" t="n">
        <f aca="false">'PL.3A'!D566-'PL.3A'!G566</f>
        <v>1</v>
      </c>
      <c r="E558" s="36" t="n">
        <f aca="false">'PL.3A'!H566</f>
        <v>1648128</v>
      </c>
      <c r="F558" s="14" t="n">
        <f aca="false">D558*E558</f>
        <v>1648128</v>
      </c>
      <c r="G558" s="27"/>
    </row>
    <row r="559" customFormat="false" ht="15" hidden="false" customHeight="false" outlineLevel="0" collapsed="false">
      <c r="A559" s="29" t="s">
        <v>1110</v>
      </c>
      <c r="B559" s="27" t="s">
        <v>1111</v>
      </c>
      <c r="C559" s="29" t="s">
        <v>240</v>
      </c>
      <c r="D559" s="32" t="n">
        <f aca="false">'PL.3A'!D567-'PL.3A'!G567</f>
        <v>1</v>
      </c>
      <c r="E559" s="36" t="n">
        <f aca="false">'PL.3A'!H567</f>
        <v>1542591</v>
      </c>
      <c r="F559" s="14" t="n">
        <f aca="false">D559*E559</f>
        <v>1542591</v>
      </c>
      <c r="G559" s="27"/>
    </row>
    <row r="560" customFormat="false" ht="15" hidden="false" customHeight="false" outlineLevel="0" collapsed="false">
      <c r="A560" s="29" t="s">
        <v>1112</v>
      </c>
      <c r="B560" s="27" t="s">
        <v>1113</v>
      </c>
      <c r="C560" s="29" t="s">
        <v>240</v>
      </c>
      <c r="D560" s="32" t="n">
        <f aca="false">'PL.3A'!D568-'PL.3A'!G568</f>
        <v>1</v>
      </c>
      <c r="E560" s="36" t="n">
        <f aca="false">'PL.3A'!H568</f>
        <v>6369246</v>
      </c>
      <c r="F560" s="14" t="n">
        <f aca="false">D560*E560</f>
        <v>6369246</v>
      </c>
      <c r="G560" s="27"/>
    </row>
    <row r="561" customFormat="false" ht="15" hidden="false" customHeight="false" outlineLevel="0" collapsed="false">
      <c r="A561" s="29" t="s">
        <v>1114</v>
      </c>
      <c r="B561" s="27" t="s">
        <v>1115</v>
      </c>
      <c r="C561" s="29" t="s">
        <v>240</v>
      </c>
      <c r="D561" s="32" t="n">
        <f aca="false">'PL.3A'!D569-'PL.3A'!G569</f>
        <v>2</v>
      </c>
      <c r="E561" s="36" t="n">
        <f aca="false">'PL.3A'!H569</f>
        <v>1416790</v>
      </c>
      <c r="F561" s="14" t="n">
        <f aca="false">D561*E561</f>
        <v>2833580</v>
      </c>
      <c r="G561" s="27"/>
    </row>
    <row r="562" customFormat="false" ht="15" hidden="false" customHeight="false" outlineLevel="0" collapsed="false">
      <c r="A562" s="29" t="s">
        <v>1116</v>
      </c>
      <c r="B562" s="27" t="s">
        <v>1117</v>
      </c>
      <c r="C562" s="29" t="s">
        <v>240</v>
      </c>
      <c r="D562" s="32" t="n">
        <f aca="false">'PL.3A'!D570-'PL.3A'!G570</f>
        <v>2</v>
      </c>
      <c r="E562" s="36" t="n">
        <f aca="false">'PL.3A'!H570</f>
        <v>793776</v>
      </c>
      <c r="F562" s="14" t="n">
        <f aca="false">D562*E562</f>
        <v>1587552</v>
      </c>
      <c r="G562" s="27"/>
    </row>
    <row r="563" customFormat="false" ht="15" hidden="false" customHeight="false" outlineLevel="0" collapsed="false">
      <c r="A563" s="29" t="s">
        <v>1118</v>
      </c>
      <c r="B563" s="27" t="s">
        <v>1119</v>
      </c>
      <c r="C563" s="29" t="s">
        <v>1120</v>
      </c>
      <c r="D563" s="32" t="n">
        <f aca="false">'PL.3A'!D571-'PL.3A'!G571</f>
        <v>1</v>
      </c>
      <c r="E563" s="36" t="n">
        <f aca="false">'PL.3A'!H571</f>
        <v>2759242</v>
      </c>
      <c r="F563" s="14" t="n">
        <f aca="false">D563*E563</f>
        <v>2759242</v>
      </c>
      <c r="G563" s="27"/>
    </row>
    <row r="564" customFormat="false" ht="15" hidden="false" customHeight="false" outlineLevel="0" collapsed="false">
      <c r="A564" s="29" t="s">
        <v>1121</v>
      </c>
      <c r="B564" s="27" t="s">
        <v>1122</v>
      </c>
      <c r="C564" s="29" t="s">
        <v>240</v>
      </c>
      <c r="D564" s="32" t="n">
        <f aca="false">'PL.3A'!D572-'PL.3A'!G572</f>
        <v>1</v>
      </c>
      <c r="E564" s="36" t="n">
        <f aca="false">'PL.3A'!H572</f>
        <v>832901</v>
      </c>
      <c r="F564" s="14" t="n">
        <f aca="false">D564*E564</f>
        <v>832901</v>
      </c>
      <c r="G564" s="27"/>
    </row>
    <row r="565" customFormat="false" ht="15" hidden="false" customHeight="false" outlineLevel="0" collapsed="false">
      <c r="A565" s="29" t="s">
        <v>1123</v>
      </c>
      <c r="B565" s="27" t="s">
        <v>1124</v>
      </c>
      <c r="C565" s="29" t="s">
        <v>1125</v>
      </c>
      <c r="D565" s="32" t="n">
        <f aca="false">'PL.3A'!D573-'PL.3A'!G573</f>
        <v>0.2</v>
      </c>
      <c r="E565" s="36" t="n">
        <f aca="false">'PL.3A'!H573</f>
        <v>2690385</v>
      </c>
      <c r="F565" s="14" t="n">
        <f aca="false">D565*E565</f>
        <v>538077</v>
      </c>
      <c r="G565" s="27"/>
    </row>
    <row r="566" customFormat="false" ht="15" hidden="false" customHeight="false" outlineLevel="0" collapsed="false">
      <c r="A566" s="29" t="s">
        <v>1126</v>
      </c>
      <c r="B566" s="27" t="s">
        <v>1127</v>
      </c>
      <c r="C566" s="29" t="s">
        <v>240</v>
      </c>
      <c r="D566" s="32" t="n">
        <f aca="false">'PL.3A'!D574-'PL.3A'!G574</f>
        <v>1</v>
      </c>
      <c r="E566" s="36" t="n">
        <f aca="false">'PL.3A'!H574</f>
        <v>269469</v>
      </c>
      <c r="F566" s="14" t="n">
        <f aca="false">D566*E566</f>
        <v>269469</v>
      </c>
      <c r="G566" s="27"/>
    </row>
    <row r="567" customFormat="false" ht="15" hidden="false" customHeight="false" outlineLevel="0" collapsed="false">
      <c r="A567" s="29" t="s">
        <v>1128</v>
      </c>
      <c r="B567" s="27" t="s">
        <v>1129</v>
      </c>
      <c r="C567" s="29" t="s">
        <v>240</v>
      </c>
      <c r="D567" s="32" t="n">
        <f aca="false">'PL.3A'!D575-'PL.3A'!G575</f>
        <v>2</v>
      </c>
      <c r="E567" s="36" t="n">
        <f aca="false">'PL.3A'!H575</f>
        <v>673671</v>
      </c>
      <c r="F567" s="14" t="n">
        <f aca="false">D567*E567</f>
        <v>1347342</v>
      </c>
      <c r="G567" s="27"/>
    </row>
    <row r="568" customFormat="false" ht="15" hidden="false" customHeight="false" outlineLevel="0" collapsed="false">
      <c r="A568" s="29" t="s">
        <v>1130</v>
      </c>
      <c r="B568" s="27" t="s">
        <v>1131</v>
      </c>
      <c r="C568" s="29" t="s">
        <v>240</v>
      </c>
      <c r="D568" s="32" t="n">
        <f aca="false">'PL.3A'!D576-'PL.3A'!G576</f>
        <v>1</v>
      </c>
      <c r="E568" s="36" t="n">
        <f aca="false">'PL.3A'!H576</f>
        <v>22758385</v>
      </c>
      <c r="F568" s="14" t="n">
        <f aca="false">D568*E568</f>
        <v>22758385</v>
      </c>
      <c r="G568" s="27"/>
    </row>
    <row r="569" customFormat="false" ht="26.85" hidden="false" customHeight="false" outlineLevel="0" collapsed="false">
      <c r="A569" s="12" t="s">
        <v>1132</v>
      </c>
      <c r="B569" s="13" t="s">
        <v>1133</v>
      </c>
      <c r="C569" s="27"/>
      <c r="D569" s="27"/>
      <c r="E569" s="27"/>
      <c r="F569" s="27"/>
      <c r="G569" s="27"/>
    </row>
    <row r="570" customFormat="false" ht="15" hidden="false" customHeight="false" outlineLevel="0" collapsed="false">
      <c r="A570" s="29" t="s">
        <v>1134</v>
      </c>
      <c r="B570" s="27" t="s">
        <v>1135</v>
      </c>
      <c r="C570" s="29" t="s">
        <v>1136</v>
      </c>
      <c r="D570" s="32" t="n">
        <f aca="false">'PL.3A'!D578-'PL.3A'!G578</f>
        <v>1</v>
      </c>
      <c r="E570" s="36" t="n">
        <f aca="false">'PL.3A'!H578</f>
        <v>238457810</v>
      </c>
      <c r="F570" s="14" t="n">
        <f aca="false">D570*E570</f>
        <v>238457810</v>
      </c>
      <c r="G570" s="27"/>
    </row>
    <row r="571" customFormat="false" ht="15" hidden="false" customHeight="false" outlineLevel="0" collapsed="false">
      <c r="A571" s="12" t="s">
        <v>1137</v>
      </c>
      <c r="B571" s="13" t="s">
        <v>1138</v>
      </c>
      <c r="C571" s="27"/>
      <c r="D571" s="27"/>
      <c r="E571" s="27"/>
      <c r="F571" s="27"/>
      <c r="G571" s="27"/>
    </row>
    <row r="572" customFormat="false" ht="15" hidden="false" customHeight="false" outlineLevel="0" collapsed="false">
      <c r="A572" s="29" t="s">
        <v>1139</v>
      </c>
      <c r="B572" s="27" t="s">
        <v>1140</v>
      </c>
      <c r="C572" s="29" t="s">
        <v>1136</v>
      </c>
      <c r="D572" s="32" t="n">
        <f aca="false">'PL.3A'!D580-'PL.3A'!G580</f>
        <v>1</v>
      </c>
      <c r="E572" s="36" t="n">
        <f aca="false">'PL.3A'!H580</f>
        <v>21600000</v>
      </c>
      <c r="F572" s="14" t="n">
        <f aca="false">D572*E572</f>
        <v>21600000</v>
      </c>
      <c r="G572" s="27"/>
    </row>
    <row r="573" customFormat="false" ht="15" hidden="false" customHeight="false" outlineLevel="0" collapsed="false">
      <c r="A573" s="12" t="s">
        <v>1141</v>
      </c>
      <c r="B573" s="13" t="s">
        <v>1142</v>
      </c>
      <c r="C573" s="27"/>
      <c r="D573" s="27"/>
      <c r="E573" s="27"/>
      <c r="F573" s="27"/>
      <c r="G573" s="27"/>
    </row>
    <row r="574" customFormat="false" ht="15" hidden="false" customHeight="false" outlineLevel="0" collapsed="false">
      <c r="A574" s="29" t="s">
        <v>1143</v>
      </c>
      <c r="B574" s="27" t="s">
        <v>1144</v>
      </c>
      <c r="C574" s="29" t="s">
        <v>1136</v>
      </c>
      <c r="D574" s="32" t="n">
        <f aca="false">'PL.3A'!D582-'PL.3A'!G582</f>
        <v>1</v>
      </c>
      <c r="E574" s="36" t="n">
        <f aca="false">'PL.3A'!H582</f>
        <v>21600000</v>
      </c>
      <c r="F574" s="14" t="n">
        <f aca="false">D574*E574</f>
        <v>21600000</v>
      </c>
      <c r="G574" s="27"/>
    </row>
    <row r="575" customFormat="false" ht="26.85" hidden="false" customHeight="false" outlineLevel="0" collapsed="false">
      <c r="A575" s="12" t="s">
        <v>1145</v>
      </c>
      <c r="B575" s="13" t="s">
        <v>1146</v>
      </c>
      <c r="C575" s="27"/>
      <c r="D575" s="27"/>
      <c r="E575" s="27"/>
      <c r="F575" s="27"/>
      <c r="G575" s="27"/>
    </row>
    <row r="576" customFormat="false" ht="26.85" hidden="false" customHeight="false" outlineLevel="0" collapsed="false">
      <c r="A576" s="29" t="s">
        <v>1147</v>
      </c>
      <c r="B576" s="27" t="s">
        <v>1148</v>
      </c>
      <c r="C576" s="29" t="s">
        <v>1136</v>
      </c>
      <c r="D576" s="32" t="n">
        <f aca="false">'PL.3A'!D584-'PL.3A'!G584</f>
        <v>1</v>
      </c>
      <c r="E576" s="36" t="n">
        <f aca="false">'PL.3A'!H584</f>
        <v>3241955</v>
      </c>
      <c r="F576" s="14" t="n">
        <f aca="false">D576*E576</f>
        <v>3241955</v>
      </c>
      <c r="G576" s="27"/>
    </row>
    <row r="577" customFormat="false" ht="15" hidden="false" customHeight="false" outlineLevel="0" collapsed="false">
      <c r="A577" s="12" t="s">
        <v>1149</v>
      </c>
      <c r="B577" s="13" t="s">
        <v>1150</v>
      </c>
      <c r="C577" s="27"/>
      <c r="D577" s="27"/>
      <c r="E577" s="27"/>
      <c r="F577" s="27"/>
      <c r="G577" s="27"/>
    </row>
    <row r="578" customFormat="false" ht="26.85" hidden="false" customHeight="false" outlineLevel="0" collapsed="false">
      <c r="A578" s="29" t="s">
        <v>1151</v>
      </c>
      <c r="B578" s="27" t="s">
        <v>1152</v>
      </c>
      <c r="C578" s="29" t="s">
        <v>1136</v>
      </c>
      <c r="D578" s="32" t="n">
        <f aca="false">'PL.3A'!D586-'PL.3A'!G586</f>
        <v>1</v>
      </c>
      <c r="E578" s="36" t="n">
        <f aca="false">'PL.3A'!H586</f>
        <v>3931770</v>
      </c>
      <c r="F578" s="14" t="n">
        <f aca="false">D578*E578</f>
        <v>3931770</v>
      </c>
      <c r="G578" s="27"/>
    </row>
    <row r="579" customFormat="false" ht="26.85" hidden="false" customHeight="false" outlineLevel="0" collapsed="false">
      <c r="A579" s="12" t="s">
        <v>1153</v>
      </c>
      <c r="B579" s="13" t="s">
        <v>1154</v>
      </c>
      <c r="C579" s="27"/>
      <c r="D579" s="27"/>
      <c r="E579" s="27"/>
      <c r="F579" s="27"/>
      <c r="G579" s="27"/>
    </row>
    <row r="580" customFormat="false" ht="26.85" hidden="false" customHeight="false" outlineLevel="0" collapsed="false">
      <c r="A580" s="29" t="s">
        <v>1155</v>
      </c>
      <c r="B580" s="27" t="s">
        <v>1156</v>
      </c>
      <c r="C580" s="29" t="s">
        <v>1136</v>
      </c>
      <c r="D580" s="32" t="n">
        <f aca="false">'PL.3A'!D588-'PL.3A'!G588</f>
        <v>1</v>
      </c>
      <c r="E580" s="36" t="n">
        <f aca="false">'PL.3A'!H588</f>
        <v>16910064</v>
      </c>
      <c r="F580" s="14" t="n">
        <f aca="false">D580*E580</f>
        <v>16910064</v>
      </c>
      <c r="G580" s="27"/>
    </row>
    <row r="581" customFormat="false" ht="15" hidden="false" customHeight="false" outlineLevel="0" collapsed="false">
      <c r="A581" s="12" t="s">
        <v>1157</v>
      </c>
      <c r="B581" s="13" t="s">
        <v>1158</v>
      </c>
      <c r="C581" s="27"/>
      <c r="D581" s="27"/>
      <c r="E581" s="27"/>
      <c r="F581" s="27"/>
      <c r="G581" s="27"/>
    </row>
    <row r="582" customFormat="false" ht="26.85" hidden="false" customHeight="false" outlineLevel="0" collapsed="false">
      <c r="A582" s="29" t="s">
        <v>1159</v>
      </c>
      <c r="B582" s="27" t="s">
        <v>1160</v>
      </c>
      <c r="C582" s="29" t="s">
        <v>920</v>
      </c>
      <c r="D582" s="32" t="n">
        <f aca="false">'PL.3A'!D590-'PL.3A'!G590</f>
        <v>1</v>
      </c>
      <c r="E582" s="36" t="n">
        <f aca="false">'PL.3A'!H590</f>
        <v>243393000</v>
      </c>
      <c r="F582" s="14" t="n">
        <f aca="false">D582*E582</f>
        <v>243393000</v>
      </c>
      <c r="G582" s="27"/>
    </row>
    <row r="583" customFormat="false" ht="39.55" hidden="false" customHeight="false" outlineLevel="0" collapsed="false">
      <c r="A583" s="29" t="s">
        <v>1161</v>
      </c>
      <c r="B583" s="27" t="s">
        <v>1162</v>
      </c>
      <c r="C583" s="29" t="s">
        <v>832</v>
      </c>
      <c r="D583" s="32" t="n">
        <f aca="false">'PL.3A'!D591-'PL.3A'!G591</f>
        <v>1</v>
      </c>
      <c r="E583" s="36" t="n">
        <f aca="false">'PL.3A'!H591</f>
        <v>491490000</v>
      </c>
      <c r="F583" s="14" t="n">
        <f aca="false">D583*E583</f>
        <v>491490000</v>
      </c>
      <c r="G583" s="27"/>
    </row>
    <row r="584" customFormat="false" ht="15" hidden="false" customHeight="false" outlineLevel="0" collapsed="false">
      <c r="A584" s="29" t="s">
        <v>1163</v>
      </c>
      <c r="B584" s="27" t="s">
        <v>1164</v>
      </c>
      <c r="C584" s="29" t="s">
        <v>832</v>
      </c>
      <c r="D584" s="32" t="n">
        <f aca="false">'PL.3A'!D592-'PL.3A'!G592</f>
        <v>1</v>
      </c>
      <c r="E584" s="36" t="n">
        <f aca="false">'PL.3A'!H592</f>
        <v>39960000</v>
      </c>
      <c r="F584" s="14" t="n">
        <f aca="false">D584*E584</f>
        <v>39960000</v>
      </c>
      <c r="G584" s="27"/>
    </row>
    <row r="585" customFormat="false" ht="15" hidden="false" customHeight="false" outlineLevel="0" collapsed="false">
      <c r="A585" s="29" t="s">
        <v>1165</v>
      </c>
      <c r="B585" s="27" t="s">
        <v>1166</v>
      </c>
      <c r="C585" s="29" t="s">
        <v>193</v>
      </c>
      <c r="D585" s="32" t="n">
        <f aca="false">'PL.3A'!D593-'PL.3A'!G593</f>
        <v>1</v>
      </c>
      <c r="E585" s="36" t="n">
        <f aca="false">'PL.3A'!H593</f>
        <v>80308800</v>
      </c>
      <c r="F585" s="14" t="n">
        <f aca="false">D585*E585</f>
        <v>80308800</v>
      </c>
      <c r="G585" s="27"/>
    </row>
    <row r="586" customFormat="false" ht="15" hidden="false" customHeight="false" outlineLevel="0" collapsed="false">
      <c r="A586" s="29" t="s">
        <v>1167</v>
      </c>
      <c r="B586" s="27" t="s">
        <v>1168</v>
      </c>
      <c r="C586" s="29" t="s">
        <v>193</v>
      </c>
      <c r="D586" s="32" t="n">
        <f aca="false">'PL.3A'!D594-'PL.3A'!G594</f>
        <v>1</v>
      </c>
      <c r="E586" s="36" t="n">
        <f aca="false">'PL.3A'!H594</f>
        <v>4212000</v>
      </c>
      <c r="F586" s="14" t="n">
        <f aca="false">D586*E586</f>
        <v>4212000</v>
      </c>
      <c r="G586" s="27"/>
    </row>
    <row r="587" customFormat="false" ht="15" hidden="false" customHeight="false" outlineLevel="0" collapsed="false">
      <c r="A587" s="29" t="s">
        <v>1169</v>
      </c>
      <c r="B587" s="27" t="s">
        <v>1170</v>
      </c>
      <c r="C587" s="29" t="s">
        <v>193</v>
      </c>
      <c r="D587" s="32" t="n">
        <f aca="false">'PL.3A'!D595-'PL.3A'!G595</f>
        <v>1</v>
      </c>
      <c r="E587" s="36" t="n">
        <f aca="false">'PL.3A'!H595</f>
        <v>2160000</v>
      </c>
      <c r="F587" s="14" t="n">
        <f aca="false">D587*E587</f>
        <v>2160000</v>
      </c>
      <c r="G587" s="27"/>
    </row>
    <row r="588" customFormat="false" ht="15" hidden="false" customHeight="true" outlineLevel="0" collapsed="false">
      <c r="A588" s="15" t="s">
        <v>1186</v>
      </c>
      <c r="B588" s="15"/>
      <c r="C588" s="15"/>
      <c r="D588" s="15"/>
      <c r="E588" s="15"/>
      <c r="F588" s="16" t="n">
        <f aca="false">ROUND(SUM(F6:F587),-3)</f>
        <v>25007549000</v>
      </c>
      <c r="G588" s="17"/>
    </row>
    <row r="589" customFormat="false" ht="25.35" hidden="false" customHeight="false" outlineLevel="0" collapsed="false">
      <c r="B589" s="37" t="s">
        <v>1187</v>
      </c>
      <c r="F589" s="38" t="n">
        <f aca="false">'PL.3A'!I597-'PL.3A'!L597-F588</f>
        <v>0</v>
      </c>
    </row>
  </sheetData>
  <mergeCells count="4">
    <mergeCell ref="A1:G1"/>
    <mergeCell ref="A2:G2"/>
    <mergeCell ref="A3:G3"/>
    <mergeCell ref="A588:E588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2026-10-13T09:43:04Z</dcterms:created>
  <dc:creator>openpyxl</dc:creator>
  <dc:description/>
  <dc:language>en-US</dc:language>
  <cp:lastModifiedBy/>
  <dcterms:modified xsi:type="dcterms:W3CDTF">2026-10-13T09:43:05Z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