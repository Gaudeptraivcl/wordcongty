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ong hop vat tu" sheetId="1" state="visible" r:id="rId3"/>
    <sheet name="Thanh thai" sheetId="2" state="visible" r:id="rId4"/>
    <sheet name="Tuyen 1" sheetId="3" state="visible" r:id="rId5"/>
    <sheet name="Tuyen 2A" sheetId="4" state="visible" r:id="rId6"/>
    <sheet name="Tuyen 2B" sheetId="5" state="visible" r:id="rId7"/>
    <sheet name="Tuyen 2C" sheetId="6" state="visible" r:id="rId8"/>
    <sheet name="Tuyen 3" sheetId="7" state="visible" r:id="rId9"/>
    <sheet name="Bai duc CK" sheetId="8" state="visible" r:id="rId10"/>
  </sheets>
  <definedNames>
    <definedName function="false" hidden="false" localSheetId="7" name="_xlnm.Print_Titles" vbProcedure="false">'Bai duc CK'!$5:$5</definedName>
    <definedName function="false" hidden="false" localSheetId="1" name="_xlnm.Print_Titles" vbProcedure="false">'Thanh thai'!$5:$5</definedName>
    <definedName function="false" hidden="false" localSheetId="0" name="_xlnm.Print_Titles" vbProcedure="false">'Tong hop vat tu'!$5:$6</definedName>
    <definedName function="false" hidden="false" localSheetId="2" name="_xlnm.Print_Titles" vbProcedure="false">'Tuyen 1'!$5:$5</definedName>
    <definedName function="false" hidden="false" localSheetId="3" name="_xlnm.Print_Titles" vbProcedure="false">'Tuyen 2A'!$5:$5</definedName>
    <definedName function="false" hidden="false" localSheetId="4" name="_xlnm.Print_Titles" vbProcedure="false">'Tuyen 2B'!$5:$5</definedName>
    <definedName function="false" hidden="false" localSheetId="5" name="_xlnm.Print_Titles" vbProcedure="false">'Tuyen 2C'!$5:$5</definedName>
    <definedName function="false" hidden="false" localSheetId="6" name="_xlnm.Print_Titles" vbProcedure="false">'Tuyen 3'!$5:$5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<sst xmlns="http://schemas.openxmlformats.org/spreadsheetml/2006/main" count="4090" uniqueCount="376">
  <si>
    <t xml:space="preserve">BẢNG TỔNG HỢP VẬT TƯ CÁC TUYẾN</t>
  </si>
  <si>
    <t xml:space="preserve">Dự án: Xử lý khẩn cấp kè biển khu du lịch Hải Tiến, xã Hoằng Tiến</t>
  </si>
  <si>
    <t xml:space="preserve">Nguồn số liệu: Du_toan_Hoang_Tien_26.08.2026_TAC.xlsx, sheet 'Vật liệu'</t>
  </si>
  <si>
    <t xml:space="preserve">STT</t>
  </si>
  <si>
    <t xml:space="preserve">Tên vật tư</t>
  </si>
  <si>
    <t xml:space="preserve">Đơn vị</t>
  </si>
  <si>
    <t xml:space="preserve">Khối lượng vật tư theo từng tuyến / hạng mục</t>
  </si>
  <si>
    <t xml:space="preserve">Thành tiền (đ)</t>
  </si>
  <si>
    <t xml:space="preserve">Đơn giá bình quân (đ)</t>
  </si>
  <si>
    <t xml:space="preserve">Thanh thải</t>
  </si>
  <si>
    <t xml:space="preserve">Kè bờ tuyến 1</t>
  </si>
  <si>
    <t xml:space="preserve">Kè bờ tuyến 2A</t>
  </si>
  <si>
    <t xml:space="preserve">Kè bờ tuyến 2B</t>
  </si>
  <si>
    <t xml:space="preserve">Kè bờ tuyến 2C</t>
  </si>
  <si>
    <t xml:space="preserve">Kè bờ tuyến 3</t>
  </si>
  <si>
    <t xml:space="preserve">Bãi đúc cấu kiện</t>
  </si>
  <si>
    <t xml:space="preserve">Tổng khối lượng</t>
  </si>
  <si>
    <t xml:space="preserve">Bó vỉa đá 100x20x38cm</t>
  </si>
  <si>
    <t xml:space="preserve">m</t>
  </si>
  <si>
    <t xml:space="preserve">Bột đá (4,75%)</t>
  </si>
  <si>
    <t xml:space="preserve">kg</t>
  </si>
  <si>
    <t xml:space="preserve">Bu lông</t>
  </si>
  <si>
    <t xml:space="preserve">cái</t>
  </si>
  <si>
    <t xml:space="preserve">Cấp phối đá dăm loại 1</t>
  </si>
  <si>
    <t xml:space="preserve">m3</t>
  </si>
  <si>
    <t xml:space="preserve">Cấp phối đá dăm loại 2</t>
  </si>
  <si>
    <t xml:space="preserve">Cát mịn ML=1,5÷2,0</t>
  </si>
  <si>
    <t xml:space="preserve">Cát nền</t>
  </si>
  <si>
    <t xml:space="preserve">Cát vàng</t>
  </si>
  <si>
    <t xml:space="preserve">Cọc cừ máng BT dự ứng lực, chiều cao 30-50cm</t>
  </si>
  <si>
    <t xml:space="preserve">Cọc định vị</t>
  </si>
  <si>
    <t xml:space="preserve">Cọc tiếp địa, thép L63x63</t>
  </si>
  <si>
    <t xml:space="preserve">bộ</t>
  </si>
  <si>
    <t xml:space="preserve">Cồn rửa</t>
  </si>
  <si>
    <t xml:space="preserve">Cột chống thép ống</t>
  </si>
  <si>
    <t xml:space="preserve">Cút thép đầu cọc D34/15</t>
  </si>
  <si>
    <t xml:space="preserve">Đá 1x2</t>
  </si>
  <si>
    <t xml:space="preserve">Đá 2x4</t>
  </si>
  <si>
    <t xml:space="preserve">Đá 4x6</t>
  </si>
  <si>
    <t xml:space="preserve">Đá dăm 0,5x1 BTC (32,47%)</t>
  </si>
  <si>
    <t xml:space="preserve">Đá dăm 1x2 BTN (27,69%)</t>
  </si>
  <si>
    <t xml:space="preserve">Đá hộc 100-200kg</t>
  </si>
  <si>
    <t xml:space="preserve">Đá hộc hỗn hợp</t>
  </si>
  <si>
    <t xml:space="preserve">Đá mạt BTN (30,59)</t>
  </si>
  <si>
    <t xml:space="preserve">Đất đắp</t>
  </si>
  <si>
    <t xml:space="preserve">Dầu bảo ôn</t>
  </si>
  <si>
    <t xml:space="preserve">lít</t>
  </si>
  <si>
    <t xml:space="preserve">Dầu diezel</t>
  </si>
  <si>
    <t xml:space="preserve">Dầu mazút</t>
  </si>
  <si>
    <t xml:space="preserve">Dây thép</t>
  </si>
  <si>
    <t xml:space="preserve">Dây thép D10mm</t>
  </si>
  <si>
    <t xml:space="preserve">Gạch Terrazzo</t>
  </si>
  <si>
    <t xml:space="preserve">m2</t>
  </si>
  <si>
    <t xml:space="preserve">Gỗ kê</t>
  </si>
  <si>
    <t xml:space="preserve">Khí gas</t>
  </si>
  <si>
    <t xml:space="preserve">Khung móng M24</t>
  </si>
  <si>
    <t xml:space="preserve">Mua tấm đan làm bằng gang 1000x350mm</t>
  </si>
  <si>
    <t xml:space="preserve">1 cấu kiện</t>
  </si>
  <si>
    <t xml:space="preserve">Nhựa dán</t>
  </si>
  <si>
    <t xml:space="preserve">Nhựa đường BTN (4,5%)</t>
  </si>
  <si>
    <t xml:space="preserve">Nhựa nhũ tương gốc axít 60%</t>
  </si>
  <si>
    <t xml:space="preserve">Ni lông</t>
  </si>
  <si>
    <t xml:space="preserve">Nước</t>
  </si>
  <si>
    <t xml:space="preserve">Ống cao su cao áp Fi 34</t>
  </si>
  <si>
    <t xml:space="preserve">Ống cao su cao áp Fi 60</t>
  </si>
  <si>
    <t xml:space="preserve">Ống địa kỹ thuật GREENTUBE H=3m</t>
  </si>
  <si>
    <t xml:space="preserve">Ống nhựa miệng bát D100mm L=6m</t>
  </si>
  <si>
    <t xml:space="preserve">Ống nhựa miệng bát D200mm L=6m</t>
  </si>
  <si>
    <t xml:space="preserve">Oxy</t>
  </si>
  <si>
    <t xml:space="preserve">chai</t>
  </si>
  <si>
    <t xml:space="preserve">Phụ gia dẻo hoá bê tông</t>
  </si>
  <si>
    <t xml:space="preserve">Phụ gia R7</t>
  </si>
  <si>
    <t xml:space="preserve">Phụ gia siêu dẻo bê tông PCB40</t>
  </si>
  <si>
    <t xml:space="preserve">Que hàn</t>
  </si>
  <si>
    <t xml:space="preserve">Sơn dẻo nhiệt</t>
  </si>
  <si>
    <t xml:space="preserve">Sơn lót</t>
  </si>
  <si>
    <t xml:space="preserve">Tấm đan bó vỉa 50x30x5cm</t>
  </si>
  <si>
    <t xml:space="preserve">Thép dàn giáo</t>
  </si>
  <si>
    <t xml:space="preserve">Thép hình</t>
  </si>
  <si>
    <t xml:space="preserve">Thép hình định vị cọc</t>
  </si>
  <si>
    <t xml:space="preserve">Thép hình, thép tấm</t>
  </si>
  <si>
    <t xml:space="preserve">Thép tấm</t>
  </si>
  <si>
    <t xml:space="preserve">Thép tròn</t>
  </si>
  <si>
    <t xml:space="preserve">Thép tròn Fi ≤10mm</t>
  </si>
  <si>
    <t xml:space="preserve">Thép tròn Fi ≤18mm</t>
  </si>
  <si>
    <t xml:space="preserve">Vải địa kỹ thuật</t>
  </si>
  <si>
    <t xml:space="preserve">Xi măng PCB30</t>
  </si>
  <si>
    <t xml:space="preserve">Xi măng PCB40</t>
  </si>
  <si>
    <t xml:space="preserve">Xi măng PCB40 rời/bền sunfat type II</t>
  </si>
  <si>
    <t xml:space="preserve">Vật liệu khác</t>
  </si>
  <si>
    <t xml:space="preserve">%</t>
  </si>
  <si>
    <t xml:space="preserve">TỔNG CỘNG CHI PHÍ VẬT LIỆU</t>
  </si>
  <si>
    <t xml:space="preserve">KIỂM TRA CHI PHÍ VẬT LIỆU THEO TỪNG TUYẾN</t>
  </si>
  <si>
    <t xml:space="preserve">Hạng mục</t>
  </si>
  <si>
    <t xml:space="preserve">Theo bảng bóc (đ)</t>
  </si>
  <si>
    <t xml:space="preserve">Theo dự toán - THDT hạng mục (đ)</t>
  </si>
  <si>
    <t xml:space="preserve">Chênh lệch</t>
  </si>
  <si>
    <t xml:space="preserve">Cộng</t>
  </si>
  <si>
    <t xml:space="preserve">Kiểm tra tổng bảng tổng hợp so với cộng các tuyến:</t>
  </si>
  <si>
    <t xml:space="preserve">Ghi chú: Khối lượng lấy từ sheet 'Vật liệu' của file dự toán (đã gồm định mức hao phí). Vật tư được cộng gộp theo Tên + Đơn vị; cùng một vật tư có nhiều đơn giá ở các tuyến thì đơn giá ở cột cuối là đơn giá bình quân. 'Vật liệu khác' tính theo % nên chỉ có thành tiền.</t>
  </si>
  <si>
    <t xml:space="preserve">BẢNG BÓC VẬT TƯ - THANH THẢI</t>
  </si>
  <si>
    <t xml:space="preserve">(Căn cứ theo Giá vật liệu xây dựng quý 4/2025 - tỉnh Thanh Hóa) - Nguồn số liệu: Du_toan_Hoang_Tien_26.08.2026_TAC.xlsx, sheet 'Vật liệu'</t>
  </si>
  <si>
    <t xml:space="preserve">Mã hiệu</t>
  </si>
  <si>
    <t xml:space="preserve">Tên vật tư / Công tác sử dụng</t>
  </si>
  <si>
    <t xml:space="preserve">Khối lượng</t>
  </si>
  <si>
    <t xml:space="preserve">Đơn giá (đ)</t>
  </si>
  <si>
    <t xml:space="preserve">Khóa tổng hợp</t>
  </si>
  <si>
    <t xml:space="preserve">V00515</t>
  </si>
  <si>
    <t xml:space="preserve">Que hàn|kg</t>
  </si>
  <si>
    <t xml:space="preserve">AA.22111</t>
  </si>
  <si>
    <t xml:space="preserve">   - Phá dỡ ống buy D1000 có cốt thép bằng búa căn khí nén 3m3/ph</t>
  </si>
  <si>
    <t xml:space="preserve">   - Phá dỡ nắp ống bê tông có cốt thép bằng búa căn khí nén 3m3/ph</t>
  </si>
  <si>
    <t xml:space="preserve">   - Phá dỡ kết cấu bê tông có cốt thép bằng búa căn khí nén 3m3/ph</t>
  </si>
  <si>
    <t xml:space="preserve">   - Phá dỡ bậc thang có cốt thép bằng búa căn khí nén 3m3/ph</t>
  </si>
  <si>
    <t xml:space="preserve">Ghi chú: dòng in đậm là vật tư (khối lượng = tổng các công tác bên dưới); dòng in nghiêng là công tác sử dụng vật tư đó. Bấm dấu [-]/[+] bên trái để thu gọn/mở chi tiết. Chữ xanh là số liệu lấy nguyên từ file dự toán.</t>
  </si>
  <si>
    <t xml:space="preserve">BẢNG BÓC VẬT TƯ - KÈ BỜ TUYẾN 1</t>
  </si>
  <si>
    <t xml:space="preserve">(Căn cứ theo Giá vật liệu xây dựng quý 2/2026 - tỉnh Thanh Hóa) - Nguồn số liệu: Du_toan_Hoang_Tien_26.08.2026_TAC.xlsx, sheet 'Vật liệu'</t>
  </si>
  <si>
    <t xml:space="preserve">V00710</t>
  </si>
  <si>
    <t xml:space="preserve">Bó vỉa đá 100x20x38cm|m</t>
  </si>
  <si>
    <t xml:space="preserve">AK.57121</t>
  </si>
  <si>
    <t xml:space="preserve">   - Bó vỉa thẳng hè, bó vỉa đá 20x30x100cm, vữa XM M25, PCB40</t>
  </si>
  <si>
    <t xml:space="preserve">V00091</t>
  </si>
  <si>
    <t xml:space="preserve">Bột đá (4,75%)|kg</t>
  </si>
  <si>
    <t xml:space="preserve">TT</t>
  </si>
  <si>
    <t xml:space="preserve">   - Tỷ phối BTN C16</t>
  </si>
  <si>
    <t xml:space="preserve">V85971</t>
  </si>
  <si>
    <t xml:space="preserve">Cát mịn ML=1,5÷2,0|m3</t>
  </si>
  <si>
    <t xml:space="preserve">AK.55110</t>
  </si>
  <si>
    <t xml:space="preserve">   - Lát gạch xi măng, vữa XM M75, PCB40</t>
  </si>
  <si>
    <t xml:space="preserve">AK.55113</t>
  </si>
  <si>
    <t xml:space="preserve">   - Tấm đan bó vỉa 50x30x5cm, vữa XM M25, PCB40</t>
  </si>
  <si>
    <t xml:space="preserve">V00112</t>
  </si>
  <si>
    <t xml:space="preserve">Cát vàng|m3</t>
  </si>
  <si>
    <t xml:space="preserve">AF.12154</t>
  </si>
  <si>
    <t xml:space="preserve">   - Bê tông vai kè, đổ bằng thủ công - Chiều dày ≤45cm, chiều cao ≤6m, M300, đá 2x4, PCB40</t>
  </si>
  <si>
    <t xml:space="preserve">AG.11924</t>
  </si>
  <si>
    <t xml:space="preserve">   - Bê tông khối bậc thang 2T, bê tông M300, đá 2x4, PCB40 - Đổ bê tông đúc sẵn bằng thủ công (vữa bê tông sản xuất bằng máy trộn)</t>
  </si>
  <si>
    <t xml:space="preserve">   - Bê tông khối chặn chân 1,5x1,5x0,5m, bê tông M300, đá 2x4, PCB40 - Đổ bê tông đúc sẵn bằng thủ công (vữa bê tông sản xuất bằng máy trộn)</t>
  </si>
  <si>
    <t xml:space="preserve">   - Bê tông khối vai kè 2T, bê tông thương phẩm M300, đá 2x4 - Đổ bê tông đúc sẵn bằng thủ công</t>
  </si>
  <si>
    <t xml:space="preserve">AF.12314</t>
  </si>
  <si>
    <t xml:space="preserve">   - Bê tông dầm 50x50cm khóa đầu kè, đổ bằng thủ công, chiều cao ≤6m, M300, đá 2x4, PCB40</t>
  </si>
  <si>
    <t xml:space="preserve">AF.24314</t>
  </si>
  <si>
    <t xml:space="preserve">   - Bê tông tường chắn, Chiều dày (cm) ≤45cm, bê tông M300, đá 2x4, PCB40</t>
  </si>
  <si>
    <t xml:space="preserve">AF.12155A</t>
  </si>
  <si>
    <t xml:space="preserve">   - Bê tông tường SX bằng máy trộn, đổ bằng thủ công - Chiều dày ≤45cm, chiều cao ≤6m, M300, đá 2x4, PCB30</t>
  </si>
  <si>
    <t xml:space="preserve">AF.12614</t>
  </si>
  <si>
    <t xml:space="preserve">   - Bê tông bậc lên xuống, đổ bằng thủ công, bê tông M300, đá 2x4, PCB40</t>
  </si>
  <si>
    <t xml:space="preserve">AG.11216</t>
  </si>
  <si>
    <t xml:space="preserve">   - Bê tông nắp rãnh thoát nước, bê tông M400, đá 2x4, PCB40 - Đổ bê tông đúc sẵn bằng thủ công</t>
  </si>
  <si>
    <t xml:space="preserve">AF.31113A</t>
  </si>
  <si>
    <t xml:space="preserve">   - Bê tông móng cột đèn, M200, đá 1x2, PCB30</t>
  </si>
  <si>
    <t xml:space="preserve">   - Bê tông chèn, đổ bằng thủ công - Chiều dày ≤45cm, chiều cao ≤6m, M300, đá 2x4, PCB40</t>
  </si>
  <si>
    <t xml:space="preserve">AF.13226</t>
  </si>
  <si>
    <t xml:space="preserve">   - Bê tông  rãnh nước, đổ bằng thủ công, bê tông M400, đá 2x4, PCB40</t>
  </si>
  <si>
    <t xml:space="preserve">AF.11325A</t>
  </si>
  <si>
    <t xml:space="preserve">   - Bê tông nền SX bằng máy trộn, đổ bằng thủ công, M200, đá 2x4, PCB40</t>
  </si>
  <si>
    <t xml:space="preserve">AF.11314</t>
  </si>
  <si>
    <t xml:space="preserve">V00649</t>
  </si>
  <si>
    <t xml:space="preserve">Cọc định vị|kg</t>
  </si>
  <si>
    <t xml:space="preserve">   - Thi công ống địa kĩ thuật (Ống Geotube)</t>
  </si>
  <si>
    <t xml:space="preserve">V18044</t>
  </si>
  <si>
    <t xml:space="preserve">Cọc tiếp địa, thép L63x63|bộ</t>
  </si>
  <si>
    <t xml:space="preserve">CS.1.06.10</t>
  </si>
  <si>
    <t xml:space="preserve">   - Làm tiếp địa cho cột điện</t>
  </si>
  <si>
    <t xml:space="preserve">V01982</t>
  </si>
  <si>
    <t xml:space="preserve">Cồn rửa|kg</t>
  </si>
  <si>
    <t xml:space="preserve">BB.41108</t>
  </si>
  <si>
    <t xml:space="preserve">   - Lắp đặt ống nhựa PVC miệng bát, nối bằng p/p dán keo, đoạn ống dài 6m - Đường kính 100mm thoát nước</t>
  </si>
  <si>
    <t xml:space="preserve">BB.41111</t>
  </si>
  <si>
    <t xml:space="preserve">   - Lắp đặt ống nhựa PVC miệng bát, nối bằng p/p dán keo, đoạn ống dài 6m - Đường kính 200mm chứa dây điện</t>
  </si>
  <si>
    <t xml:space="preserve">V00199</t>
  </si>
  <si>
    <t xml:space="preserve">Cột chống thép ống|kg</t>
  </si>
  <si>
    <t xml:space="preserve">AF.86381</t>
  </si>
  <si>
    <t xml:space="preserve">   - Ván khuôn thép tường chắn</t>
  </si>
  <si>
    <t xml:space="preserve">V05208</t>
  </si>
  <si>
    <t xml:space="preserve">Đá 2x4|m3</t>
  </si>
  <si>
    <t xml:space="preserve">V05209</t>
  </si>
  <si>
    <t xml:space="preserve">Đá 4x6|m3</t>
  </si>
  <si>
    <t xml:space="preserve">TLB.21311</t>
  </si>
  <si>
    <t xml:space="preserve">   - Đá dăm 4x6cm (dày 20cm)</t>
  </si>
  <si>
    <t xml:space="preserve">TLB.2131</t>
  </si>
  <si>
    <t xml:space="preserve">   - Đá dăm 4x6cm lót</t>
  </si>
  <si>
    <t xml:space="preserve">AB.55311</t>
  </si>
  <si>
    <t xml:space="preserve">   - Thi công đá dăm 4x6cm bằng máy đào 1,25m3</t>
  </si>
  <si>
    <t xml:space="preserve">V11034</t>
  </si>
  <si>
    <t xml:space="preserve">Đá dăm 0,5x1 BTC (32,47%)|m3</t>
  </si>
  <si>
    <t xml:space="preserve">V00811</t>
  </si>
  <si>
    <t xml:space="preserve">Đá dăm 1x2 BTN (27,69%)|m3</t>
  </si>
  <si>
    <t xml:space="preserve">V00823</t>
  </si>
  <si>
    <t xml:space="preserve">Đá hộc 100-200kg|m3</t>
  </si>
  <si>
    <t xml:space="preserve">AB.55313vd</t>
  </si>
  <si>
    <t xml:space="preserve">   - Thi công đá hộc 100-200kg đổ rối</t>
  </si>
  <si>
    <t xml:space="preserve">Đá hộc hỗn hợp|m3</t>
  </si>
  <si>
    <t xml:space="preserve">AB.55311vd</t>
  </si>
  <si>
    <t xml:space="preserve">   - Thi công đá hộc hỗn hợp đổ rối</t>
  </si>
  <si>
    <t xml:space="preserve">AB.67120vd</t>
  </si>
  <si>
    <t xml:space="preserve">   - Thi công đá hộc hỗn hợp làm phẳng mái</t>
  </si>
  <si>
    <t xml:space="preserve">   - Thi công đá hộc 100-200kg làm phẳng mái</t>
  </si>
  <si>
    <t xml:space="preserve">V04361</t>
  </si>
  <si>
    <t xml:space="preserve">Đá mạt BTN (30,59)|m3</t>
  </si>
  <si>
    <t xml:space="preserve">V03101</t>
  </si>
  <si>
    <t xml:space="preserve">Dầu bảo ôn|lít</t>
  </si>
  <si>
    <t xml:space="preserve">AD.26143</t>
  </si>
  <si>
    <t xml:space="preserve">   - Sản xuất đá dăm đen, bê tông nhựa hạt mịn bằng trạm trộn 120T/h</t>
  </si>
  <si>
    <t xml:space="preserve">V03102</t>
  </si>
  <si>
    <t xml:space="preserve">Dầu diezel|lít</t>
  </si>
  <si>
    <t xml:space="preserve">V03103</t>
  </si>
  <si>
    <t xml:space="preserve">Dầu mazút|lít</t>
  </si>
  <si>
    <t xml:space="preserve">V00226</t>
  </si>
  <si>
    <t xml:space="preserve">Dây thép|kg</t>
  </si>
  <si>
    <t xml:space="preserve">AG.13720</t>
  </si>
  <si>
    <t xml:space="preserve">   - Lắp đặt thép móc cẩu vào khối bậc thang 2T</t>
  </si>
  <si>
    <t xml:space="preserve">   - Cắt thép móc cẩu</t>
  </si>
  <si>
    <t xml:space="preserve">AF.61521</t>
  </si>
  <si>
    <t xml:space="preserve">   - Lắp dựng cốt thép dầm BTCT khoá đầu kè, ĐK ≤18mm, chiều cao ≤6m</t>
  </si>
  <si>
    <t xml:space="preserve">AF.61511</t>
  </si>
  <si>
    <t xml:space="preserve">   - Lắp dựng cốt thép dầm BTCT khoá đầu kè, ĐK ≤10mm</t>
  </si>
  <si>
    <t xml:space="preserve">   - Lắp dựng rãnh thoát nước, ĐK ≤10mm</t>
  </si>
  <si>
    <t xml:space="preserve">   - Lắp dựng cốt thép nắp rãnh thoát nước, ĐK ≤10mm</t>
  </si>
  <si>
    <t xml:space="preserve">AI.64231</t>
  </si>
  <si>
    <t xml:space="preserve">   - Lắp đặt cấu kiện thép đặt sẵn trong bê tông, KL ≤50kg/1 cấu kiện</t>
  </si>
  <si>
    <t xml:space="preserve">V06468</t>
  </si>
  <si>
    <t xml:space="preserve">Dây thép D10mm|kg</t>
  </si>
  <si>
    <t xml:space="preserve">BA.19302</t>
  </si>
  <si>
    <t xml:space="preserve">   - Kéo rải dây thép, D=10mm</t>
  </si>
  <si>
    <t xml:space="preserve">V00360</t>
  </si>
  <si>
    <t xml:space="preserve">Gạch Terrazzo|m2</t>
  </si>
  <si>
    <t xml:space="preserve">V00394</t>
  </si>
  <si>
    <t xml:space="preserve">Gỗ kê|m3</t>
  </si>
  <si>
    <t xml:space="preserve">SA.21611</t>
  </si>
  <si>
    <t xml:space="preserve">   - Tháo dỡ các kết cấu thép - cột đèn</t>
  </si>
  <si>
    <t xml:space="preserve">V05607</t>
  </si>
  <si>
    <t xml:space="preserve">Khí gas|kg</t>
  </si>
  <si>
    <t xml:space="preserve">AK.91131</t>
  </si>
  <si>
    <t xml:space="preserve">   - Sơn kẻ đường bằng sơn dẻo nhiệt phản quang, dày sơn 2mm</t>
  </si>
  <si>
    <t xml:space="preserve">VT1</t>
  </si>
  <si>
    <t xml:space="preserve">Khung móng M24|bộ</t>
  </si>
  <si>
    <t xml:space="preserve">   - Bulong móng M24</t>
  </si>
  <si>
    <t xml:space="preserve">Mua tấm đan làm bằng gang 1000x350mm|1 cấu kiện</t>
  </si>
  <si>
    <t xml:space="preserve">V02208</t>
  </si>
  <si>
    <t xml:space="preserve">Nhựa dán|kg</t>
  </si>
  <si>
    <t xml:space="preserve">V00492</t>
  </si>
  <si>
    <t xml:space="preserve">Nhựa đường BTN (4,5%)|kg</t>
  </si>
  <si>
    <t xml:space="preserve">V05632</t>
  </si>
  <si>
    <t xml:space="preserve">Nhựa nhũ tương gốc axít 60%|kg</t>
  </si>
  <si>
    <t xml:space="preserve">AD.24223</t>
  </si>
  <si>
    <t xml:space="preserve">   - Tưới lớp dính bám, thấm bám mặt đường bằng nhũ tương gốc Axít, lượng nhũ tương 1kg/m2</t>
  </si>
  <si>
    <t xml:space="preserve">V77999</t>
  </si>
  <si>
    <t xml:space="preserve">Ni lông|m2</t>
  </si>
  <si>
    <t xml:space="preserve">AL.16201</t>
  </si>
  <si>
    <t xml:space="preserve">   - Rải ni lông</t>
  </si>
  <si>
    <t xml:space="preserve">AL.16201vd</t>
  </si>
  <si>
    <t xml:space="preserve">   - Rải nilong lớp cách ly</t>
  </si>
  <si>
    <t xml:space="preserve">V00494</t>
  </si>
  <si>
    <t xml:space="preserve">Nước|lít</t>
  </si>
  <si>
    <t xml:space="preserve">VT2</t>
  </si>
  <si>
    <t xml:space="preserve">Ống địa kỹ thuật GREENTUBE H=3m|m</t>
  </si>
  <si>
    <t xml:space="preserve">   - Cung cấp ống địa kĩ thuật (Geotube)</t>
  </si>
  <si>
    <t xml:space="preserve">V42472</t>
  </si>
  <si>
    <t xml:space="preserve">Ống nhựa miệng bát D100mm L=6m|m</t>
  </si>
  <si>
    <t xml:space="preserve">V42473</t>
  </si>
  <si>
    <t xml:space="preserve">Ống nhựa miệng bát D200mm L=6m|m</t>
  </si>
  <si>
    <t xml:space="preserve">Phụ gia R7|kg</t>
  </si>
  <si>
    <t xml:space="preserve">V78035</t>
  </si>
  <si>
    <t xml:space="preserve">Phụ gia siêu dẻo bê tông PCB40|kg</t>
  </si>
  <si>
    <t xml:space="preserve">AF.82511</t>
  </si>
  <si>
    <t xml:space="preserve">   - Ván khuôn vai kè</t>
  </si>
  <si>
    <t xml:space="preserve">AG.32211</t>
  </si>
  <si>
    <t xml:space="preserve">   - Gia công, lắp dựng, tháo dỡ ván khuôn khốibậc thang 2T</t>
  </si>
  <si>
    <t xml:space="preserve">   - Gia công, lắp dựng, tháo dỡ ván khuôn khối chặn chân 1,5x1,5x0,5m</t>
  </si>
  <si>
    <t xml:space="preserve">   - Gia công, lắp dựng, tháo dỡ ván khuôn khối vai kè 2T</t>
  </si>
  <si>
    <t xml:space="preserve">   - Ván khuôn dầm BTCT khóa đầu kè</t>
  </si>
  <si>
    <t xml:space="preserve">AF.82411</t>
  </si>
  <si>
    <t xml:space="preserve">   - Ván khuôn thép mặt đường bê tông</t>
  </si>
  <si>
    <t xml:space="preserve">   - Ván khuôn ghế đá</t>
  </si>
  <si>
    <t xml:space="preserve">   - Ván khuôn bậc lên xuống</t>
  </si>
  <si>
    <t xml:space="preserve">   - Ván khuôn rãnh thoát nước</t>
  </si>
  <si>
    <t xml:space="preserve">   - Gia công, lắp dựng, tháo dỡ ván khuôn nắp rãnh thoát nước</t>
  </si>
  <si>
    <t xml:space="preserve">AF.82521</t>
  </si>
  <si>
    <t xml:space="preserve">   - Ván khuôn thép móng cột</t>
  </si>
  <si>
    <t xml:space="preserve">V00550</t>
  </si>
  <si>
    <t xml:space="preserve">Sơn dẻo nhiệt|kg</t>
  </si>
  <si>
    <t xml:space="preserve">V00560</t>
  </si>
  <si>
    <t xml:space="preserve">Sơn lót|kg</t>
  </si>
  <si>
    <t xml:space="preserve">Tấm đan bó vỉa 50x30x5cm|m</t>
  </si>
  <si>
    <t xml:space="preserve">V04322</t>
  </si>
  <si>
    <t xml:space="preserve">Thép dàn giáo|kg</t>
  </si>
  <si>
    <t xml:space="preserve">V00641</t>
  </si>
  <si>
    <t xml:space="preserve">Thép hình|kg</t>
  </si>
  <si>
    <t xml:space="preserve">V00650</t>
  </si>
  <si>
    <t xml:space="preserve">Thép hình, thép tấm|kg</t>
  </si>
  <si>
    <t xml:space="preserve">V00671</t>
  </si>
  <si>
    <t xml:space="preserve">Thép tấm|kg</t>
  </si>
  <si>
    <t xml:space="preserve">V00656</t>
  </si>
  <si>
    <t xml:space="preserve">Thép tròn|kg</t>
  </si>
  <si>
    <t xml:space="preserve">V85992</t>
  </si>
  <si>
    <t xml:space="preserve">Thép tròn Fi ≤10mm|kg</t>
  </si>
  <si>
    <t xml:space="preserve">V85993</t>
  </si>
  <si>
    <t xml:space="preserve">Thép tròn Fi ≤18mm|kg</t>
  </si>
  <si>
    <t xml:space="preserve">V00749</t>
  </si>
  <si>
    <t xml:space="preserve">Vải địa kỹ thuật|m2</t>
  </si>
  <si>
    <t xml:space="preserve">AL.16121</t>
  </si>
  <si>
    <t xml:space="preserve">   - Gia cố nền đất yếu rải vải địa kỹ thuật làm nền đường, mái đê, đập</t>
  </si>
  <si>
    <t xml:space="preserve">V08770</t>
  </si>
  <si>
    <t xml:space="preserve">Xi măng PCB40|kg</t>
  </si>
  <si>
    <t xml:space="preserve">Xi măng PCB40 rời/bền sunfat type II|kg</t>
  </si>
  <si>
    <t xml:space="preserve">V00750</t>
  </si>
  <si>
    <t xml:space="preserve">Vật liệu khác|%</t>
  </si>
  <si>
    <t xml:space="preserve">BẢNG BÓC VẬT TƯ - KÈ BỜ TUYẾN 2A</t>
  </si>
  <si>
    <t xml:space="preserve">V00010</t>
  </si>
  <si>
    <t xml:space="preserve">Bu lông|cái</t>
  </si>
  <si>
    <t xml:space="preserve">AI.63311</t>
  </si>
  <si>
    <t xml:space="preserve">   - Lắp dựng kết cấu thép hệ khung dàn, sàn đạo trên cạn</t>
  </si>
  <si>
    <t xml:space="preserve">V03097</t>
  </si>
  <si>
    <t xml:space="preserve">Cấp phối đá dăm loại 1|m3</t>
  </si>
  <si>
    <t xml:space="preserve">AD.11222</t>
  </si>
  <si>
    <t xml:space="preserve">   - Thi công móng cấp phối đá dăm loại I dày 15cm</t>
  </si>
  <si>
    <t xml:space="preserve">Cấp phối đá dăm loại 2|m3</t>
  </si>
  <si>
    <t xml:space="preserve">AD.11212</t>
  </si>
  <si>
    <t xml:space="preserve">   - Thi công móng cấp phối đá dăm loại II dày 30cm</t>
  </si>
  <si>
    <t xml:space="preserve">   - Bê tông khối bậc thang loại A, bê tông M300, đá 2x4, PCB40 - Đổ bê tông đúc sẵn bằng thủ công (vữa bê tông sản xuất bằng máy trộn)</t>
  </si>
  <si>
    <t xml:space="preserve">   - Bê tông khối bậc thang loại B, bê tông M300, đá 2x4, PCB40 - Đổ bê tông đúc sẵn bằng thủ công (vữa bê tông sản xuất bằng máy trộn)</t>
  </si>
  <si>
    <t xml:space="preserve">   - Bê tông dầm mũ SX bằng máy trộn, đổ bằng thủ công, chiều cao ≤6m, M300, đá 2x4, PCB40</t>
  </si>
  <si>
    <t xml:space="preserve">V42165</t>
  </si>
  <si>
    <t xml:space="preserve">Cọc cừ máng BT dự ứng lực, chiều cao 30-50cm|m</t>
  </si>
  <si>
    <t xml:space="preserve">AC.12411</t>
  </si>
  <si>
    <t xml:space="preserve">   - Đóng cọc cừ máng bê tông dự ứng lực trên cạn bằng búa rung 50kW kết hợp xói nước đầu cọc, chiều cao máng cọc 30-50cm (phần ngập đất)</t>
  </si>
  <si>
    <t xml:space="preserve">   - Đóng cọc cừ máng bê tông dự ứng lực trên cạn bằng búa rung 50kW kết hợp xói nước đầu cọc, chiều cao máng cọc 30-50cm (phần tự do)</t>
  </si>
  <si>
    <t xml:space="preserve">AF.86311</t>
  </si>
  <si>
    <t xml:space="preserve">   - Ván khuôn thép, khung xương, cột chống giáo ống, xà dầm, giằng, chiều cao ≤28m</t>
  </si>
  <si>
    <t xml:space="preserve">V00124</t>
  </si>
  <si>
    <t xml:space="preserve">Cút thép đầu cọc D34/15|cái</t>
  </si>
  <si>
    <t xml:space="preserve">V00830</t>
  </si>
  <si>
    <t xml:space="preserve">Đất đắp|m3</t>
  </si>
  <si>
    <t xml:space="preserve">AB.65130</t>
  </si>
  <si>
    <t xml:space="preserve">   - Đắp đất bằng đầm đất cầm tay 70kg, độ chặt Y/C K = 0,95 (hệ số tơi: 1,24, hệ số chuyển từ đào sang đắp: 1,13)</t>
  </si>
  <si>
    <t xml:space="preserve">   - Lắp đặt thép móc cẩu vào khối bậc thang loại A</t>
  </si>
  <si>
    <t xml:space="preserve">   - Lắp đặt thép móc cẩu vào khối bậc thang loại B</t>
  </si>
  <si>
    <t xml:space="preserve">   - Lắp dựng cốt thép xà dầm, giằng, ĐK ≤10mm, chiều cao ≤6m</t>
  </si>
  <si>
    <t xml:space="preserve">   - Lắp dựng cốt thép dầm mũ, ĐK ≤18mm, chiều cao ≤6m</t>
  </si>
  <si>
    <t xml:space="preserve">AI.11912vd</t>
  </si>
  <si>
    <t xml:space="preserve">   - Gia công hệ sàn đạo, sàn thao tác thép hình I (Thi công trong 4 ngày, hệ số hao phí VL chính = (4/30*1.5%+5%=0.052) )</t>
  </si>
  <si>
    <t xml:space="preserve">   - Gia công hệ sàn đạo, sàn thao tác thép tấm (Thi công trong 4 ngày, hệ số hao phí VL chính = (4/30*1.5%+5%=0.052)</t>
  </si>
  <si>
    <t xml:space="preserve">AI.63411</t>
  </si>
  <si>
    <t xml:space="preserve">   - Tháo dỡ kết cấu thép hệ khung dàn, sàn đạo trên cạn</t>
  </si>
  <si>
    <t xml:space="preserve">V21218</t>
  </si>
  <si>
    <t xml:space="preserve">Ống cao su cao áp Fi 34|m</t>
  </si>
  <si>
    <t xml:space="preserve">V21219</t>
  </si>
  <si>
    <t xml:space="preserve">Ống cao su cao áp Fi 60|m</t>
  </si>
  <si>
    <t xml:space="preserve">V42212</t>
  </si>
  <si>
    <t xml:space="preserve">Oxy|chai</t>
  </si>
  <si>
    <t xml:space="preserve">   - Gia công, lắp dựng, tháo dỡ ván khuôn khối bậc thang loại A</t>
  </si>
  <si>
    <t xml:space="preserve">   - Gia công, lắp dựng, tháo dỡ ván khuôn khối bậc thang loại B</t>
  </si>
  <si>
    <t xml:space="preserve">Thép hình định vị cọc|kg</t>
  </si>
  <si>
    <t xml:space="preserve">BẢNG BÓC VẬT TƯ - KÈ BỜ TUYẾN 2B</t>
  </si>
  <si>
    <t xml:space="preserve">   - Gia công, lắp dựng, tháo dỡ ván khuôn khối bậc thang 2T</t>
  </si>
  <si>
    <t xml:space="preserve">BẢNG BÓC VẬT TƯ - KÈ BỜ TUYẾN 2C</t>
  </si>
  <si>
    <t xml:space="preserve">V12696</t>
  </si>
  <si>
    <t xml:space="preserve">Cát nền|m3</t>
  </si>
  <si>
    <t xml:space="preserve">AB.24131</t>
  </si>
  <si>
    <t xml:space="preserve">   - Cát đắp dưới kè - Cấp đất I (mua mới)</t>
  </si>
  <si>
    <t xml:space="preserve">AG.12225A</t>
  </si>
  <si>
    <t xml:space="preserve">   - Bê tông dầm mũ M300</t>
  </si>
  <si>
    <t xml:space="preserve">V05207</t>
  </si>
  <si>
    <t xml:space="preserve">Đá 1x2|m3</t>
  </si>
  <si>
    <t xml:space="preserve">V00508</t>
  </si>
  <si>
    <t xml:space="preserve">Phụ gia dẻo hoá bê tông|kg</t>
  </si>
  <si>
    <t xml:space="preserve">V02470</t>
  </si>
  <si>
    <t xml:space="preserve">Xi măng PCB30|kg</t>
  </si>
  <si>
    <t xml:space="preserve">BẢNG BÓC VẬT TƯ - KÈ BỜ TUYẾN 3</t>
  </si>
  <si>
    <t xml:space="preserve">AB.24131vd</t>
  </si>
  <si>
    <t xml:space="preserve">BẢNG BÓC VẬT TƯ - BÃI ĐÚC CẤU KIỆN</t>
  </si>
  <si>
    <t xml:space="preserve">   - Thi công móng cấp phối đá dăm loại I dày 10cm</t>
  </si>
  <si>
    <t xml:space="preserve">AF.11324</t>
  </si>
  <si>
    <t xml:space="preserve">   - Bê tông nền SX bằng máy trộn, đổ bằng thủ công, M300, đá 2x4, PCB40</t>
  </si>
  <si>
    <t xml:space="preserve">   - Rải nilong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</si>
</sst>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0;\-#,##0.000;\-"/>
    <numFmt numFmtId="166" formatCode="#,##0;\-#,##0;\-"/>
    <numFmt numFmtId="167" formatCode="#,##0;\-#,##0;&quot;OK&quot;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Times New Roman"/>
      <family val="0"/>
      <charset val="1"/>
    </font>
    <font>
      <i val="true"/>
      <sz val="11"/>
      <color rgb="FF000000"/>
      <name val="Times New Roman"/>
      <family val="0"/>
      <charset val="1"/>
    </font>
    <font>
      <i val="true"/>
      <sz val="10"/>
      <color rgb="FF000000"/>
      <name val="Times New Roman"/>
      <family val="0"/>
      <charset val="1"/>
    </font>
    <font>
      <b val="true"/>
      <sz val="11"/>
      <color rgb="FF000000"/>
      <name val="Times New Roman"/>
      <family val="0"/>
      <charset val="1"/>
    </font>
    <font>
      <b val="true"/>
      <sz val="10"/>
      <color rgb="FF000000"/>
      <name val="Times New Roman"/>
      <family val="0"/>
      <charset val="1"/>
    </font>
    <font>
      <sz val="11"/>
      <color rgb="FF000000"/>
      <name val="Times New Roman"/>
      <family val="0"/>
      <charset val="1"/>
    </font>
    <font>
      <sz val="11"/>
      <color rgb="FF008000"/>
      <name val="Times New Roman"/>
      <family val="0"/>
      <charset val="1"/>
    </font>
    <font>
      <sz val="11"/>
      <color rgb="FF0000FF"/>
      <name val="Times New Roman"/>
      <family val="0"/>
      <charset val="1"/>
    </font>
    <font>
      <b val="true"/>
      <sz val="11"/>
      <color rgb="FF0000FF"/>
      <name val="Times New Roman"/>
      <family val="0"/>
      <charset val="1"/>
    </font>
    <font>
      <sz val="9"/>
      <color rgb="FF808080"/>
      <name val="Times New Roman"/>
      <family val="0"/>
      <charset val="1"/>
    </font>
    <font>
      <i val="true"/>
      <sz val="10"/>
      <color rgb="FF0000FF"/>
      <name val="Times New Roman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6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8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0"/>
    <col collapsed="false" customWidth="true" hidden="false" outlineLevel="0" max="3" min="3" style="0" width="10"/>
    <col collapsed="false" customWidth="true" hidden="false" outlineLevel="0" max="11" min="4" style="0" width="14"/>
    <col collapsed="false" customWidth="true" hidden="false" outlineLevel="0" max="12" min="12" style="0" width="18"/>
    <col collapsed="false" customWidth="true" hidden="false" outlineLevel="0" max="13" min="13" style="0" width="14"/>
  </cols>
  <sheetData>
    <row r="1" customFormat="false" ht="17.3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5" customFormat="false" ht="1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/>
      <c r="F5" s="4"/>
      <c r="G5" s="4"/>
      <c r="H5" s="4"/>
      <c r="I5" s="4"/>
      <c r="J5" s="4"/>
      <c r="K5" s="4"/>
      <c r="L5" s="4" t="s">
        <v>7</v>
      </c>
      <c r="M5" s="4" t="s">
        <v>8</v>
      </c>
    </row>
    <row r="6" customFormat="false" ht="45" hidden="false" customHeight="true" outlineLevel="0" collapsed="false">
      <c r="A6" s="4"/>
      <c r="B6" s="4"/>
      <c r="C6" s="4"/>
      <c r="D6" s="5" t="s">
        <v>9</v>
      </c>
      <c r="E6" s="5" t="s">
        <v>10</v>
      </c>
      <c r="F6" s="5" t="s">
        <v>11</v>
      </c>
      <c r="G6" s="5" t="s">
        <v>12</v>
      </c>
      <c r="H6" s="5" t="s">
        <v>13</v>
      </c>
      <c r="I6" s="5" t="s">
        <v>14</v>
      </c>
      <c r="J6" s="5" t="s">
        <v>15</v>
      </c>
      <c r="K6" s="5" t="s">
        <v>16</v>
      </c>
      <c r="L6" s="4"/>
      <c r="M6" s="4"/>
    </row>
    <row r="7" customFormat="false" ht="15" hidden="false" customHeight="false" outlineLevel="0" collapsed="false">
      <c r="A7" s="6" t="n">
        <v>1</v>
      </c>
      <c r="B7" s="7" t="s">
        <v>17</v>
      </c>
      <c r="C7" s="6" t="s">
        <v>18</v>
      </c>
      <c r="D7" s="8" t="n">
        <f aca="false">SUMIFS('Thanh thai'!$E$6:$E$10,'Thanh thai'!$H$6:$H$10,"Bó vỉa đá 100x20x38cm|m")</f>
        <v>0</v>
      </c>
      <c r="E7" s="8" t="n">
        <f aca="false">SUMIFS('Tuyen 1'!$E$6:$E$321,'Tuyen 1'!$H$6:$H$321,"Bó vỉa đá 100x20x38cm|m")</f>
        <v>149.65</v>
      </c>
      <c r="F7" s="8" t="n">
        <f aca="false">SUMIFS('Tuyen 2A'!$E$6:$E$347,'Tuyen 2A'!$H$6:$H$347,"Bó vỉa đá 100x20x38cm|m")</f>
        <v>61.5</v>
      </c>
      <c r="G7" s="8" t="n">
        <f aca="false">SUMIFS('Tuyen 2B'!$E$6:$E$277,'Tuyen 2B'!$H$6:$H$277,"Bó vỉa đá 100x20x38cm|m")</f>
        <v>468.425</v>
      </c>
      <c r="H7" s="8" t="n">
        <f aca="false">SUMIFS('Tuyen 2C'!$E$6:$E$306,'Tuyen 2C'!$H$6:$H$306,"Bó vỉa đá 100x20x38cm|m")</f>
        <v>0</v>
      </c>
      <c r="I7" s="8" t="n">
        <f aca="false">SUMIFS('Tuyen 3'!$E$6:$E$281,'Tuyen 3'!$H$6:$H$281,"Bó vỉa đá 100x20x38cm|m")</f>
        <v>0</v>
      </c>
      <c r="J7" s="8" t="n">
        <f aca="false">SUMIFS('Bai duc CK'!$E$6:$E$27,'Bai duc CK'!$H$6:$H$27,"Bó vỉa đá 100x20x38cm|m")</f>
        <v>0</v>
      </c>
      <c r="K7" s="9" t="n">
        <f aca="false">SUM(D7:J7)</f>
        <v>679.575</v>
      </c>
      <c r="L7" s="10" t="n">
        <f aca="false">SUMIFS('Thanh thai'!$G$6:$G$10,'Thanh thai'!$H$6:$H$10,"Bó vỉa đá 100x20x38cm|m")+SUMIFS('Tuyen 1'!$G$6:$G$321,'Tuyen 1'!$H$6:$H$321,"Bó vỉa đá 100x20x38cm|m")+SUMIFS('Tuyen 2A'!$G$6:$G$347,'Tuyen 2A'!$H$6:$H$347,"Bó vỉa đá 100x20x38cm|m")+SUMIFS('Tuyen 2B'!$G$6:$G$277,'Tuyen 2B'!$H$6:$H$277,"Bó vỉa đá 100x20x38cm|m")+SUMIFS('Tuyen 2C'!$G$6:$G$306,'Tuyen 2C'!$H$6:$H$306,"Bó vỉa đá 100x20x38cm|m")+SUMIFS('Tuyen 3'!$G$6:$G$281,'Tuyen 3'!$H$6:$H$281,"Bó vỉa đá 100x20x38cm|m")+SUMIFS('Bai duc CK'!$G$6:$G$27,'Bai duc CK'!$H$6:$H$27,"Bó vỉa đá 100x20x38cm|m")</f>
        <v>356776875</v>
      </c>
      <c r="M7" s="11" t="n">
        <f aca="false">IF(K7=0,0,L7/K7)</f>
        <v>525000</v>
      </c>
    </row>
    <row r="8" customFormat="false" ht="15" hidden="false" customHeight="false" outlineLevel="0" collapsed="false">
      <c r="A8" s="6" t="n">
        <v>2</v>
      </c>
      <c r="B8" s="7" t="s">
        <v>19</v>
      </c>
      <c r="C8" s="6" t="s">
        <v>20</v>
      </c>
      <c r="D8" s="8" t="n">
        <f aca="false">SUMIFS('Thanh thai'!$E$6:$E$10,'Thanh thai'!$H$6:$H$10,"Bột đá (4,75%)|kg")</f>
        <v>0</v>
      </c>
      <c r="E8" s="8" t="n">
        <f aca="false">SUMIFS('Tuyen 1'!$E$6:$E$321,'Tuyen 1'!$H$6:$H$321,"Bột đá (4,75%)|kg")</f>
        <v>14187.4913690042</v>
      </c>
      <c r="F8" s="8" t="n">
        <f aca="false">SUMIFS('Tuyen 2A'!$E$6:$E$347,'Tuyen 2A'!$H$6:$H$347,"Bột đá (4,75%)|kg")</f>
        <v>1505.041266294</v>
      </c>
      <c r="G8" s="8" t="n">
        <f aca="false">SUMIFS('Tuyen 2B'!$E$6:$E$277,'Tuyen 2B'!$H$6:$H$277,"Bột đá (4,75%)|kg")</f>
        <v>9113.47390235588</v>
      </c>
      <c r="H8" s="8" t="n">
        <f aca="false">SUMIFS('Tuyen 2C'!$E$6:$E$306,'Tuyen 2C'!$H$6:$H$306,"Bột đá (4,75%)|kg")</f>
        <v>0</v>
      </c>
      <c r="I8" s="8" t="n">
        <f aca="false">SUMIFS('Tuyen 3'!$E$6:$E$281,'Tuyen 3'!$H$6:$H$281,"Bột đá (4,75%)|kg")</f>
        <v>0</v>
      </c>
      <c r="J8" s="8" t="n">
        <f aca="false">SUMIFS('Bai duc CK'!$E$6:$E$27,'Bai duc CK'!$H$6:$H$27,"Bột đá (4,75%)|kg")</f>
        <v>0</v>
      </c>
      <c r="K8" s="9" t="n">
        <f aca="false">SUM(D8:J8)</f>
        <v>24806.006537654</v>
      </c>
      <c r="L8" s="10" t="n">
        <f aca="false">SUMIFS('Thanh thai'!$G$6:$G$10,'Thanh thai'!$H$6:$H$10,"Bột đá (4,75%)|kg")+SUMIFS('Tuyen 1'!$G$6:$G$321,'Tuyen 1'!$H$6:$H$321,"Bột đá (4,75%)|kg")+SUMIFS('Tuyen 2A'!$G$6:$G$347,'Tuyen 2A'!$H$6:$H$347,"Bột đá (4,75%)|kg")+SUMIFS('Tuyen 2B'!$G$6:$G$277,'Tuyen 2B'!$H$6:$H$277,"Bột đá (4,75%)|kg")+SUMIFS('Tuyen 2C'!$G$6:$G$306,'Tuyen 2C'!$H$6:$H$306,"Bột đá (4,75%)|kg")+SUMIFS('Tuyen 3'!$G$6:$G$281,'Tuyen 3'!$H$6:$H$281,"Bột đá (4,75%)|kg")+SUMIFS('Bai duc CK'!$G$6:$G$27,'Bai duc CK'!$H$6:$H$27,"Bột đá (4,75%)|kg")</f>
        <v>17885130.7136486</v>
      </c>
      <c r="M8" s="11" t="n">
        <f aca="false">IF(K8=0,0,L8/K8)</f>
        <v>721</v>
      </c>
    </row>
    <row r="9" customFormat="false" ht="15" hidden="false" customHeight="false" outlineLevel="0" collapsed="false">
      <c r="A9" s="6" t="n">
        <v>3</v>
      </c>
      <c r="B9" s="7" t="s">
        <v>21</v>
      </c>
      <c r="C9" s="6" t="s">
        <v>22</v>
      </c>
      <c r="D9" s="8" t="n">
        <f aca="false">SUMIFS('Thanh thai'!$E$6:$E$10,'Thanh thai'!$H$6:$H$10,"Bu lông|cái")</f>
        <v>0</v>
      </c>
      <c r="E9" s="8" t="n">
        <f aca="false">SUMIFS('Tuyen 1'!$E$6:$E$321,'Tuyen 1'!$H$6:$H$321,"Bu lông|cái")</f>
        <v>0</v>
      </c>
      <c r="F9" s="8" t="n">
        <f aca="false">SUMIFS('Tuyen 2A'!$E$6:$E$347,'Tuyen 2A'!$H$6:$H$347,"Bu lông|cái")</f>
        <v>25.71528</v>
      </c>
      <c r="G9" s="8" t="n">
        <f aca="false">SUMIFS('Tuyen 2B'!$E$6:$E$277,'Tuyen 2B'!$H$6:$H$277,"Bu lông|cái")</f>
        <v>0</v>
      </c>
      <c r="H9" s="8" t="n">
        <f aca="false">SUMIFS('Tuyen 2C'!$E$6:$E$306,'Tuyen 2C'!$H$6:$H$306,"Bu lông|cái")</f>
        <v>25.71528</v>
      </c>
      <c r="I9" s="8" t="n">
        <f aca="false">SUMIFS('Tuyen 3'!$E$6:$E$281,'Tuyen 3'!$H$6:$H$281,"Bu lông|cái")</f>
        <v>25.71528</v>
      </c>
      <c r="J9" s="8" t="n">
        <f aca="false">SUMIFS('Bai duc CK'!$E$6:$E$27,'Bai duc CK'!$H$6:$H$27,"Bu lông|cái")</f>
        <v>0</v>
      </c>
      <c r="K9" s="9" t="n">
        <f aca="false">SUM(D9:J9)</f>
        <v>77.14584</v>
      </c>
      <c r="L9" s="10" t="n">
        <f aca="false">SUMIFS('Thanh thai'!$G$6:$G$10,'Thanh thai'!$H$6:$H$10,"Bu lông|cái")+SUMIFS('Tuyen 1'!$G$6:$G$321,'Tuyen 1'!$H$6:$H$321,"Bu lông|cái")+SUMIFS('Tuyen 2A'!$G$6:$G$347,'Tuyen 2A'!$H$6:$H$347,"Bu lông|cái")+SUMIFS('Tuyen 2B'!$G$6:$G$277,'Tuyen 2B'!$H$6:$H$277,"Bu lông|cái")+SUMIFS('Tuyen 2C'!$G$6:$G$306,'Tuyen 2C'!$H$6:$H$306,"Bu lông|cái")+SUMIFS('Tuyen 3'!$G$6:$G$281,'Tuyen 3'!$H$6:$H$281,"Bu lông|cái")+SUMIFS('Bai duc CK'!$G$6:$G$27,'Bai duc CK'!$H$6:$H$27,"Bu lông|cái")</f>
        <v>192864.6</v>
      </c>
      <c r="M9" s="11" t="n">
        <f aca="false">IF(K9=0,0,L9/K9)</f>
        <v>2500</v>
      </c>
    </row>
    <row r="10" customFormat="false" ht="15" hidden="false" customHeight="false" outlineLevel="0" collapsed="false">
      <c r="A10" s="6" t="n">
        <v>4</v>
      </c>
      <c r="B10" s="7" t="s">
        <v>23</v>
      </c>
      <c r="C10" s="6" t="s">
        <v>24</v>
      </c>
      <c r="D10" s="8" t="n">
        <f aca="false">SUMIFS('Thanh thai'!$E$6:$E$10,'Thanh thai'!$H$6:$H$10,"Cấp phối đá dăm loại 1|m3")</f>
        <v>0</v>
      </c>
      <c r="E10" s="8" t="n">
        <f aca="false">SUMIFS('Tuyen 1'!$E$6:$E$321,'Tuyen 1'!$H$6:$H$321,"Cấp phối đá dăm loại 1|m3")</f>
        <v>0</v>
      </c>
      <c r="F10" s="8" t="n">
        <f aca="false">SUMIFS('Tuyen 2A'!$E$6:$E$347,'Tuyen 2A'!$H$6:$H$347,"Cấp phối đá dăm loại 1|m3")</f>
        <v>39.0744</v>
      </c>
      <c r="G10" s="8" t="n">
        <f aca="false">SUMIFS('Tuyen 2B'!$E$6:$E$277,'Tuyen 2B'!$H$6:$H$277,"Cấp phối đá dăm loại 1|m3")</f>
        <v>236.6038</v>
      </c>
      <c r="H10" s="8" t="n">
        <f aca="false">SUMIFS('Tuyen 2C'!$E$6:$E$306,'Tuyen 2C'!$H$6:$H$306,"Cấp phối đá dăm loại 1|m3")</f>
        <v>0</v>
      </c>
      <c r="I10" s="8" t="n">
        <f aca="false">SUMIFS('Tuyen 3'!$E$6:$E$281,'Tuyen 3'!$H$6:$H$281,"Cấp phối đá dăm loại 1|m3")</f>
        <v>0</v>
      </c>
      <c r="J10" s="8" t="n">
        <f aca="false">SUMIFS('Bai duc CK'!$E$6:$E$27,'Bai duc CK'!$H$6:$H$27,"Cấp phối đá dăm loại 1|m3")</f>
        <v>211.519</v>
      </c>
      <c r="K10" s="9" t="n">
        <f aca="false">SUM(D10:J10)</f>
        <v>487.1972</v>
      </c>
      <c r="L10" s="10" t="n">
        <f aca="false">SUMIFS('Thanh thai'!$G$6:$G$10,'Thanh thai'!$H$6:$H$10,"Cấp phối đá dăm loại 1|m3")+SUMIFS('Tuyen 1'!$G$6:$G$321,'Tuyen 1'!$H$6:$H$321,"Cấp phối đá dăm loại 1|m3")+SUMIFS('Tuyen 2A'!$G$6:$G$347,'Tuyen 2A'!$H$6:$H$347,"Cấp phối đá dăm loại 1|m3")+SUMIFS('Tuyen 2B'!$G$6:$G$277,'Tuyen 2B'!$H$6:$H$277,"Cấp phối đá dăm loại 1|m3")+SUMIFS('Tuyen 2C'!$G$6:$G$306,'Tuyen 2C'!$H$6:$H$306,"Cấp phối đá dăm loại 1|m3")+SUMIFS('Tuyen 3'!$G$6:$G$281,'Tuyen 3'!$H$6:$H$281,"Cấp phối đá dăm loại 1|m3")+SUMIFS('Bai duc CK'!$G$6:$G$27,'Bai duc CK'!$H$6:$H$27,"Cấp phối đá dăm loại 1|m3")</f>
        <v>169525624.9092</v>
      </c>
      <c r="M10" s="11" t="n">
        <f aca="false">IF(K10=0,0,L10/K10)</f>
        <v>347961</v>
      </c>
    </row>
    <row r="11" customFormat="false" ht="15" hidden="false" customHeight="false" outlineLevel="0" collapsed="false">
      <c r="A11" s="6" t="n">
        <v>5</v>
      </c>
      <c r="B11" s="7" t="s">
        <v>25</v>
      </c>
      <c r="C11" s="6" t="s">
        <v>24</v>
      </c>
      <c r="D11" s="8" t="n">
        <f aca="false">SUMIFS('Thanh thai'!$E$6:$E$10,'Thanh thai'!$H$6:$H$10,"Cấp phối đá dăm loại 2|m3")</f>
        <v>0</v>
      </c>
      <c r="E11" s="8" t="n">
        <f aca="false">SUMIFS('Tuyen 1'!$E$6:$E$321,'Tuyen 1'!$H$6:$H$321,"Cấp phối đá dăm loại 2|m3")</f>
        <v>0</v>
      </c>
      <c r="F11" s="8" t="n">
        <f aca="false">SUMIFS('Tuyen 2A'!$E$6:$E$347,'Tuyen 2A'!$H$6:$H$347,"Cấp phối đá dăm loại 2|m3")</f>
        <v>78.1488</v>
      </c>
      <c r="G11" s="8" t="n">
        <f aca="false">SUMIFS('Tuyen 2B'!$E$6:$E$277,'Tuyen 2B'!$H$6:$H$277,"Cấp phối đá dăm loại 2|m3")</f>
        <v>473.2076</v>
      </c>
      <c r="H11" s="8" t="n">
        <f aca="false">SUMIFS('Tuyen 2C'!$E$6:$E$306,'Tuyen 2C'!$H$6:$H$306,"Cấp phối đá dăm loại 2|m3")</f>
        <v>0</v>
      </c>
      <c r="I11" s="8" t="n">
        <f aca="false">SUMIFS('Tuyen 3'!$E$6:$E$281,'Tuyen 3'!$H$6:$H$281,"Cấp phối đá dăm loại 2|m3")</f>
        <v>0</v>
      </c>
      <c r="J11" s="8" t="n">
        <f aca="false">SUMIFS('Bai duc CK'!$E$6:$E$27,'Bai duc CK'!$H$6:$H$27,"Cấp phối đá dăm loại 2|m3")</f>
        <v>1930.5648</v>
      </c>
      <c r="K11" s="9" t="n">
        <f aca="false">SUM(D11:J11)</f>
        <v>2481.9212</v>
      </c>
      <c r="L11" s="10" t="n">
        <f aca="false">SUMIFS('Thanh thai'!$G$6:$G$10,'Thanh thai'!$H$6:$H$10,"Cấp phối đá dăm loại 2|m3")+SUMIFS('Tuyen 1'!$G$6:$G$321,'Tuyen 1'!$H$6:$H$321,"Cấp phối đá dăm loại 2|m3")+SUMIFS('Tuyen 2A'!$G$6:$G$347,'Tuyen 2A'!$H$6:$H$347,"Cấp phối đá dăm loại 2|m3")+SUMIFS('Tuyen 2B'!$G$6:$G$277,'Tuyen 2B'!$H$6:$H$277,"Cấp phối đá dăm loại 2|m3")+SUMIFS('Tuyen 2C'!$G$6:$G$306,'Tuyen 2C'!$H$6:$H$306,"Cấp phối đá dăm loại 2|m3")+SUMIFS('Tuyen 3'!$G$6:$G$281,'Tuyen 3'!$H$6:$H$281,"Cấp phối đá dăm loại 2|m3")+SUMIFS('Bai duc CK'!$G$6:$G$27,'Bai duc CK'!$H$6:$H$27,"Cấp phối đá dăm loại 2|m3")</f>
        <v>818487973.336</v>
      </c>
      <c r="M11" s="11" t="n">
        <f aca="false">IF(K11=0,0,L11/K11)</f>
        <v>329780</v>
      </c>
    </row>
    <row r="12" customFormat="false" ht="15" hidden="false" customHeight="false" outlineLevel="0" collapsed="false">
      <c r="A12" s="6" t="n">
        <v>6</v>
      </c>
      <c r="B12" s="7" t="s">
        <v>26</v>
      </c>
      <c r="C12" s="6" t="s">
        <v>24</v>
      </c>
      <c r="D12" s="8" t="n">
        <f aca="false">SUMIFS('Thanh thai'!$E$6:$E$10,'Thanh thai'!$H$6:$H$10,"Cát mịn ML=1,5÷2,0|m3")</f>
        <v>0</v>
      </c>
      <c r="E12" s="8" t="n">
        <f aca="false">SUMIFS('Tuyen 1'!$E$6:$E$321,'Tuyen 1'!$H$6:$H$321,"Cát mịn ML=1,5÷2,0|m3")</f>
        <v>47.8814325</v>
      </c>
      <c r="F12" s="8" t="n">
        <f aca="false">SUMIFS('Tuyen 2A'!$E$6:$E$347,'Tuyen 2A'!$H$6:$H$347,"Cát mịn ML=1,5÷2,0|m3")</f>
        <v>53.4601825</v>
      </c>
      <c r="G12" s="8" t="n">
        <f aca="false">SUMIFS('Tuyen 2B'!$E$6:$E$277,'Tuyen 2B'!$H$6:$H$277,"Cát mịn ML=1,5÷2,0|m3")</f>
        <v>101.6383425</v>
      </c>
      <c r="H12" s="8" t="n">
        <f aca="false">SUMIFS('Tuyen 2C'!$E$6:$E$306,'Tuyen 2C'!$H$6:$H$306,"Cát mịn ML=1,5÷2,0|m3")</f>
        <v>37.73252</v>
      </c>
      <c r="I12" s="8" t="n">
        <f aca="false">SUMIFS('Tuyen 3'!$E$6:$E$281,'Tuyen 3'!$H$6:$H$281,"Cát mịn ML=1,5÷2,0|m3")</f>
        <v>44.5681775</v>
      </c>
      <c r="J12" s="8" t="n">
        <f aca="false">SUMIFS('Bai duc CK'!$E$6:$E$27,'Bai duc CK'!$H$6:$H$27,"Cát mịn ML=1,5÷2,0|m3")</f>
        <v>0</v>
      </c>
      <c r="K12" s="9" t="n">
        <f aca="false">SUM(D12:J12)</f>
        <v>285.280655</v>
      </c>
      <c r="L12" s="10" t="n">
        <f aca="false">SUMIFS('Thanh thai'!$G$6:$G$10,'Thanh thai'!$H$6:$H$10,"Cát mịn ML=1,5÷2,0|m3")+SUMIFS('Tuyen 1'!$G$6:$G$321,'Tuyen 1'!$H$6:$H$321,"Cát mịn ML=1,5÷2,0|m3")+SUMIFS('Tuyen 2A'!$G$6:$G$347,'Tuyen 2A'!$H$6:$H$347,"Cát mịn ML=1,5÷2,0|m3")+SUMIFS('Tuyen 2B'!$G$6:$G$277,'Tuyen 2B'!$H$6:$H$277,"Cát mịn ML=1,5÷2,0|m3")+SUMIFS('Tuyen 2C'!$G$6:$G$306,'Tuyen 2C'!$H$6:$H$306,"Cát mịn ML=1,5÷2,0|m3")+SUMIFS('Tuyen 3'!$G$6:$G$281,'Tuyen 3'!$H$6:$H$281,"Cát mịn ML=1,5÷2,0|m3")+SUMIFS('Bai duc CK'!$G$6:$G$27,'Bai duc CK'!$H$6:$H$27,"Cát mịn ML=1,5÷2,0|m3")</f>
        <v>72723744.5726</v>
      </c>
      <c r="M12" s="11" t="n">
        <f aca="false">IF(K12=0,0,L12/K12)</f>
        <v>254920</v>
      </c>
    </row>
    <row r="13" customFormat="false" ht="15" hidden="false" customHeight="false" outlineLevel="0" collapsed="false">
      <c r="A13" s="6" t="n">
        <v>7</v>
      </c>
      <c r="B13" s="7" t="s">
        <v>27</v>
      </c>
      <c r="C13" s="6" t="s">
        <v>24</v>
      </c>
      <c r="D13" s="8" t="n">
        <f aca="false">SUMIFS('Thanh thai'!$E$6:$E$10,'Thanh thai'!$H$6:$H$10,"Cát nền|m3")</f>
        <v>0</v>
      </c>
      <c r="E13" s="8" t="n">
        <f aca="false">SUMIFS('Tuyen 1'!$E$6:$E$321,'Tuyen 1'!$H$6:$H$321,"Cát nền|m3")</f>
        <v>0</v>
      </c>
      <c r="F13" s="8" t="n">
        <f aca="false">SUMIFS('Tuyen 2A'!$E$6:$E$347,'Tuyen 2A'!$H$6:$H$347,"Cát nền|m3")</f>
        <v>0</v>
      </c>
      <c r="G13" s="8" t="n">
        <f aca="false">SUMIFS('Tuyen 2B'!$E$6:$E$277,'Tuyen 2B'!$H$6:$H$277,"Cát nền|m3")</f>
        <v>0</v>
      </c>
      <c r="H13" s="8" t="n">
        <f aca="false">SUMIFS('Tuyen 2C'!$E$6:$E$306,'Tuyen 2C'!$H$6:$H$306,"Cát nền|m3")</f>
        <v>21.707338</v>
      </c>
      <c r="I13" s="8" t="n">
        <f aca="false">SUMIFS('Tuyen 3'!$E$6:$E$281,'Tuyen 3'!$H$6:$H$281,"Cát nền|m3")</f>
        <v>15741.355</v>
      </c>
      <c r="J13" s="8" t="n">
        <f aca="false">SUMIFS('Bai duc CK'!$E$6:$E$27,'Bai duc CK'!$H$6:$H$27,"Cát nền|m3")</f>
        <v>0</v>
      </c>
      <c r="K13" s="9" t="n">
        <f aca="false">SUM(D13:J13)</f>
        <v>15763.062338</v>
      </c>
      <c r="L13" s="10" t="n">
        <f aca="false">SUMIFS('Thanh thai'!$G$6:$G$10,'Thanh thai'!$H$6:$H$10,"Cát nền|m3")+SUMIFS('Tuyen 1'!$G$6:$G$321,'Tuyen 1'!$H$6:$H$321,"Cát nền|m3")+SUMIFS('Tuyen 2A'!$G$6:$G$347,'Tuyen 2A'!$H$6:$H$347,"Cát nền|m3")+SUMIFS('Tuyen 2B'!$G$6:$G$277,'Tuyen 2B'!$H$6:$H$277,"Cát nền|m3")+SUMIFS('Tuyen 2C'!$G$6:$G$306,'Tuyen 2C'!$H$6:$H$306,"Cát nền|m3")+SUMIFS('Tuyen 3'!$G$6:$G$281,'Tuyen 3'!$H$6:$H$281,"Cát nền|m3")+SUMIFS('Bai duc CK'!$G$6:$G$27,'Bai duc CK'!$H$6:$H$27,"Cát nền|m3")</f>
        <v>1891567480.56</v>
      </c>
      <c r="M13" s="11" t="n">
        <f aca="false">IF(K13=0,0,L13/K13)</f>
        <v>120000</v>
      </c>
    </row>
    <row r="14" customFormat="false" ht="15" hidden="false" customHeight="false" outlineLevel="0" collapsed="false">
      <c r="A14" s="6" t="n">
        <v>8</v>
      </c>
      <c r="B14" s="7" t="s">
        <v>28</v>
      </c>
      <c r="C14" s="6" t="s">
        <v>24</v>
      </c>
      <c r="D14" s="8" t="n">
        <f aca="false">SUMIFS('Thanh thai'!$E$6:$E$10,'Thanh thai'!$H$6:$H$10,"Cát vàng|m3")</f>
        <v>0</v>
      </c>
      <c r="E14" s="8" t="n">
        <f aca="false">SUMIFS('Tuyen 1'!$E$6:$E$321,'Tuyen 1'!$H$6:$H$321,"Cát vàng|m3")</f>
        <v>2295.1093328</v>
      </c>
      <c r="F14" s="8" t="n">
        <f aca="false">SUMIFS('Tuyen 2A'!$E$6:$E$347,'Tuyen 2A'!$H$6:$H$347,"Cát vàng|m3")</f>
        <v>3281.32213705</v>
      </c>
      <c r="G14" s="8" t="n">
        <f aca="false">SUMIFS('Tuyen 2B'!$E$6:$E$277,'Tuyen 2B'!$H$6:$H$277,"Cát vàng|m3")</f>
        <v>3989.39656835</v>
      </c>
      <c r="H14" s="8" t="n">
        <f aca="false">SUMIFS('Tuyen 2C'!$E$6:$E$306,'Tuyen 2C'!$H$6:$H$306,"Cát vàng|m3")</f>
        <v>2924.3948846</v>
      </c>
      <c r="I14" s="8" t="n">
        <f aca="false">SUMIFS('Tuyen 3'!$E$6:$E$281,'Tuyen 3'!$H$6:$H$281,"Cát vàng|m3")</f>
        <v>3441.42478105</v>
      </c>
      <c r="J14" s="8" t="n">
        <f aca="false">SUMIFS('Bai duc CK'!$E$6:$E$27,'Bai duc CK'!$H$6:$H$27,"Cát vàng|m3")</f>
        <v>168.5916925</v>
      </c>
      <c r="K14" s="9" t="n">
        <f aca="false">SUM(D14:J14)</f>
        <v>16100.23939635</v>
      </c>
      <c r="L14" s="10" t="n">
        <f aca="false">SUMIFS('Thanh thai'!$G$6:$G$10,'Thanh thai'!$H$6:$H$10,"Cát vàng|m3")+SUMIFS('Tuyen 1'!$G$6:$G$321,'Tuyen 1'!$H$6:$H$321,"Cát vàng|m3")+SUMIFS('Tuyen 2A'!$G$6:$G$347,'Tuyen 2A'!$H$6:$H$347,"Cát vàng|m3")+SUMIFS('Tuyen 2B'!$G$6:$G$277,'Tuyen 2B'!$H$6:$H$277,"Cát vàng|m3")+SUMIFS('Tuyen 2C'!$G$6:$G$306,'Tuyen 2C'!$H$6:$H$306,"Cát vàng|m3")+SUMIFS('Tuyen 3'!$G$6:$G$281,'Tuyen 3'!$H$6:$H$281,"Cát vàng|m3")+SUMIFS('Bai duc CK'!$G$6:$G$27,'Bai duc CK'!$H$6:$H$27,"Cát vàng|m3")</f>
        <v>8022346785.2163</v>
      </c>
      <c r="M14" s="11" t="n">
        <f aca="false">IF(K14=0,0,L14/K14)</f>
        <v>498275</v>
      </c>
    </row>
    <row r="15" customFormat="false" ht="25.35" hidden="false" customHeight="false" outlineLevel="0" collapsed="false">
      <c r="A15" s="6" t="n">
        <v>9</v>
      </c>
      <c r="B15" s="7" t="s">
        <v>29</v>
      </c>
      <c r="C15" s="6" t="s">
        <v>18</v>
      </c>
      <c r="D15" s="8" t="n">
        <f aca="false">SUMIFS('Thanh thai'!$E$6:$E$10,'Thanh thai'!$H$6:$H$10,"Cọc cừ máng BT dự ứng lực, chiều cao 30-50cm|m")</f>
        <v>0</v>
      </c>
      <c r="E15" s="8" t="n">
        <f aca="false">SUMIFS('Tuyen 1'!$E$6:$E$321,'Tuyen 1'!$H$6:$H$321,"Cọc cừ máng BT dự ứng lực, chiều cao 30-50cm|m")</f>
        <v>0</v>
      </c>
      <c r="F15" s="8" t="n">
        <f aca="false">SUMIFS('Tuyen 2A'!$E$6:$E$347,'Tuyen 2A'!$H$6:$H$347,"Cọc cừ máng BT dự ứng lực, chiều cao 30-50cm|m")</f>
        <v>339.36</v>
      </c>
      <c r="G15" s="8" t="n">
        <f aca="false">SUMIFS('Tuyen 2B'!$E$6:$E$277,'Tuyen 2B'!$H$6:$H$277,"Cọc cừ máng BT dự ứng lực, chiều cao 30-50cm|m")</f>
        <v>0</v>
      </c>
      <c r="H15" s="8" t="n">
        <f aca="false">SUMIFS('Tuyen 2C'!$E$6:$E$306,'Tuyen 2C'!$H$6:$H$306,"Cọc cừ máng BT dự ứng lực, chiều cao 30-50cm|m")</f>
        <v>294.92</v>
      </c>
      <c r="I15" s="8" t="n">
        <f aca="false">SUMIFS('Tuyen 3'!$E$6:$E$281,'Tuyen 3'!$H$6:$H$281,"Cọc cừ máng BT dự ứng lực, chiều cao 30-50cm|m")</f>
        <v>585.8</v>
      </c>
      <c r="J15" s="8" t="n">
        <f aca="false">SUMIFS('Bai duc CK'!$E$6:$E$27,'Bai duc CK'!$H$6:$H$27,"Cọc cừ máng BT dự ứng lực, chiều cao 30-50cm|m")</f>
        <v>0</v>
      </c>
      <c r="K15" s="9" t="n">
        <f aca="false">SUM(D15:J15)</f>
        <v>1220.08</v>
      </c>
      <c r="L15" s="10" t="n">
        <f aca="false">SUMIFS('Thanh thai'!$G$6:$G$10,'Thanh thai'!$H$6:$H$10,"Cọc cừ máng BT dự ứng lực, chiều cao 30-50cm|m")+SUMIFS('Tuyen 1'!$G$6:$G$321,'Tuyen 1'!$H$6:$H$321,"Cọc cừ máng BT dự ứng lực, chiều cao 30-50cm|m")+SUMIFS('Tuyen 2A'!$G$6:$G$347,'Tuyen 2A'!$H$6:$H$347,"Cọc cừ máng BT dự ứng lực, chiều cao 30-50cm|m")+SUMIFS('Tuyen 2B'!$G$6:$G$277,'Tuyen 2B'!$H$6:$H$277,"Cọc cừ máng BT dự ứng lực, chiều cao 30-50cm|m")+SUMIFS('Tuyen 2C'!$G$6:$G$306,'Tuyen 2C'!$H$6:$H$306,"Cọc cừ máng BT dự ứng lực, chiều cao 30-50cm|m")+SUMIFS('Tuyen 3'!$G$6:$G$281,'Tuyen 3'!$H$6:$H$281,"Cọc cừ máng BT dự ứng lực, chiều cao 30-50cm|m")+SUMIFS('Bai duc CK'!$G$6:$G$27,'Bai duc CK'!$H$6:$H$27,"Cọc cừ máng BT dự ứng lực, chiều cao 30-50cm|m")</f>
        <v>3172208000</v>
      </c>
      <c r="M15" s="11" t="n">
        <f aca="false">IF(K15=0,0,L15/K15)</f>
        <v>2600000</v>
      </c>
    </row>
    <row r="16" customFormat="false" ht="15" hidden="false" customHeight="false" outlineLevel="0" collapsed="false">
      <c r="A16" s="6" t="n">
        <v>10</v>
      </c>
      <c r="B16" s="7" t="s">
        <v>30</v>
      </c>
      <c r="C16" s="6" t="s">
        <v>20</v>
      </c>
      <c r="D16" s="8" t="n">
        <f aca="false">SUMIFS('Thanh thai'!$E$6:$E$10,'Thanh thai'!$H$6:$H$10,"Cọc định vị|kg")</f>
        <v>0</v>
      </c>
      <c r="E16" s="8" t="n">
        <f aca="false">SUMIFS('Tuyen 1'!$E$6:$E$321,'Tuyen 1'!$H$6:$H$321,"Cọc định vị|kg")</f>
        <v>8.83584</v>
      </c>
      <c r="F16" s="8" t="n">
        <f aca="false">SUMIFS('Tuyen 2A'!$E$6:$E$347,'Tuyen 2A'!$H$6:$H$347,"Cọc định vị|kg")</f>
        <v>12.805</v>
      </c>
      <c r="G16" s="8" t="n">
        <f aca="false">SUMIFS('Tuyen 2B'!$E$6:$E$277,'Tuyen 2B'!$H$6:$H$277,"Cọc định vị|kg")</f>
        <v>12.78888</v>
      </c>
      <c r="H16" s="8" t="n">
        <f aca="false">SUMIFS('Tuyen 2C'!$E$6:$E$306,'Tuyen 2C'!$H$6:$H$306,"Cọc định vị|kg")</f>
        <v>11.70338</v>
      </c>
      <c r="I16" s="8" t="n">
        <f aca="false">SUMIFS('Tuyen 3'!$E$6:$E$281,'Tuyen 3'!$H$6:$H$281,"Cọc định vị|kg")</f>
        <v>12.58998</v>
      </c>
      <c r="J16" s="8" t="n">
        <f aca="false">SUMIFS('Bai duc CK'!$E$6:$E$27,'Bai duc CK'!$H$6:$H$27,"Cọc định vị|kg")</f>
        <v>0</v>
      </c>
      <c r="K16" s="9" t="n">
        <f aca="false">SUM(D16:J16)</f>
        <v>58.72308</v>
      </c>
      <c r="L16" s="10" t="n">
        <f aca="false">SUMIFS('Thanh thai'!$G$6:$G$10,'Thanh thai'!$H$6:$H$10,"Cọc định vị|kg")+SUMIFS('Tuyen 1'!$G$6:$G$321,'Tuyen 1'!$H$6:$H$321,"Cọc định vị|kg")+SUMIFS('Tuyen 2A'!$G$6:$G$347,'Tuyen 2A'!$H$6:$H$347,"Cọc định vị|kg")+SUMIFS('Tuyen 2B'!$G$6:$G$277,'Tuyen 2B'!$H$6:$H$277,"Cọc định vị|kg")+SUMIFS('Tuyen 2C'!$G$6:$G$306,'Tuyen 2C'!$H$6:$H$306,"Cọc định vị|kg")+SUMIFS('Tuyen 3'!$G$6:$G$281,'Tuyen 3'!$H$6:$H$281,"Cọc định vị|kg")+SUMIFS('Bai duc CK'!$G$6:$G$27,'Bai duc CK'!$H$6:$H$27,"Cọc định vị|kg")</f>
        <v>806267.8884</v>
      </c>
      <c r="M16" s="11" t="n">
        <f aca="false">IF(K16=0,0,L16/K16)</f>
        <v>13730</v>
      </c>
    </row>
    <row r="17" customFormat="false" ht="15" hidden="false" customHeight="false" outlineLevel="0" collapsed="false">
      <c r="A17" s="6" t="n">
        <v>11</v>
      </c>
      <c r="B17" s="7" t="s">
        <v>31</v>
      </c>
      <c r="C17" s="6" t="s">
        <v>32</v>
      </c>
      <c r="D17" s="8" t="n">
        <f aca="false">SUMIFS('Thanh thai'!$E$6:$E$10,'Thanh thai'!$H$6:$H$10,"Cọc tiếp địa, thép L63x63|bộ")</f>
        <v>0</v>
      </c>
      <c r="E17" s="8" t="n">
        <f aca="false">SUMIFS('Tuyen 1'!$E$6:$E$321,'Tuyen 1'!$H$6:$H$321,"Cọc tiếp địa, thép L63x63|bộ")</f>
        <v>4</v>
      </c>
      <c r="F17" s="8" t="n">
        <f aca="false">SUMIFS('Tuyen 2A'!$E$6:$E$347,'Tuyen 2A'!$H$6:$H$347,"Cọc tiếp địa, thép L63x63|bộ")</f>
        <v>0</v>
      </c>
      <c r="G17" s="8" t="n">
        <f aca="false">SUMIFS('Tuyen 2B'!$E$6:$E$277,'Tuyen 2B'!$H$6:$H$277,"Cọc tiếp địa, thép L63x63|bộ")</f>
        <v>0</v>
      </c>
      <c r="H17" s="8" t="n">
        <f aca="false">SUMIFS('Tuyen 2C'!$E$6:$E$306,'Tuyen 2C'!$H$6:$H$306,"Cọc tiếp địa, thép L63x63|bộ")</f>
        <v>0</v>
      </c>
      <c r="I17" s="8" t="n">
        <f aca="false">SUMIFS('Tuyen 3'!$E$6:$E$281,'Tuyen 3'!$H$6:$H$281,"Cọc tiếp địa, thép L63x63|bộ")</f>
        <v>0</v>
      </c>
      <c r="J17" s="8" t="n">
        <f aca="false">SUMIFS('Bai duc CK'!$E$6:$E$27,'Bai duc CK'!$H$6:$H$27,"Cọc tiếp địa, thép L63x63|bộ")</f>
        <v>0</v>
      </c>
      <c r="K17" s="9" t="n">
        <f aca="false">SUM(D17:J17)</f>
        <v>4</v>
      </c>
      <c r="L17" s="10" t="n">
        <f aca="false">SUMIFS('Thanh thai'!$G$6:$G$10,'Thanh thai'!$H$6:$H$10,"Cọc tiếp địa, thép L63x63|bộ")+SUMIFS('Tuyen 1'!$G$6:$G$321,'Tuyen 1'!$H$6:$H$321,"Cọc tiếp địa, thép L63x63|bộ")+SUMIFS('Tuyen 2A'!$G$6:$G$347,'Tuyen 2A'!$H$6:$H$347,"Cọc tiếp địa, thép L63x63|bộ")+SUMIFS('Tuyen 2B'!$G$6:$G$277,'Tuyen 2B'!$H$6:$H$277,"Cọc tiếp địa, thép L63x63|bộ")+SUMIFS('Tuyen 2C'!$G$6:$G$306,'Tuyen 2C'!$H$6:$H$306,"Cọc tiếp địa, thép L63x63|bộ")+SUMIFS('Tuyen 3'!$G$6:$G$281,'Tuyen 3'!$H$6:$H$281,"Cọc tiếp địa, thép L63x63|bộ")+SUMIFS('Bai duc CK'!$G$6:$G$27,'Bai duc CK'!$H$6:$H$27,"Cọc tiếp địa, thép L63x63|bộ")</f>
        <v>3680000</v>
      </c>
      <c r="M17" s="11" t="n">
        <f aca="false">IF(K17=0,0,L17/K17)</f>
        <v>920000</v>
      </c>
    </row>
    <row r="18" customFormat="false" ht="15" hidden="false" customHeight="false" outlineLevel="0" collapsed="false">
      <c r="A18" s="6" t="n">
        <v>12</v>
      </c>
      <c r="B18" s="7" t="s">
        <v>33</v>
      </c>
      <c r="C18" s="6" t="s">
        <v>20</v>
      </c>
      <c r="D18" s="8" t="n">
        <f aca="false">SUMIFS('Thanh thai'!$E$6:$E$10,'Thanh thai'!$H$6:$H$10,"Cồn rửa|kg")</f>
        <v>0</v>
      </c>
      <c r="E18" s="8" t="n">
        <f aca="false">SUMIFS('Tuyen 1'!$E$6:$E$321,'Tuyen 1'!$H$6:$H$321,"Cồn rửa|kg")</f>
        <v>1.208649</v>
      </c>
      <c r="F18" s="8" t="n">
        <f aca="false">SUMIFS('Tuyen 2A'!$E$6:$E$347,'Tuyen 2A'!$H$6:$H$347,"Cồn rửa|kg")</f>
        <v>2.704078</v>
      </c>
      <c r="G18" s="8" t="n">
        <f aca="false">SUMIFS('Tuyen 2B'!$E$6:$E$277,'Tuyen 2B'!$H$6:$H$277,"Cồn rửa|kg")</f>
        <v>3.508063</v>
      </c>
      <c r="H18" s="8" t="n">
        <f aca="false">SUMIFS('Tuyen 2C'!$E$6:$E$306,'Tuyen 2C'!$H$6:$H$306,"Cồn rửa|kg")</f>
        <v>2.389595</v>
      </c>
      <c r="I18" s="8" t="n">
        <f aca="false">SUMIFS('Tuyen 3'!$E$6:$E$281,'Tuyen 3'!$H$6:$H$281,"Cồn rửa|kg")</f>
        <v>2.822495</v>
      </c>
      <c r="J18" s="8" t="n">
        <f aca="false">SUMIFS('Bai duc CK'!$E$6:$E$27,'Bai duc CK'!$H$6:$H$27,"Cồn rửa|kg")</f>
        <v>0</v>
      </c>
      <c r="K18" s="9" t="n">
        <f aca="false">SUM(D18:J18)</f>
        <v>12.63288</v>
      </c>
      <c r="L18" s="10" t="n">
        <f aca="false">SUMIFS('Thanh thai'!$G$6:$G$10,'Thanh thai'!$H$6:$H$10,"Cồn rửa|kg")+SUMIFS('Tuyen 1'!$G$6:$G$321,'Tuyen 1'!$H$6:$H$321,"Cồn rửa|kg")+SUMIFS('Tuyen 2A'!$G$6:$G$347,'Tuyen 2A'!$H$6:$H$347,"Cồn rửa|kg")+SUMIFS('Tuyen 2B'!$G$6:$G$277,'Tuyen 2B'!$H$6:$H$277,"Cồn rửa|kg")+SUMIFS('Tuyen 2C'!$G$6:$G$306,'Tuyen 2C'!$H$6:$H$306,"Cồn rửa|kg")+SUMIFS('Tuyen 3'!$G$6:$G$281,'Tuyen 3'!$H$6:$H$281,"Cồn rửa|kg")+SUMIFS('Bai duc CK'!$G$6:$G$27,'Bai duc CK'!$H$6:$H$27,"Cồn rửa|kg")</f>
        <v>189493.2</v>
      </c>
      <c r="M18" s="11" t="n">
        <f aca="false">IF(K18=0,0,L18/K18)</f>
        <v>15000</v>
      </c>
    </row>
    <row r="19" customFormat="false" ht="15" hidden="false" customHeight="false" outlineLevel="0" collapsed="false">
      <c r="A19" s="6" t="n">
        <v>13</v>
      </c>
      <c r="B19" s="7" t="s">
        <v>34</v>
      </c>
      <c r="C19" s="6" t="s">
        <v>20</v>
      </c>
      <c r="D19" s="8" t="n">
        <f aca="false">SUMIFS('Thanh thai'!$E$6:$E$10,'Thanh thai'!$H$6:$H$10,"Cột chống thép ống|kg")</f>
        <v>0</v>
      </c>
      <c r="E19" s="8" t="n">
        <f aca="false">SUMIFS('Tuyen 1'!$E$6:$E$321,'Tuyen 1'!$H$6:$H$321,"Cột chống thép ống|kg")</f>
        <v>227.887758</v>
      </c>
      <c r="F19" s="8" t="n">
        <f aca="false">SUMIFS('Tuyen 2A'!$E$6:$E$347,'Tuyen 2A'!$H$6:$H$347,"Cột chống thép ống|kg")</f>
        <v>373.363921</v>
      </c>
      <c r="G19" s="8" t="n">
        <f aca="false">SUMIFS('Tuyen 2B'!$E$6:$E$277,'Tuyen 2B'!$H$6:$H$277,"Cột chống thép ống|kg")</f>
        <v>429.7251</v>
      </c>
      <c r="H19" s="8" t="n">
        <f aca="false">SUMIFS('Tuyen 2C'!$E$6:$E$306,'Tuyen 2C'!$H$6:$H$306,"Cột chống thép ống|kg")</f>
        <v>15585.150163</v>
      </c>
      <c r="I19" s="8" t="n">
        <f aca="false">SUMIFS('Tuyen 3'!$E$6:$E$281,'Tuyen 3'!$H$6:$H$281,"Cột chống thép ống|kg")</f>
        <v>373.727382</v>
      </c>
      <c r="J19" s="8" t="n">
        <f aca="false">SUMIFS('Bai duc CK'!$E$6:$E$27,'Bai duc CK'!$H$6:$H$27,"Cột chống thép ống|kg")</f>
        <v>0</v>
      </c>
      <c r="K19" s="9" t="n">
        <f aca="false">SUM(D19:J19)</f>
        <v>16989.854324</v>
      </c>
      <c r="L19" s="10" t="n">
        <f aca="false">SUMIFS('Thanh thai'!$G$6:$G$10,'Thanh thai'!$H$6:$H$10,"Cột chống thép ống|kg")+SUMIFS('Tuyen 1'!$G$6:$G$321,'Tuyen 1'!$H$6:$H$321,"Cột chống thép ống|kg")+SUMIFS('Tuyen 2A'!$G$6:$G$347,'Tuyen 2A'!$H$6:$H$347,"Cột chống thép ống|kg")+SUMIFS('Tuyen 2B'!$G$6:$G$277,'Tuyen 2B'!$H$6:$H$277,"Cột chống thép ống|kg")+SUMIFS('Tuyen 2C'!$G$6:$G$306,'Tuyen 2C'!$H$6:$H$306,"Cột chống thép ống|kg")+SUMIFS('Tuyen 3'!$G$6:$G$281,'Tuyen 3'!$H$6:$H$281,"Cột chống thép ống|kg")+SUMIFS('Bai duc CK'!$G$6:$G$27,'Bai duc CK'!$H$6:$H$27,"Cột chống thép ống|kg")</f>
        <v>279992799.25952</v>
      </c>
      <c r="M19" s="11" t="n">
        <f aca="false">IF(K19=0,0,L19/K19)</f>
        <v>16480</v>
      </c>
    </row>
    <row r="20" customFormat="false" ht="15" hidden="false" customHeight="false" outlineLevel="0" collapsed="false">
      <c r="A20" s="6" t="n">
        <v>14</v>
      </c>
      <c r="B20" s="7" t="s">
        <v>35</v>
      </c>
      <c r="C20" s="6" t="s">
        <v>22</v>
      </c>
      <c r="D20" s="8" t="n">
        <f aca="false">SUMIFS('Thanh thai'!$E$6:$E$10,'Thanh thai'!$H$6:$H$10,"Cút thép đầu cọc D34/15|cái")</f>
        <v>0</v>
      </c>
      <c r="E20" s="8" t="n">
        <f aca="false">SUMIFS('Tuyen 1'!$E$6:$E$321,'Tuyen 1'!$H$6:$H$321,"Cút thép đầu cọc D34/15|cái")</f>
        <v>0</v>
      </c>
      <c r="F20" s="8" t="n">
        <f aca="false">SUMIFS('Tuyen 2A'!$E$6:$E$347,'Tuyen 2A'!$H$6:$H$347,"Cút thép đầu cọc D34/15|cái")</f>
        <v>1.4784</v>
      </c>
      <c r="G20" s="8" t="n">
        <f aca="false">SUMIFS('Tuyen 2B'!$E$6:$E$277,'Tuyen 2B'!$H$6:$H$277,"Cút thép đầu cọc D34/15|cái")</f>
        <v>0</v>
      </c>
      <c r="H20" s="8" t="n">
        <f aca="false">SUMIFS('Tuyen 2C'!$E$6:$E$306,'Tuyen 2C'!$H$6:$H$306,"Cút thép đầu cọc D34/15|cái")</f>
        <v>1.2848</v>
      </c>
      <c r="I20" s="8" t="n">
        <f aca="false">SUMIFS('Tuyen 3'!$E$6:$E$281,'Tuyen 3'!$H$6:$H$281,"Cút thép đầu cọc D34/15|cái")</f>
        <v>2.552</v>
      </c>
      <c r="J20" s="8" t="n">
        <f aca="false">SUMIFS('Bai duc CK'!$E$6:$E$27,'Bai duc CK'!$H$6:$H$27,"Cút thép đầu cọc D34/15|cái")</f>
        <v>0</v>
      </c>
      <c r="K20" s="9" t="n">
        <f aca="false">SUM(D20:J20)</f>
        <v>5.3152</v>
      </c>
      <c r="L20" s="10" t="n">
        <f aca="false">SUMIFS('Thanh thai'!$G$6:$G$10,'Thanh thai'!$H$6:$H$10,"Cút thép đầu cọc D34/15|cái")+SUMIFS('Tuyen 1'!$G$6:$G$321,'Tuyen 1'!$H$6:$H$321,"Cút thép đầu cọc D34/15|cái")+SUMIFS('Tuyen 2A'!$G$6:$G$347,'Tuyen 2A'!$H$6:$H$347,"Cút thép đầu cọc D34/15|cái")+SUMIFS('Tuyen 2B'!$G$6:$G$277,'Tuyen 2B'!$H$6:$H$277,"Cút thép đầu cọc D34/15|cái")+SUMIFS('Tuyen 2C'!$G$6:$G$306,'Tuyen 2C'!$H$6:$H$306,"Cút thép đầu cọc D34/15|cái")+SUMIFS('Tuyen 3'!$G$6:$G$281,'Tuyen 3'!$H$6:$H$281,"Cút thép đầu cọc D34/15|cái")+SUMIFS('Bai duc CK'!$G$6:$G$27,'Bai duc CK'!$H$6:$H$27,"Cút thép đầu cọc D34/15|cái")</f>
        <v>104018.464</v>
      </c>
      <c r="M20" s="11" t="n">
        <f aca="false">IF(K20=0,0,L20/K20)</f>
        <v>19570</v>
      </c>
    </row>
    <row r="21" customFormat="false" ht="15" hidden="false" customHeight="false" outlineLevel="0" collapsed="false">
      <c r="A21" s="6" t="n">
        <v>15</v>
      </c>
      <c r="B21" s="7" t="s">
        <v>36</v>
      </c>
      <c r="C21" s="6" t="s">
        <v>24</v>
      </c>
      <c r="D21" s="8" t="n">
        <f aca="false">SUMIFS('Thanh thai'!$E$6:$E$10,'Thanh thai'!$H$6:$H$10,"Đá 1x2|m3")</f>
        <v>0</v>
      </c>
      <c r="E21" s="8" t="n">
        <f aca="false">SUMIFS('Tuyen 1'!$E$6:$E$321,'Tuyen 1'!$H$6:$H$321,"Đá 1x2|m3")</f>
        <v>0</v>
      </c>
      <c r="F21" s="8" t="n">
        <f aca="false">SUMIFS('Tuyen 2A'!$E$6:$E$347,'Tuyen 2A'!$H$6:$H$347,"Đá 1x2|m3")</f>
        <v>0</v>
      </c>
      <c r="G21" s="8" t="n">
        <f aca="false">SUMIFS('Tuyen 2B'!$E$6:$E$277,'Tuyen 2B'!$H$6:$H$277,"Đá 1x2|m3")</f>
        <v>0</v>
      </c>
      <c r="H21" s="8" t="n">
        <f aca="false">SUMIFS('Tuyen 2C'!$E$6:$E$306,'Tuyen 2C'!$H$6:$H$306,"Đá 1x2|m3")</f>
        <v>0</v>
      </c>
      <c r="I21" s="8" t="n">
        <f aca="false">SUMIFS('Tuyen 3'!$E$6:$E$281,'Tuyen 3'!$H$6:$H$281,"Đá 1x2|m3")</f>
        <v>0</v>
      </c>
      <c r="J21" s="8" t="n">
        <f aca="false">SUMIFS('Bai duc CK'!$E$6:$E$27,'Bai duc CK'!$H$6:$H$27,"Đá 1x2|m3")</f>
        <v>0</v>
      </c>
      <c r="K21" s="9" t="n">
        <f aca="false">SUM(D21:J21)</f>
        <v>0</v>
      </c>
      <c r="L21" s="10" t="n">
        <f aca="false">SUMIFS('Thanh thai'!$G$6:$G$10,'Thanh thai'!$H$6:$H$10,"Đá 1x2|m3")+SUMIFS('Tuyen 1'!$G$6:$G$321,'Tuyen 1'!$H$6:$H$321,"Đá 1x2|m3")+SUMIFS('Tuyen 2A'!$G$6:$G$347,'Tuyen 2A'!$H$6:$H$347,"Đá 1x2|m3")+SUMIFS('Tuyen 2B'!$G$6:$G$277,'Tuyen 2B'!$H$6:$H$277,"Đá 1x2|m3")+SUMIFS('Tuyen 2C'!$G$6:$G$306,'Tuyen 2C'!$H$6:$H$306,"Đá 1x2|m3")+SUMIFS('Tuyen 3'!$G$6:$G$281,'Tuyen 3'!$H$6:$H$281,"Đá 1x2|m3")+SUMIFS('Bai duc CK'!$G$6:$G$27,'Bai duc CK'!$H$6:$H$27,"Đá 1x2|m3")</f>
        <v>0</v>
      </c>
      <c r="M21" s="11" t="n">
        <f aca="false">IF(K21=0,0,L21/K21)</f>
        <v>0</v>
      </c>
    </row>
    <row r="22" customFormat="false" ht="15" hidden="false" customHeight="false" outlineLevel="0" collapsed="false">
      <c r="A22" s="6" t="n">
        <v>16</v>
      </c>
      <c r="B22" s="7" t="s">
        <v>37</v>
      </c>
      <c r="C22" s="6" t="s">
        <v>24</v>
      </c>
      <c r="D22" s="8" t="n">
        <f aca="false">SUMIFS('Thanh thai'!$E$6:$E$10,'Thanh thai'!$H$6:$H$10,"Đá 2x4|m3")</f>
        <v>0</v>
      </c>
      <c r="E22" s="8" t="n">
        <f aca="false">SUMIFS('Tuyen 1'!$E$6:$E$321,'Tuyen 1'!$H$6:$H$321,"Đá 2x4|m3")</f>
        <v>3723.7242606</v>
      </c>
      <c r="F22" s="8" t="n">
        <f aca="false">SUMIFS('Tuyen 2A'!$E$6:$E$347,'Tuyen 2A'!$H$6:$H$347,"Đá 2x4|m3")</f>
        <v>5323.7267734</v>
      </c>
      <c r="G22" s="8" t="n">
        <f aca="false">SUMIFS('Tuyen 2B'!$E$6:$E$277,'Tuyen 2B'!$H$6:$H$277,"Đá 2x4|m3")</f>
        <v>6472.74825245</v>
      </c>
      <c r="H22" s="8" t="n">
        <f aca="false">SUMIFS('Tuyen 2C'!$E$6:$E$306,'Tuyen 2C'!$H$6:$H$306,"Đá 2x4|m3")</f>
        <v>4744.56825165</v>
      </c>
      <c r="I22" s="8" t="n">
        <f aca="false">SUMIFS('Tuyen 3'!$E$6:$E$281,'Tuyen 3'!$H$6:$H$281,"Đá 2x4|m3")</f>
        <v>5583.40592445</v>
      </c>
      <c r="J22" s="8" t="n">
        <f aca="false">SUMIFS('Bai duc CK'!$E$6:$E$27,'Bai duc CK'!$H$6:$H$27,"Đá 2x4|m3")</f>
        <v>273.4356625</v>
      </c>
      <c r="K22" s="9" t="n">
        <f aca="false">SUM(D22:J22)</f>
        <v>26121.60912505</v>
      </c>
      <c r="L22" s="10" t="n">
        <f aca="false">SUMIFS('Thanh thai'!$G$6:$G$10,'Thanh thai'!$H$6:$H$10,"Đá 2x4|m3")+SUMIFS('Tuyen 1'!$G$6:$G$321,'Tuyen 1'!$H$6:$H$321,"Đá 2x4|m3")+SUMIFS('Tuyen 2A'!$G$6:$G$347,'Tuyen 2A'!$H$6:$H$347,"Đá 2x4|m3")+SUMIFS('Tuyen 2B'!$G$6:$G$277,'Tuyen 2B'!$H$6:$H$277,"Đá 2x4|m3")+SUMIFS('Tuyen 2C'!$G$6:$G$306,'Tuyen 2C'!$H$6:$H$306,"Đá 2x4|m3")+SUMIFS('Tuyen 3'!$G$6:$G$281,'Tuyen 3'!$H$6:$H$281,"Đá 2x4|m3")+SUMIFS('Bai duc CK'!$G$6:$G$27,'Bai duc CK'!$H$6:$H$27,"Đá 2x4|m3")</f>
        <v>12300195992.5657</v>
      </c>
      <c r="M22" s="11" t="n">
        <f aca="false">IF(K22=0,0,L22/K22)</f>
        <v>470882.017018244</v>
      </c>
    </row>
    <row r="23" customFormat="false" ht="15" hidden="false" customHeight="false" outlineLevel="0" collapsed="false">
      <c r="A23" s="6" t="n">
        <v>17</v>
      </c>
      <c r="B23" s="7" t="s">
        <v>38</v>
      </c>
      <c r="C23" s="6" t="s">
        <v>24</v>
      </c>
      <c r="D23" s="8" t="n">
        <f aca="false">SUMIFS('Thanh thai'!$E$6:$E$10,'Thanh thai'!$H$6:$H$10,"Đá 4x6|m3")</f>
        <v>0</v>
      </c>
      <c r="E23" s="8" t="n">
        <f aca="false">SUMIFS('Tuyen 1'!$E$6:$E$321,'Tuyen 1'!$H$6:$H$321,"Đá 4x6|m3")</f>
        <v>2612.7431</v>
      </c>
      <c r="F23" s="8" t="n">
        <f aca="false">SUMIFS('Tuyen 2A'!$E$6:$E$347,'Tuyen 2A'!$H$6:$H$347,"Đá 4x6|m3")</f>
        <v>3873.196</v>
      </c>
      <c r="G23" s="8" t="n">
        <f aca="false">SUMIFS('Tuyen 2B'!$E$6:$E$277,'Tuyen 2B'!$H$6:$H$277,"Đá 4x6|m3")</f>
        <v>4940.9683</v>
      </c>
      <c r="H23" s="8" t="n">
        <f aca="false">SUMIFS('Tuyen 2C'!$E$6:$E$306,'Tuyen 2C'!$H$6:$H$306,"Đá 4x6|m3")</f>
        <v>3478.728</v>
      </c>
      <c r="I23" s="8" t="n">
        <f aca="false">SUMIFS('Tuyen 3'!$E$6:$E$281,'Tuyen 3'!$H$6:$H$281,"Đá 4x6|m3")</f>
        <v>4072.42</v>
      </c>
      <c r="J23" s="8" t="n">
        <f aca="false">SUMIFS('Bai duc CK'!$E$6:$E$27,'Bai duc CK'!$H$6:$H$27,"Đá 4x6|m3")</f>
        <v>0</v>
      </c>
      <c r="K23" s="9" t="n">
        <f aca="false">SUM(D23:J23)</f>
        <v>18978.0554</v>
      </c>
      <c r="L23" s="10" t="n">
        <f aca="false">SUMIFS('Thanh thai'!$G$6:$G$10,'Thanh thai'!$H$6:$H$10,"Đá 4x6|m3")+SUMIFS('Tuyen 1'!$G$6:$G$321,'Tuyen 1'!$H$6:$H$321,"Đá 4x6|m3")+SUMIFS('Tuyen 2A'!$G$6:$G$347,'Tuyen 2A'!$H$6:$H$347,"Đá 4x6|m3")+SUMIFS('Tuyen 2B'!$G$6:$G$277,'Tuyen 2B'!$H$6:$H$277,"Đá 4x6|m3")+SUMIFS('Tuyen 2C'!$G$6:$G$306,'Tuyen 2C'!$H$6:$H$306,"Đá 4x6|m3")+SUMIFS('Tuyen 3'!$G$6:$G$281,'Tuyen 3'!$H$6:$H$281,"Đá 4x6|m3")+SUMIFS('Bai duc CK'!$G$6:$G$27,'Bai duc CK'!$H$6:$H$27,"Đá 4x6|m3")</f>
        <v>7029832303.2126</v>
      </c>
      <c r="M23" s="11" t="n">
        <f aca="false">IF(K23=0,0,L23/K23)</f>
        <v>370419</v>
      </c>
    </row>
    <row r="24" customFormat="false" ht="15" hidden="false" customHeight="false" outlineLevel="0" collapsed="false">
      <c r="A24" s="6" t="n">
        <v>18</v>
      </c>
      <c r="B24" s="7" t="s">
        <v>39</v>
      </c>
      <c r="C24" s="6" t="s">
        <v>24</v>
      </c>
      <c r="D24" s="8" t="n">
        <f aca="false">SUMIFS('Thanh thai'!$E$6:$E$10,'Thanh thai'!$H$6:$H$10,"Đá dăm 0,5x1 BTC (32,47%)|m3")</f>
        <v>0</v>
      </c>
      <c r="E24" s="8" t="n">
        <f aca="false">SUMIFS('Tuyen 1'!$E$6:$E$321,'Tuyen 1'!$H$6:$H$321,"Đá dăm 0,5x1 BTC (32,47%)|m3")</f>
        <v>65.702898305622</v>
      </c>
      <c r="F24" s="8" t="n">
        <f aca="false">SUMIFS('Tuyen 2A'!$E$6:$E$347,'Tuyen 2A'!$H$6:$H$347,"Đá dăm 0,5x1 BTC (32,47%)|m3")</f>
        <v>6.96991248792</v>
      </c>
      <c r="G24" s="8" t="n">
        <f aca="false">SUMIFS('Tuyen 2B'!$E$6:$E$277,'Tuyen 2B'!$H$6:$H$277,"Đá dăm 0,5x1 BTC (32,47%)|m3")</f>
        <v>42.204899614995</v>
      </c>
      <c r="H24" s="8" t="n">
        <f aca="false">SUMIFS('Tuyen 2C'!$E$6:$E$306,'Tuyen 2C'!$H$6:$H$306,"Đá dăm 0,5x1 BTC (32,47%)|m3")</f>
        <v>0</v>
      </c>
      <c r="I24" s="8" t="n">
        <f aca="false">SUMIFS('Tuyen 3'!$E$6:$E$281,'Tuyen 3'!$H$6:$H$281,"Đá dăm 0,5x1 BTC (32,47%)|m3")</f>
        <v>0</v>
      </c>
      <c r="J24" s="8" t="n">
        <f aca="false">SUMIFS('Bai duc CK'!$E$6:$E$27,'Bai duc CK'!$H$6:$H$27,"Đá dăm 0,5x1 BTC (32,47%)|m3")</f>
        <v>0</v>
      </c>
      <c r="K24" s="9" t="n">
        <f aca="false">SUM(D24:J24)</f>
        <v>114.877710408537</v>
      </c>
      <c r="L24" s="10" t="n">
        <f aca="false">SUMIFS('Thanh thai'!$G$6:$G$10,'Thanh thai'!$H$6:$H$10,"Đá dăm 0,5x1 BTC (32,47%)|m3")+SUMIFS('Tuyen 1'!$G$6:$G$321,'Tuyen 1'!$H$6:$H$321,"Đá dăm 0,5x1 BTC (32,47%)|m3")+SUMIFS('Tuyen 2A'!$G$6:$G$347,'Tuyen 2A'!$H$6:$H$347,"Đá dăm 0,5x1 BTC (32,47%)|m3")+SUMIFS('Tuyen 2B'!$G$6:$G$277,'Tuyen 2B'!$H$6:$H$277,"Đá dăm 0,5x1 BTC (32,47%)|m3")+SUMIFS('Tuyen 2C'!$G$6:$G$306,'Tuyen 2C'!$H$6:$H$306,"Đá dăm 0,5x1 BTC (32,47%)|m3")+SUMIFS('Tuyen 3'!$G$6:$G$281,'Tuyen 3'!$H$6:$H$281,"Đá dăm 0,5x1 BTC (32,47%)|m3")+SUMIFS('Bai duc CK'!$G$6:$G$27,'Bai duc CK'!$H$6:$H$27,"Đá dăm 0,5x1 BTC (32,47%)|m3")</f>
        <v>40255332.4036491</v>
      </c>
      <c r="M24" s="11" t="n">
        <f aca="false">IF(K24=0,0,L24/K24)</f>
        <v>350419</v>
      </c>
    </row>
    <row r="25" customFormat="false" ht="15" hidden="false" customHeight="false" outlineLevel="0" collapsed="false">
      <c r="A25" s="6" t="n">
        <v>19</v>
      </c>
      <c r="B25" s="7" t="s">
        <v>40</v>
      </c>
      <c r="C25" s="6" t="s">
        <v>24</v>
      </c>
      <c r="D25" s="8" t="n">
        <f aca="false">SUMIFS('Thanh thai'!$E$6:$E$10,'Thanh thai'!$H$6:$H$10,"Đá dăm 1x2 BTN (27,69%)|m3")</f>
        <v>0</v>
      </c>
      <c r="E25" s="8" t="n">
        <f aca="false">SUMIFS('Tuyen 1'!$E$6:$E$321,'Tuyen 1'!$H$6:$H$321,"Đá dăm 1x2 BTN (27,69%)|m3")</f>
        <v>75.051989797356</v>
      </c>
      <c r="F25" s="8" t="n">
        <f aca="false">SUMIFS('Tuyen 2A'!$E$6:$E$347,'Tuyen 2A'!$H$6:$H$347,"Đá dăm 1x2 BTN (27,69%)|m3")</f>
        <v>7.96168532016</v>
      </c>
      <c r="G25" s="8" t="n">
        <f aca="false">SUMIFS('Tuyen 2B'!$E$6:$E$277,'Tuyen 2B'!$H$6:$H$277,"Đá dăm 1x2 BTN (27,69%)|m3")</f>
        <v>48.21038001351</v>
      </c>
      <c r="H25" s="8" t="n">
        <f aca="false">SUMIFS('Tuyen 2C'!$E$6:$E$306,'Tuyen 2C'!$H$6:$H$306,"Đá dăm 1x2 BTN (27,69%)|m3")</f>
        <v>0</v>
      </c>
      <c r="I25" s="8" t="n">
        <f aca="false">SUMIFS('Tuyen 3'!$E$6:$E$281,'Tuyen 3'!$H$6:$H$281,"Đá dăm 1x2 BTN (27,69%)|m3")</f>
        <v>0</v>
      </c>
      <c r="J25" s="8" t="n">
        <f aca="false">SUMIFS('Bai duc CK'!$E$6:$E$27,'Bai duc CK'!$H$6:$H$27,"Đá dăm 1x2 BTN (27,69%)|m3")</f>
        <v>0</v>
      </c>
      <c r="K25" s="9" t="n">
        <f aca="false">SUM(D25:J25)</f>
        <v>131.224055131026</v>
      </c>
      <c r="L25" s="10" t="n">
        <f aca="false">SUMIFS('Thanh thai'!$G$6:$G$10,'Thanh thai'!$H$6:$H$10,"Đá dăm 1x2 BTN (27,69%)|m3")+SUMIFS('Tuyen 1'!$G$6:$G$321,'Tuyen 1'!$H$6:$H$321,"Đá dăm 1x2 BTN (27,69%)|m3")+SUMIFS('Tuyen 2A'!$G$6:$G$347,'Tuyen 2A'!$H$6:$H$347,"Đá dăm 1x2 BTN (27,69%)|m3")+SUMIFS('Tuyen 2B'!$G$6:$G$277,'Tuyen 2B'!$H$6:$H$277,"Đá dăm 1x2 BTN (27,69%)|m3")+SUMIFS('Tuyen 2C'!$G$6:$G$306,'Tuyen 2C'!$H$6:$H$306,"Đá dăm 1x2 BTN (27,69%)|m3")+SUMIFS('Tuyen 3'!$G$6:$G$281,'Tuyen 3'!$H$6:$H$281,"Đá dăm 1x2 BTN (27,69%)|m3")+SUMIFS('Bai duc CK'!$G$6:$G$27,'Bai duc CK'!$H$6:$H$27,"Đá dăm 1x2 BTN (27,69%)|m3")</f>
        <v>52818600.7586239</v>
      </c>
      <c r="M25" s="11" t="n">
        <f aca="false">IF(K25=0,0,L25/K25)</f>
        <v>402507</v>
      </c>
    </row>
    <row r="26" customFormat="false" ht="15" hidden="false" customHeight="false" outlineLevel="0" collapsed="false">
      <c r="A26" s="6" t="n">
        <v>20</v>
      </c>
      <c r="B26" s="7" t="s">
        <v>41</v>
      </c>
      <c r="C26" s="6" t="s">
        <v>24</v>
      </c>
      <c r="D26" s="8" t="n">
        <f aca="false">SUMIFS('Thanh thai'!$E$6:$E$10,'Thanh thai'!$H$6:$H$10,"Đá hộc 100-200kg|m3")</f>
        <v>0</v>
      </c>
      <c r="E26" s="8" t="n">
        <f aca="false">SUMIFS('Tuyen 1'!$E$6:$E$321,'Tuyen 1'!$H$6:$H$321,"Đá hộc 100-200kg|m3")</f>
        <v>528.5236</v>
      </c>
      <c r="F26" s="8" t="n">
        <f aca="false">SUMIFS('Tuyen 2A'!$E$6:$E$347,'Tuyen 2A'!$H$6:$H$347,"Đá hộc 100-200kg|m3")</f>
        <v>806.3002</v>
      </c>
      <c r="G26" s="8" t="n">
        <f aca="false">SUMIFS('Tuyen 2B'!$E$6:$E$277,'Tuyen 2B'!$H$6:$H$277,"Đá hộc 100-200kg|m3")</f>
        <v>824.7305</v>
      </c>
      <c r="H26" s="8" t="n">
        <f aca="false">SUMIFS('Tuyen 2C'!$E$6:$E$306,'Tuyen 2C'!$H$6:$H$306,"Đá hộc 100-200kg|m3")</f>
        <v>743.8338</v>
      </c>
      <c r="I26" s="8" t="n">
        <f aca="false">SUMIFS('Tuyen 3'!$E$6:$E$281,'Tuyen 3'!$H$6:$H$281,"Đá hộc 100-200kg|m3")</f>
        <v>1093.4784</v>
      </c>
      <c r="J26" s="8" t="n">
        <f aca="false">SUMIFS('Bai duc CK'!$E$6:$E$27,'Bai duc CK'!$H$6:$H$27,"Đá hộc 100-200kg|m3")</f>
        <v>0</v>
      </c>
      <c r="K26" s="9" t="n">
        <f aca="false">SUM(D26:J26)</f>
        <v>3996.8665</v>
      </c>
      <c r="L26" s="10" t="n">
        <f aca="false">SUMIFS('Thanh thai'!$G$6:$G$10,'Thanh thai'!$H$6:$H$10,"Đá hộc 100-200kg|m3")+SUMIFS('Tuyen 1'!$G$6:$G$321,'Tuyen 1'!$H$6:$H$321,"Đá hộc 100-200kg|m3")+SUMIFS('Tuyen 2A'!$G$6:$G$347,'Tuyen 2A'!$H$6:$H$347,"Đá hộc 100-200kg|m3")+SUMIFS('Tuyen 2B'!$G$6:$G$277,'Tuyen 2B'!$H$6:$H$277,"Đá hộc 100-200kg|m3")+SUMIFS('Tuyen 2C'!$G$6:$G$306,'Tuyen 2C'!$H$6:$H$306,"Đá hộc 100-200kg|m3")+SUMIFS('Tuyen 3'!$G$6:$G$281,'Tuyen 3'!$H$6:$H$281,"Đá hộc 100-200kg|m3")+SUMIFS('Bai duc CK'!$G$6:$G$27,'Bai duc CK'!$H$6:$H$27,"Đá hộc 100-200kg|m3")</f>
        <v>1516595005.959</v>
      </c>
      <c r="M26" s="11" t="n">
        <f aca="false">IF(K26=0,0,L26/K26)</f>
        <v>379446</v>
      </c>
    </row>
    <row r="27" customFormat="false" ht="15" hidden="false" customHeight="false" outlineLevel="0" collapsed="false">
      <c r="A27" s="6" t="n">
        <v>21</v>
      </c>
      <c r="B27" s="7" t="s">
        <v>42</v>
      </c>
      <c r="C27" s="6" t="s">
        <v>24</v>
      </c>
      <c r="D27" s="8" t="n">
        <f aca="false">SUMIFS('Thanh thai'!$E$6:$E$10,'Thanh thai'!$H$6:$H$10,"Đá hộc hỗn hợp|m3")</f>
        <v>0</v>
      </c>
      <c r="E27" s="8" t="n">
        <f aca="false">SUMIFS('Tuyen 1'!$E$6:$E$321,'Tuyen 1'!$H$6:$H$321,"Đá hộc hỗn hợp|m3")</f>
        <v>15301.8159</v>
      </c>
      <c r="F27" s="8" t="n">
        <f aca="false">SUMIFS('Tuyen 2A'!$E$6:$E$347,'Tuyen 2A'!$H$6:$H$347,"Đá hộc hỗn hợp|m3")</f>
        <v>22385.2774</v>
      </c>
      <c r="G27" s="8" t="n">
        <f aca="false">SUMIFS('Tuyen 2B'!$E$6:$E$277,'Tuyen 2B'!$H$6:$H$277,"Đá hộc hỗn hợp|m3")</f>
        <v>27446.4909</v>
      </c>
      <c r="H27" s="8" t="n">
        <f aca="false">SUMIFS('Tuyen 2C'!$E$6:$E$306,'Tuyen 2C'!$H$6:$H$306,"Đá hộc hỗn hợp|m3")</f>
        <v>20228.0735</v>
      </c>
      <c r="I27" s="8" t="n">
        <f aca="false">SUMIFS('Tuyen 3'!$E$6:$E$281,'Tuyen 3'!$H$6:$H$281,"Đá hộc hỗn hợp|m3")</f>
        <v>23993.2335</v>
      </c>
      <c r="J27" s="8" t="n">
        <f aca="false">SUMIFS('Bai duc CK'!$E$6:$E$27,'Bai duc CK'!$H$6:$H$27,"Đá hộc hỗn hợp|m3")</f>
        <v>0</v>
      </c>
      <c r="K27" s="9" t="n">
        <f aca="false">SUM(D27:J27)</f>
        <v>109354.8912</v>
      </c>
      <c r="L27" s="10" t="n">
        <f aca="false">SUMIFS('Thanh thai'!$G$6:$G$10,'Thanh thai'!$H$6:$H$10,"Đá hộc hỗn hợp|m3")+SUMIFS('Tuyen 1'!$G$6:$G$321,'Tuyen 1'!$H$6:$H$321,"Đá hộc hỗn hợp|m3")+SUMIFS('Tuyen 2A'!$G$6:$G$347,'Tuyen 2A'!$H$6:$H$347,"Đá hộc hỗn hợp|m3")+SUMIFS('Tuyen 2B'!$G$6:$G$277,'Tuyen 2B'!$H$6:$H$277,"Đá hộc hỗn hợp|m3")+SUMIFS('Tuyen 2C'!$G$6:$G$306,'Tuyen 2C'!$H$6:$H$306,"Đá hộc hỗn hợp|m3")+SUMIFS('Tuyen 3'!$G$6:$G$281,'Tuyen 3'!$H$6:$H$281,"Đá hộc hỗn hợp|m3")+SUMIFS('Bai duc CK'!$G$6:$G$27,'Bai duc CK'!$H$6:$H$27,"Đá hộc hỗn hợp|m3")</f>
        <v>41494276046.2752</v>
      </c>
      <c r="M27" s="11" t="n">
        <f aca="false">IF(K27=0,0,L27/K27)</f>
        <v>379446</v>
      </c>
    </row>
    <row r="28" customFormat="false" ht="15" hidden="false" customHeight="false" outlineLevel="0" collapsed="false">
      <c r="A28" s="6" t="n">
        <v>22</v>
      </c>
      <c r="B28" s="7" t="s">
        <v>43</v>
      </c>
      <c r="C28" s="6" t="s">
        <v>24</v>
      </c>
      <c r="D28" s="8" t="n">
        <f aca="false">SUMIFS('Thanh thai'!$E$6:$E$10,'Thanh thai'!$H$6:$H$10,"Đá mạt BTN (30,59)|m3")</f>
        <v>0</v>
      </c>
      <c r="E28" s="8" t="n">
        <f aca="false">SUMIFS('Tuyen 1'!$E$6:$E$321,'Tuyen 1'!$H$6:$H$321,"Đá mạt BTN (30,59)|m3")</f>
        <v>56.031315325164</v>
      </c>
      <c r="F28" s="8" t="n">
        <f aca="false">SUMIFS('Tuyen 2A'!$E$6:$E$347,'Tuyen 2A'!$H$6:$H$347,"Đá mạt BTN (30,59)|m3")</f>
        <v>5.94392902704</v>
      </c>
      <c r="G28" s="8" t="n">
        <f aca="false">SUMIFS('Tuyen 2B'!$E$6:$E$277,'Tuyen 2B'!$H$6:$H$277,"Đá mạt BTN (30,59)|m3")</f>
        <v>35.99226365319</v>
      </c>
      <c r="H28" s="8" t="n">
        <f aca="false">SUMIFS('Tuyen 2C'!$E$6:$E$306,'Tuyen 2C'!$H$6:$H$306,"Đá mạt BTN (30,59)|m3")</f>
        <v>0</v>
      </c>
      <c r="I28" s="8" t="n">
        <f aca="false">SUMIFS('Tuyen 3'!$E$6:$E$281,'Tuyen 3'!$H$6:$H$281,"Đá mạt BTN (30,59)|m3")</f>
        <v>0</v>
      </c>
      <c r="J28" s="8" t="n">
        <f aca="false">SUMIFS('Bai duc CK'!$E$6:$E$27,'Bai duc CK'!$H$6:$H$27,"Đá mạt BTN (30,59)|m3")</f>
        <v>0</v>
      </c>
      <c r="K28" s="9" t="n">
        <f aca="false">SUM(D28:J28)</f>
        <v>97.967508005394</v>
      </c>
      <c r="L28" s="10" t="n">
        <f aca="false">SUMIFS('Thanh thai'!$G$6:$G$10,'Thanh thai'!$H$6:$H$10,"Đá mạt BTN (30,59)|m3")+SUMIFS('Tuyen 1'!$G$6:$G$321,'Tuyen 1'!$H$6:$H$321,"Đá mạt BTN (30,59)|m3")+SUMIFS('Tuyen 2A'!$G$6:$G$347,'Tuyen 2A'!$H$6:$H$347,"Đá mạt BTN (30,59)|m3")+SUMIFS('Tuyen 2B'!$G$6:$G$277,'Tuyen 2B'!$H$6:$H$277,"Đá mạt BTN (30,59)|m3")+SUMIFS('Tuyen 2C'!$G$6:$G$306,'Tuyen 2C'!$H$6:$H$306,"Đá mạt BTN (30,59)|m3")+SUMIFS('Tuyen 3'!$G$6:$G$281,'Tuyen 3'!$H$6:$H$281,"Đá mạt BTN (30,59)|m3")+SUMIFS('Bai duc CK'!$G$6:$G$27,'Bai duc CK'!$H$6:$H$27,"Đá mạt BTN (30,59)|m3")</f>
        <v>28451625.7074185</v>
      </c>
      <c r="M28" s="11" t="n">
        <f aca="false">IF(K28=0,0,L28/K28)</f>
        <v>290419</v>
      </c>
    </row>
    <row r="29" customFormat="false" ht="15" hidden="false" customHeight="false" outlineLevel="0" collapsed="false">
      <c r="A29" s="6" t="n">
        <v>23</v>
      </c>
      <c r="B29" s="7" t="s">
        <v>44</v>
      </c>
      <c r="C29" s="6" t="s">
        <v>24</v>
      </c>
      <c r="D29" s="8" t="n">
        <f aca="false">SUMIFS('Thanh thai'!$E$6:$E$10,'Thanh thai'!$H$6:$H$10,"Đất đắp|m3")</f>
        <v>0</v>
      </c>
      <c r="E29" s="8" t="n">
        <f aca="false">SUMIFS('Tuyen 1'!$E$6:$E$321,'Tuyen 1'!$H$6:$H$321,"Đất đắp|m3")</f>
        <v>0</v>
      </c>
      <c r="F29" s="8" t="n">
        <f aca="false">SUMIFS('Tuyen 2A'!$E$6:$E$347,'Tuyen 2A'!$H$6:$H$347,"Đất đắp|m3")</f>
        <v>4.78691956</v>
      </c>
      <c r="G29" s="8" t="n">
        <f aca="false">SUMIFS('Tuyen 2B'!$E$6:$E$277,'Tuyen 2B'!$H$6:$H$277,"Đất đắp|m3")</f>
        <v>5.48065368</v>
      </c>
      <c r="H29" s="8" t="n">
        <f aca="false">SUMIFS('Tuyen 2C'!$E$6:$E$306,'Tuyen 2C'!$H$6:$H$306,"Đất đắp|m3")</f>
        <v>1.1601936</v>
      </c>
      <c r="I29" s="8" t="n">
        <f aca="false">SUMIFS('Tuyen 3'!$E$6:$E$281,'Tuyen 3'!$H$6:$H$281,"Đất đắp|m3")</f>
        <v>5.81610096</v>
      </c>
      <c r="J29" s="8" t="n">
        <f aca="false">SUMIFS('Bai duc CK'!$E$6:$E$27,'Bai duc CK'!$H$6:$H$27,"Đất đắp|m3")</f>
        <v>0</v>
      </c>
      <c r="K29" s="9" t="n">
        <f aca="false">SUM(D29:J29)</f>
        <v>17.2438678</v>
      </c>
      <c r="L29" s="10" t="n">
        <f aca="false">SUMIFS('Thanh thai'!$G$6:$G$10,'Thanh thai'!$H$6:$H$10,"Đất đắp|m3")+SUMIFS('Tuyen 1'!$G$6:$G$321,'Tuyen 1'!$H$6:$H$321,"Đất đắp|m3")+SUMIFS('Tuyen 2A'!$G$6:$G$347,'Tuyen 2A'!$H$6:$H$347,"Đất đắp|m3")+SUMIFS('Tuyen 2B'!$G$6:$G$277,'Tuyen 2B'!$H$6:$H$277,"Đất đắp|m3")+SUMIFS('Tuyen 2C'!$G$6:$G$306,'Tuyen 2C'!$H$6:$H$306,"Đất đắp|m3")+SUMIFS('Tuyen 3'!$G$6:$G$281,'Tuyen 3'!$H$6:$H$281,"Đất đắp|m3")+SUMIFS('Bai duc CK'!$G$6:$G$27,'Bai duc CK'!$H$6:$H$27,"Đất đắp|m3")</f>
        <v>862193.39</v>
      </c>
      <c r="M29" s="11" t="n">
        <f aca="false">IF(K29=0,0,L29/K29)</f>
        <v>50000</v>
      </c>
    </row>
    <row r="30" customFormat="false" ht="15" hidden="false" customHeight="false" outlineLevel="0" collapsed="false">
      <c r="A30" s="6" t="n">
        <v>24</v>
      </c>
      <c r="B30" s="7" t="s">
        <v>45</v>
      </c>
      <c r="C30" s="6" t="s">
        <v>46</v>
      </c>
      <c r="D30" s="8" t="n">
        <f aca="false">SUMIFS('Thanh thai'!$E$6:$E$10,'Thanh thai'!$H$6:$H$10,"Dầu bảo ôn|lít")</f>
        <v>0</v>
      </c>
      <c r="E30" s="8" t="n">
        <f aca="false">SUMIFS('Tuyen 1'!$E$6:$E$321,'Tuyen 1'!$H$6:$H$321,"Dầu bảo ôn|lít")</f>
        <v>134.371453635</v>
      </c>
      <c r="F30" s="8" t="n">
        <f aca="false">SUMIFS('Tuyen 2A'!$E$6:$E$347,'Tuyen 2A'!$H$6:$H$347,"Dầu bảo ôn|lít")</f>
        <v>14.2544286</v>
      </c>
      <c r="G30" s="8" t="n">
        <f aca="false">SUMIFS('Tuyen 2B'!$E$6:$E$277,'Tuyen 2B'!$H$6:$H$277,"Dầu bảo ôn|lít")</f>
        <v>86.3148180375</v>
      </c>
      <c r="H30" s="8" t="n">
        <f aca="false">SUMIFS('Tuyen 2C'!$E$6:$E$306,'Tuyen 2C'!$H$6:$H$306,"Dầu bảo ôn|lít")</f>
        <v>0</v>
      </c>
      <c r="I30" s="8" t="n">
        <f aca="false">SUMIFS('Tuyen 3'!$E$6:$E$281,'Tuyen 3'!$H$6:$H$281,"Dầu bảo ôn|lít")</f>
        <v>0</v>
      </c>
      <c r="J30" s="8" t="n">
        <f aca="false">SUMIFS('Bai duc CK'!$E$6:$E$27,'Bai duc CK'!$H$6:$H$27,"Dầu bảo ôn|lít")</f>
        <v>0</v>
      </c>
      <c r="K30" s="9" t="n">
        <f aca="false">SUM(D30:J30)</f>
        <v>234.9407002725</v>
      </c>
      <c r="L30" s="10" t="n">
        <f aca="false">SUMIFS('Thanh thai'!$G$6:$G$10,'Thanh thai'!$H$6:$H$10,"Dầu bảo ôn|lít")+SUMIFS('Tuyen 1'!$G$6:$G$321,'Tuyen 1'!$H$6:$H$321,"Dầu bảo ôn|lít")+SUMIFS('Tuyen 2A'!$G$6:$G$347,'Tuyen 2A'!$H$6:$H$347,"Dầu bảo ôn|lít")+SUMIFS('Tuyen 2B'!$G$6:$G$277,'Tuyen 2B'!$H$6:$H$277,"Dầu bảo ôn|lít")+SUMIFS('Tuyen 2C'!$G$6:$G$306,'Tuyen 2C'!$H$6:$H$306,"Dầu bảo ôn|lít")+SUMIFS('Tuyen 3'!$G$6:$G$281,'Tuyen 3'!$H$6:$H$281,"Dầu bảo ôn|lít")+SUMIFS('Bai duc CK'!$G$6:$G$27,'Bai duc CK'!$H$6:$H$27,"Dầu bảo ôn|lít")</f>
        <v>8222924.5095375</v>
      </c>
      <c r="M30" s="11" t="n">
        <f aca="false">IF(K30=0,0,L30/K30)</f>
        <v>35000</v>
      </c>
    </row>
    <row r="31" customFormat="false" ht="15" hidden="false" customHeight="false" outlineLevel="0" collapsed="false">
      <c r="A31" s="6" t="n">
        <v>25</v>
      </c>
      <c r="B31" s="7" t="s">
        <v>47</v>
      </c>
      <c r="C31" s="6" t="s">
        <v>46</v>
      </c>
      <c r="D31" s="8" t="n">
        <f aca="false">SUMIFS('Thanh thai'!$E$6:$E$10,'Thanh thai'!$H$6:$H$10,"Dầu diezel|lít")</f>
        <v>0</v>
      </c>
      <c r="E31" s="8" t="n">
        <f aca="false">SUMIFS('Tuyen 1'!$E$6:$E$321,'Tuyen 1'!$H$6:$H$321,"Dầu diezel|lít")</f>
        <v>474.2521893</v>
      </c>
      <c r="F31" s="8" t="n">
        <f aca="false">SUMIFS('Tuyen 2A'!$E$6:$E$347,'Tuyen 2A'!$H$6:$H$347,"Dầu diezel|lít")</f>
        <v>50.309748</v>
      </c>
      <c r="G31" s="8" t="n">
        <f aca="false">SUMIFS('Tuyen 2B'!$E$6:$E$277,'Tuyen 2B'!$H$6:$H$277,"Dầu diezel|lít")</f>
        <v>304.64053425</v>
      </c>
      <c r="H31" s="8" t="n">
        <f aca="false">SUMIFS('Tuyen 2C'!$E$6:$E$306,'Tuyen 2C'!$H$6:$H$306,"Dầu diezel|lít")</f>
        <v>0</v>
      </c>
      <c r="I31" s="8" t="n">
        <f aca="false">SUMIFS('Tuyen 3'!$E$6:$E$281,'Tuyen 3'!$H$6:$H$281,"Dầu diezel|lít")</f>
        <v>0</v>
      </c>
      <c r="J31" s="8" t="n">
        <f aca="false">SUMIFS('Bai duc CK'!$E$6:$E$27,'Bai duc CK'!$H$6:$H$27,"Dầu diezel|lít")</f>
        <v>0</v>
      </c>
      <c r="K31" s="9" t="n">
        <f aca="false">SUM(D31:J31)</f>
        <v>829.20247155</v>
      </c>
      <c r="L31" s="10" t="n">
        <f aca="false">SUMIFS('Thanh thai'!$G$6:$G$10,'Thanh thai'!$H$6:$H$10,"Dầu diezel|lít")+SUMIFS('Tuyen 1'!$G$6:$G$321,'Tuyen 1'!$H$6:$H$321,"Dầu diezel|lít")+SUMIFS('Tuyen 2A'!$G$6:$G$347,'Tuyen 2A'!$H$6:$H$347,"Dầu diezel|lít")+SUMIFS('Tuyen 2B'!$G$6:$G$277,'Tuyen 2B'!$H$6:$H$277,"Dầu diezel|lít")+SUMIFS('Tuyen 2C'!$G$6:$G$306,'Tuyen 2C'!$H$6:$H$306,"Dầu diezel|lít")+SUMIFS('Tuyen 3'!$G$6:$G$281,'Tuyen 3'!$H$6:$H$281,"Dầu diezel|lít")+SUMIFS('Bai duc CK'!$G$6:$G$27,'Bai duc CK'!$H$6:$H$27,"Dầu diezel|lít")</f>
        <v>23292297.4258395</v>
      </c>
      <c r="M31" s="11" t="n">
        <f aca="false">IF(K31=0,0,L31/K31)</f>
        <v>28090</v>
      </c>
    </row>
    <row r="32" customFormat="false" ht="15" hidden="false" customHeight="false" outlineLevel="0" collapsed="false">
      <c r="A32" s="6" t="n">
        <v>26</v>
      </c>
      <c r="B32" s="7" t="s">
        <v>48</v>
      </c>
      <c r="C32" s="6" t="s">
        <v>46</v>
      </c>
      <c r="D32" s="8" t="n">
        <f aca="false">SUMIFS('Thanh thai'!$E$6:$E$10,'Thanh thai'!$H$6:$H$10,"Dầu mazút|lít")</f>
        <v>0</v>
      </c>
      <c r="E32" s="8" t="n">
        <f aca="false">SUMIFS('Tuyen 1'!$E$6:$E$321,'Tuyen 1'!$H$6:$H$321,"Dầu mazút|lít")</f>
        <v>2687.4290727</v>
      </c>
      <c r="F32" s="8" t="n">
        <f aca="false">SUMIFS('Tuyen 2A'!$E$6:$E$347,'Tuyen 2A'!$H$6:$H$347,"Dầu mazút|lít")</f>
        <v>285.088572</v>
      </c>
      <c r="G32" s="8" t="n">
        <f aca="false">SUMIFS('Tuyen 2B'!$E$6:$E$277,'Tuyen 2B'!$H$6:$H$277,"Dầu mazút|lít")</f>
        <v>1726.29636075</v>
      </c>
      <c r="H32" s="8" t="n">
        <f aca="false">SUMIFS('Tuyen 2C'!$E$6:$E$306,'Tuyen 2C'!$H$6:$H$306,"Dầu mazút|lít")</f>
        <v>0</v>
      </c>
      <c r="I32" s="8" t="n">
        <f aca="false">SUMIFS('Tuyen 3'!$E$6:$E$281,'Tuyen 3'!$H$6:$H$281,"Dầu mazút|lít")</f>
        <v>0</v>
      </c>
      <c r="J32" s="8" t="n">
        <f aca="false">SUMIFS('Bai duc CK'!$E$6:$E$27,'Bai duc CK'!$H$6:$H$27,"Dầu mazút|lít")</f>
        <v>0</v>
      </c>
      <c r="K32" s="9" t="n">
        <f aca="false">SUM(D32:J32)</f>
        <v>4698.81400545</v>
      </c>
      <c r="L32" s="10" t="n">
        <f aca="false">SUMIFS('Thanh thai'!$G$6:$G$10,'Thanh thai'!$H$6:$H$10,"Dầu mazút|lít")+SUMIFS('Tuyen 1'!$G$6:$G$321,'Tuyen 1'!$H$6:$H$321,"Dầu mazút|lít")+SUMIFS('Tuyen 2A'!$G$6:$G$347,'Tuyen 2A'!$H$6:$H$347,"Dầu mazút|lít")+SUMIFS('Tuyen 2B'!$G$6:$G$277,'Tuyen 2B'!$H$6:$H$277,"Dầu mazút|lít")+SUMIFS('Tuyen 2C'!$G$6:$G$306,'Tuyen 2C'!$H$6:$H$306,"Dầu mazút|lít")+SUMIFS('Tuyen 3'!$G$6:$G$281,'Tuyen 3'!$H$6:$H$281,"Dầu mazút|lít")+SUMIFS('Bai duc CK'!$G$6:$G$27,'Bai duc CK'!$H$6:$H$27,"Dầu mazút|lít")</f>
        <v>68311358.0112321</v>
      </c>
      <c r="M32" s="11" t="n">
        <f aca="false">IF(K32=0,0,L32/K32)</f>
        <v>14538</v>
      </c>
    </row>
    <row r="33" customFormat="false" ht="15" hidden="false" customHeight="false" outlineLevel="0" collapsed="false">
      <c r="A33" s="6" t="n">
        <v>27</v>
      </c>
      <c r="B33" s="7" t="s">
        <v>49</v>
      </c>
      <c r="C33" s="6" t="s">
        <v>20</v>
      </c>
      <c r="D33" s="8" t="n">
        <f aca="false">SUMIFS('Thanh thai'!$E$6:$E$10,'Thanh thai'!$H$6:$H$10,"Dây thép|kg")</f>
        <v>0</v>
      </c>
      <c r="E33" s="8" t="n">
        <f aca="false">SUMIFS('Tuyen 1'!$E$6:$E$321,'Tuyen 1'!$H$6:$H$321,"Dây thép|kg")</f>
        <v>213.57216464</v>
      </c>
      <c r="F33" s="8" t="n">
        <f aca="false">SUMIFS('Tuyen 2A'!$E$6:$E$347,'Tuyen 2A'!$H$6:$H$347,"Dây thép|kg")</f>
        <v>330.5060203</v>
      </c>
      <c r="G33" s="8" t="n">
        <f aca="false">SUMIFS('Tuyen 2B'!$E$6:$E$277,'Tuyen 2B'!$H$6:$H$277,"Dây thép|kg")</f>
        <v>375.2090057</v>
      </c>
      <c r="H33" s="8" t="n">
        <f aca="false">SUMIFS('Tuyen 2C'!$E$6:$E$306,'Tuyen 2C'!$H$6:$H$306,"Dây thép|kg")</f>
        <v>293.3746984</v>
      </c>
      <c r="I33" s="8" t="n">
        <f aca="false">SUMIFS('Tuyen 3'!$E$6:$E$281,'Tuyen 3'!$H$6:$H$281,"Dây thép|kg")</f>
        <v>332.713596</v>
      </c>
      <c r="J33" s="8" t="n">
        <f aca="false">SUMIFS('Bai duc CK'!$E$6:$E$27,'Bai duc CK'!$H$6:$H$27,"Dây thép|kg")</f>
        <v>0</v>
      </c>
      <c r="K33" s="9" t="n">
        <f aca="false">SUM(D33:J33)</f>
        <v>1545.37548504</v>
      </c>
      <c r="L33" s="10" t="n">
        <f aca="false">SUMIFS('Thanh thai'!$G$6:$G$10,'Thanh thai'!$H$6:$H$10,"Dây thép|kg")+SUMIFS('Tuyen 1'!$G$6:$G$321,'Tuyen 1'!$H$6:$H$321,"Dây thép|kg")+SUMIFS('Tuyen 2A'!$G$6:$G$347,'Tuyen 2A'!$H$6:$H$347,"Dây thép|kg")+SUMIFS('Tuyen 2B'!$G$6:$G$277,'Tuyen 2B'!$H$6:$H$277,"Dây thép|kg")+SUMIFS('Tuyen 2C'!$G$6:$G$306,'Tuyen 2C'!$H$6:$H$306,"Dây thép|kg")+SUMIFS('Tuyen 3'!$G$6:$G$281,'Tuyen 3'!$H$6:$H$281,"Dây thép|kg")+SUMIFS('Bai duc CK'!$G$6:$G$27,'Bai duc CK'!$H$6:$H$27,"Dây thép|kg")</f>
        <v>32218137.66008</v>
      </c>
      <c r="M33" s="11" t="n">
        <f aca="false">IF(K33=0,0,L33/K33)</f>
        <v>20848.0967712815</v>
      </c>
    </row>
    <row r="34" customFormat="false" ht="15" hidden="false" customHeight="false" outlineLevel="0" collapsed="false">
      <c r="A34" s="6" t="n">
        <v>28</v>
      </c>
      <c r="B34" s="7" t="s">
        <v>50</v>
      </c>
      <c r="C34" s="6" t="s">
        <v>20</v>
      </c>
      <c r="D34" s="8" t="n">
        <f aca="false">SUMIFS('Thanh thai'!$E$6:$E$10,'Thanh thai'!$H$6:$H$10,"Dây thép D10mm|kg")</f>
        <v>0</v>
      </c>
      <c r="E34" s="8" t="n">
        <f aca="false">SUMIFS('Tuyen 1'!$E$6:$E$321,'Tuyen 1'!$H$6:$H$321,"Dây thép D10mm|kg")</f>
        <v>24.8</v>
      </c>
      <c r="F34" s="8" t="n">
        <f aca="false">SUMIFS('Tuyen 2A'!$E$6:$E$347,'Tuyen 2A'!$H$6:$H$347,"Dây thép D10mm|kg")</f>
        <v>0</v>
      </c>
      <c r="G34" s="8" t="n">
        <f aca="false">SUMIFS('Tuyen 2B'!$E$6:$E$277,'Tuyen 2B'!$H$6:$H$277,"Dây thép D10mm|kg")</f>
        <v>0</v>
      </c>
      <c r="H34" s="8" t="n">
        <f aca="false">SUMIFS('Tuyen 2C'!$E$6:$E$306,'Tuyen 2C'!$H$6:$H$306,"Dây thép D10mm|kg")</f>
        <v>0</v>
      </c>
      <c r="I34" s="8" t="n">
        <f aca="false">SUMIFS('Tuyen 3'!$E$6:$E$281,'Tuyen 3'!$H$6:$H$281,"Dây thép D10mm|kg")</f>
        <v>0</v>
      </c>
      <c r="J34" s="8" t="n">
        <f aca="false">SUMIFS('Bai duc CK'!$E$6:$E$27,'Bai duc CK'!$H$6:$H$27,"Dây thép D10mm|kg")</f>
        <v>0</v>
      </c>
      <c r="K34" s="9" t="n">
        <f aca="false">SUM(D34:J34)</f>
        <v>24.8</v>
      </c>
      <c r="L34" s="10" t="n">
        <f aca="false">SUMIFS('Thanh thai'!$G$6:$G$10,'Thanh thai'!$H$6:$H$10,"Dây thép D10mm|kg")+SUMIFS('Tuyen 1'!$G$6:$G$321,'Tuyen 1'!$H$6:$H$321,"Dây thép D10mm|kg")+SUMIFS('Tuyen 2A'!$G$6:$G$347,'Tuyen 2A'!$H$6:$H$347,"Dây thép D10mm|kg")+SUMIFS('Tuyen 2B'!$G$6:$G$277,'Tuyen 2B'!$H$6:$H$277,"Dây thép D10mm|kg")+SUMIFS('Tuyen 2C'!$G$6:$G$306,'Tuyen 2C'!$H$6:$H$306,"Dây thép D10mm|kg")+SUMIFS('Tuyen 3'!$G$6:$G$281,'Tuyen 3'!$H$6:$H$281,"Dây thép D10mm|kg")+SUMIFS('Bai duc CK'!$G$6:$G$27,'Bai duc CK'!$H$6:$H$27,"Dây thép D10mm|kg")</f>
        <v>520800</v>
      </c>
      <c r="M34" s="11" t="n">
        <f aca="false">IF(K34=0,0,L34/K34)</f>
        <v>21000</v>
      </c>
    </row>
    <row r="35" customFormat="false" ht="15" hidden="false" customHeight="false" outlineLevel="0" collapsed="false">
      <c r="A35" s="6" t="n">
        <v>29</v>
      </c>
      <c r="B35" s="7" t="s">
        <v>51</v>
      </c>
      <c r="C35" s="6" t="s">
        <v>52</v>
      </c>
      <c r="D35" s="8" t="n">
        <f aca="false">SUMIFS('Thanh thai'!$E$6:$E$10,'Thanh thai'!$H$6:$H$10,"Gạch Terrazzo|m2")</f>
        <v>0</v>
      </c>
      <c r="E35" s="8" t="n">
        <f aca="false">SUMIFS('Tuyen 1'!$E$6:$E$321,'Tuyen 1'!$H$6:$H$321,"Gạch Terrazzo|m2")</f>
        <v>1530.9075</v>
      </c>
      <c r="F35" s="8" t="n">
        <f aca="false">SUMIFS('Tuyen 2A'!$E$6:$E$347,'Tuyen 2A'!$H$6:$H$347,"Gạch Terrazzo|m2")</f>
        <v>1776.0547</v>
      </c>
      <c r="G35" s="8" t="n">
        <f aca="false">SUMIFS('Tuyen 2B'!$E$6:$E$277,'Tuyen 2B'!$H$6:$H$277,"Gạch Terrazzo|m2")</f>
        <v>3154.3209</v>
      </c>
      <c r="H35" s="8" t="n">
        <f aca="false">SUMIFS('Tuyen 2C'!$E$6:$E$306,'Tuyen 2C'!$H$6:$H$306,"Gạch Terrazzo|m2")</f>
        <v>1281.0032</v>
      </c>
      <c r="I35" s="8" t="n">
        <f aca="false">SUMIFS('Tuyen 3'!$E$6:$E$281,'Tuyen 3'!$H$6:$H$281,"Gạch Terrazzo|m2")</f>
        <v>1513.0709</v>
      </c>
      <c r="J35" s="8" t="n">
        <f aca="false">SUMIFS('Bai duc CK'!$E$6:$E$27,'Bai duc CK'!$H$6:$H$27,"Gạch Terrazzo|m2")</f>
        <v>0</v>
      </c>
      <c r="K35" s="9" t="n">
        <f aca="false">SUM(D35:J35)</f>
        <v>9255.3572</v>
      </c>
      <c r="L35" s="10" t="n">
        <f aca="false">SUMIFS('Thanh thai'!$G$6:$G$10,'Thanh thai'!$H$6:$H$10,"Gạch Terrazzo|m2")+SUMIFS('Tuyen 1'!$G$6:$G$321,'Tuyen 1'!$H$6:$H$321,"Gạch Terrazzo|m2")+SUMIFS('Tuyen 2A'!$G$6:$G$347,'Tuyen 2A'!$H$6:$H$347,"Gạch Terrazzo|m2")+SUMIFS('Tuyen 2B'!$G$6:$G$277,'Tuyen 2B'!$H$6:$H$277,"Gạch Terrazzo|m2")+SUMIFS('Tuyen 2C'!$G$6:$G$306,'Tuyen 2C'!$H$6:$H$306,"Gạch Terrazzo|m2")+SUMIFS('Tuyen 3'!$G$6:$G$281,'Tuyen 3'!$H$6:$H$281,"Gạch Terrazzo|m2")+SUMIFS('Bai duc CK'!$G$6:$G$27,'Bai duc CK'!$H$6:$H$27,"Gạch Terrazzo|m2")</f>
        <v>1388303580</v>
      </c>
      <c r="M35" s="11" t="n">
        <f aca="false">IF(K35=0,0,L35/K35)</f>
        <v>150000</v>
      </c>
    </row>
    <row r="36" customFormat="false" ht="15" hidden="false" customHeight="false" outlineLevel="0" collapsed="false">
      <c r="A36" s="6" t="n">
        <v>30</v>
      </c>
      <c r="B36" s="7" t="s">
        <v>53</v>
      </c>
      <c r="C36" s="6" t="s">
        <v>24</v>
      </c>
      <c r="D36" s="8" t="n">
        <f aca="false">SUMIFS('Thanh thai'!$E$6:$E$10,'Thanh thai'!$H$6:$H$10,"Gỗ kê|m3")</f>
        <v>0</v>
      </c>
      <c r="E36" s="8" t="n">
        <f aca="false">SUMIFS('Tuyen 1'!$E$6:$E$321,'Tuyen 1'!$H$6:$H$321,"Gỗ kê|m3")</f>
        <v>0.0104</v>
      </c>
      <c r="F36" s="8" t="n">
        <f aca="false">SUMIFS('Tuyen 2A'!$E$6:$E$347,'Tuyen 2A'!$H$6:$H$347,"Gỗ kê|m3")</f>
        <v>0</v>
      </c>
      <c r="G36" s="8" t="n">
        <f aca="false">SUMIFS('Tuyen 2B'!$E$6:$E$277,'Tuyen 2B'!$H$6:$H$277,"Gỗ kê|m3")</f>
        <v>0</v>
      </c>
      <c r="H36" s="8" t="n">
        <f aca="false">SUMIFS('Tuyen 2C'!$E$6:$E$306,'Tuyen 2C'!$H$6:$H$306,"Gỗ kê|m3")</f>
        <v>0</v>
      </c>
      <c r="I36" s="8" t="n">
        <f aca="false">SUMIFS('Tuyen 3'!$E$6:$E$281,'Tuyen 3'!$H$6:$H$281,"Gỗ kê|m3")</f>
        <v>0</v>
      </c>
      <c r="J36" s="8" t="n">
        <f aca="false">SUMIFS('Bai duc CK'!$E$6:$E$27,'Bai duc CK'!$H$6:$H$27,"Gỗ kê|m3")</f>
        <v>0</v>
      </c>
      <c r="K36" s="9" t="n">
        <f aca="false">SUM(D36:J36)</f>
        <v>0.0104</v>
      </c>
      <c r="L36" s="10" t="n">
        <f aca="false">SUMIFS('Thanh thai'!$G$6:$G$10,'Thanh thai'!$H$6:$H$10,"Gỗ kê|m3")+SUMIFS('Tuyen 1'!$G$6:$G$321,'Tuyen 1'!$H$6:$H$321,"Gỗ kê|m3")+SUMIFS('Tuyen 2A'!$G$6:$G$347,'Tuyen 2A'!$H$6:$H$347,"Gỗ kê|m3")+SUMIFS('Tuyen 2B'!$G$6:$G$277,'Tuyen 2B'!$H$6:$H$277,"Gỗ kê|m3")+SUMIFS('Tuyen 2C'!$G$6:$G$306,'Tuyen 2C'!$H$6:$H$306,"Gỗ kê|m3")+SUMIFS('Tuyen 3'!$G$6:$G$281,'Tuyen 3'!$H$6:$H$281,"Gỗ kê|m3")+SUMIFS('Bai duc CK'!$G$6:$G$27,'Bai duc CK'!$H$6:$H$27,"Gỗ kê|m3")</f>
        <v>30727.268</v>
      </c>
      <c r="M36" s="11" t="n">
        <f aca="false">IF(K36=0,0,L36/K36)</f>
        <v>2954545</v>
      </c>
    </row>
    <row r="37" customFormat="false" ht="15" hidden="false" customHeight="false" outlineLevel="0" collapsed="false">
      <c r="A37" s="6" t="n">
        <v>31</v>
      </c>
      <c r="B37" s="7" t="s">
        <v>54</v>
      </c>
      <c r="C37" s="6" t="s">
        <v>20</v>
      </c>
      <c r="D37" s="8" t="n">
        <f aca="false">SUMIFS('Thanh thai'!$E$6:$E$10,'Thanh thai'!$H$6:$H$10,"Khí gas|kg")</f>
        <v>0</v>
      </c>
      <c r="E37" s="8" t="n">
        <f aca="false">SUMIFS('Tuyen 1'!$E$6:$E$321,'Tuyen 1'!$H$6:$H$321,"Khí gas|kg")</f>
        <v>20.05032</v>
      </c>
      <c r="F37" s="8" t="n">
        <f aca="false">SUMIFS('Tuyen 2A'!$E$6:$E$347,'Tuyen 2A'!$H$6:$H$347,"Khí gas|kg")</f>
        <v>15.429168</v>
      </c>
      <c r="G37" s="8" t="n">
        <f aca="false">SUMIFS('Tuyen 2B'!$E$6:$E$277,'Tuyen 2B'!$H$6:$H$277,"Khí gas|kg")</f>
        <v>0</v>
      </c>
      <c r="H37" s="8" t="n">
        <f aca="false">SUMIFS('Tuyen 2C'!$E$6:$E$306,'Tuyen 2C'!$H$6:$H$306,"Khí gas|kg")</f>
        <v>15.429168</v>
      </c>
      <c r="I37" s="8" t="n">
        <f aca="false">SUMIFS('Tuyen 3'!$E$6:$E$281,'Tuyen 3'!$H$6:$H$281,"Khí gas|kg")</f>
        <v>15.429168</v>
      </c>
      <c r="J37" s="8" t="n">
        <f aca="false">SUMIFS('Bai duc CK'!$E$6:$E$27,'Bai duc CK'!$H$6:$H$27,"Khí gas|kg")</f>
        <v>0</v>
      </c>
      <c r="K37" s="9" t="n">
        <f aca="false">SUM(D37:J37)</f>
        <v>66.337824</v>
      </c>
      <c r="L37" s="10" t="n">
        <f aca="false">SUMIFS('Thanh thai'!$G$6:$G$10,'Thanh thai'!$H$6:$H$10,"Khí gas|kg")+SUMIFS('Tuyen 1'!$G$6:$G$321,'Tuyen 1'!$H$6:$H$321,"Khí gas|kg")+SUMIFS('Tuyen 2A'!$G$6:$G$347,'Tuyen 2A'!$H$6:$H$347,"Khí gas|kg")+SUMIFS('Tuyen 2B'!$G$6:$G$277,'Tuyen 2B'!$H$6:$H$277,"Khí gas|kg")+SUMIFS('Tuyen 2C'!$G$6:$G$306,'Tuyen 2C'!$H$6:$H$306,"Khí gas|kg")+SUMIFS('Tuyen 3'!$G$6:$G$281,'Tuyen 3'!$H$6:$H$281,"Khí gas|kg")+SUMIFS('Bai duc CK'!$G$6:$G$27,'Bai duc CK'!$H$6:$H$27,"Khí gas|kg")</f>
        <v>1276115.376</v>
      </c>
      <c r="M37" s="11" t="n">
        <f aca="false">IF(K37=0,0,L37/K37)</f>
        <v>19236.6179511707</v>
      </c>
    </row>
    <row r="38" customFormat="false" ht="15" hidden="false" customHeight="false" outlineLevel="0" collapsed="false">
      <c r="A38" s="6" t="n">
        <v>32</v>
      </c>
      <c r="B38" s="7" t="s">
        <v>55</v>
      </c>
      <c r="C38" s="6" t="s">
        <v>32</v>
      </c>
      <c r="D38" s="8" t="n">
        <f aca="false">SUMIFS('Thanh thai'!$E$6:$E$10,'Thanh thai'!$H$6:$H$10,"Khung móng M24|bộ")</f>
        <v>0</v>
      </c>
      <c r="E38" s="8" t="n">
        <f aca="false">SUMIFS('Tuyen 1'!$E$6:$E$321,'Tuyen 1'!$H$6:$H$321,"Khung móng M24|bộ")</f>
        <v>4</v>
      </c>
      <c r="F38" s="8" t="n">
        <f aca="false">SUMIFS('Tuyen 2A'!$E$6:$E$347,'Tuyen 2A'!$H$6:$H$347,"Khung móng M24|bộ")</f>
        <v>0</v>
      </c>
      <c r="G38" s="8" t="n">
        <f aca="false">SUMIFS('Tuyen 2B'!$E$6:$E$277,'Tuyen 2B'!$H$6:$H$277,"Khung móng M24|bộ")</f>
        <v>0</v>
      </c>
      <c r="H38" s="8" t="n">
        <f aca="false">SUMIFS('Tuyen 2C'!$E$6:$E$306,'Tuyen 2C'!$H$6:$H$306,"Khung móng M24|bộ")</f>
        <v>0</v>
      </c>
      <c r="I38" s="8" t="n">
        <f aca="false">SUMIFS('Tuyen 3'!$E$6:$E$281,'Tuyen 3'!$H$6:$H$281,"Khung móng M24|bộ")</f>
        <v>0</v>
      </c>
      <c r="J38" s="8" t="n">
        <f aca="false">SUMIFS('Bai duc CK'!$E$6:$E$27,'Bai duc CK'!$H$6:$H$27,"Khung móng M24|bộ")</f>
        <v>0</v>
      </c>
      <c r="K38" s="9" t="n">
        <f aca="false">SUM(D38:J38)</f>
        <v>4</v>
      </c>
      <c r="L38" s="10" t="n">
        <f aca="false">SUMIFS('Thanh thai'!$G$6:$G$10,'Thanh thai'!$H$6:$H$10,"Khung móng M24|bộ")+SUMIFS('Tuyen 1'!$G$6:$G$321,'Tuyen 1'!$H$6:$H$321,"Khung móng M24|bộ")+SUMIFS('Tuyen 2A'!$G$6:$G$347,'Tuyen 2A'!$H$6:$H$347,"Khung móng M24|bộ")+SUMIFS('Tuyen 2B'!$G$6:$G$277,'Tuyen 2B'!$H$6:$H$277,"Khung móng M24|bộ")+SUMIFS('Tuyen 2C'!$G$6:$G$306,'Tuyen 2C'!$H$6:$H$306,"Khung móng M24|bộ")+SUMIFS('Tuyen 3'!$G$6:$G$281,'Tuyen 3'!$H$6:$H$281,"Khung móng M24|bộ")+SUMIFS('Bai duc CK'!$G$6:$G$27,'Bai duc CK'!$H$6:$H$27,"Khung móng M24|bộ")</f>
        <v>3320000</v>
      </c>
      <c r="M38" s="11" t="n">
        <f aca="false">IF(K38=0,0,L38/K38)</f>
        <v>830000</v>
      </c>
    </row>
    <row r="39" customFormat="false" ht="15" hidden="false" customHeight="false" outlineLevel="0" collapsed="false">
      <c r="A39" s="6" t="n">
        <v>33</v>
      </c>
      <c r="B39" s="7" t="s">
        <v>56</v>
      </c>
      <c r="C39" s="6" t="s">
        <v>57</v>
      </c>
      <c r="D39" s="8" t="n">
        <f aca="false">SUMIFS('Thanh thai'!$E$6:$E$10,'Thanh thai'!$H$6:$H$10,"Mua tấm đan làm bằng gang 1000x350mm|1 cấu kiện")</f>
        <v>0</v>
      </c>
      <c r="E39" s="8" t="n">
        <f aca="false">SUMIFS('Tuyen 1'!$E$6:$E$321,'Tuyen 1'!$H$6:$H$321,"Mua tấm đan làm bằng gang 1000x350mm|1 cấu kiện")</f>
        <v>26</v>
      </c>
      <c r="F39" s="8" t="n">
        <f aca="false">SUMIFS('Tuyen 2A'!$E$6:$E$347,'Tuyen 2A'!$H$6:$H$347,"Mua tấm đan làm bằng gang 1000x350mm|1 cấu kiện")</f>
        <v>41</v>
      </c>
      <c r="G39" s="8" t="n">
        <f aca="false">SUMIFS('Tuyen 2B'!$E$6:$E$277,'Tuyen 2B'!$H$6:$H$277,"Mua tấm đan làm bằng gang 1000x350mm|1 cấu kiện")</f>
        <v>49</v>
      </c>
      <c r="H39" s="8" t="n">
        <f aca="false">SUMIFS('Tuyen 2C'!$E$6:$E$306,'Tuyen 2C'!$H$6:$H$306,"Mua tấm đan làm bằng gang 1000x350mm|1 cấu kiện")</f>
        <v>36</v>
      </c>
      <c r="I39" s="8" t="n">
        <f aca="false">SUMIFS('Tuyen 3'!$E$6:$E$281,'Tuyen 3'!$H$6:$H$281,"Mua tấm đan làm bằng gang 1000x350mm|1 cấu kiện")</f>
        <v>27</v>
      </c>
      <c r="J39" s="8" t="n">
        <f aca="false">SUMIFS('Bai duc CK'!$E$6:$E$27,'Bai duc CK'!$H$6:$H$27,"Mua tấm đan làm bằng gang 1000x350mm|1 cấu kiện")</f>
        <v>0</v>
      </c>
      <c r="K39" s="9" t="n">
        <f aca="false">SUM(D39:J39)</f>
        <v>179</v>
      </c>
      <c r="L39" s="10" t="n">
        <f aca="false">SUMIFS('Thanh thai'!$G$6:$G$10,'Thanh thai'!$H$6:$H$10,"Mua tấm đan làm bằng gang 1000x350mm|1 cấu kiện")+SUMIFS('Tuyen 1'!$G$6:$G$321,'Tuyen 1'!$H$6:$H$321,"Mua tấm đan làm bằng gang 1000x350mm|1 cấu kiện")+SUMIFS('Tuyen 2A'!$G$6:$G$347,'Tuyen 2A'!$H$6:$H$347,"Mua tấm đan làm bằng gang 1000x350mm|1 cấu kiện")+SUMIFS('Tuyen 2B'!$G$6:$G$277,'Tuyen 2B'!$H$6:$H$277,"Mua tấm đan làm bằng gang 1000x350mm|1 cấu kiện")+SUMIFS('Tuyen 2C'!$G$6:$G$306,'Tuyen 2C'!$H$6:$H$306,"Mua tấm đan làm bằng gang 1000x350mm|1 cấu kiện")+SUMIFS('Tuyen 3'!$G$6:$G$281,'Tuyen 3'!$H$6:$H$281,"Mua tấm đan làm bằng gang 1000x350mm|1 cấu kiện")+SUMIFS('Bai duc CK'!$G$6:$G$27,'Bai duc CK'!$H$6:$H$27,"Mua tấm đan làm bằng gang 1000x350mm|1 cấu kiện")</f>
        <v>226435000</v>
      </c>
      <c r="M39" s="11" t="n">
        <f aca="false">IF(K39=0,0,L39/K39)</f>
        <v>1265000</v>
      </c>
    </row>
    <row r="40" customFormat="false" ht="15" hidden="false" customHeight="false" outlineLevel="0" collapsed="false">
      <c r="A40" s="6" t="n">
        <v>34</v>
      </c>
      <c r="B40" s="7" t="s">
        <v>58</v>
      </c>
      <c r="C40" s="6" t="s">
        <v>20</v>
      </c>
      <c r="D40" s="8" t="n">
        <f aca="false">SUMIFS('Thanh thai'!$E$6:$E$10,'Thanh thai'!$H$6:$H$10,"Nhựa dán|kg")</f>
        <v>0</v>
      </c>
      <c r="E40" s="8" t="n">
        <f aca="false">SUMIFS('Tuyen 1'!$E$6:$E$321,'Tuyen 1'!$H$6:$H$321,"Nhựa dán|kg")</f>
        <v>0.408384</v>
      </c>
      <c r="F40" s="8" t="n">
        <f aca="false">SUMIFS('Tuyen 2A'!$E$6:$E$347,'Tuyen 2A'!$H$6:$H$347,"Nhựa dán|kg")</f>
        <v>0.915026</v>
      </c>
      <c r="G40" s="8" t="n">
        <f aca="false">SUMIFS('Tuyen 2B'!$E$6:$E$277,'Tuyen 2B'!$H$6:$H$277,"Nhựa dán|kg")</f>
        <v>1.186021</v>
      </c>
      <c r="H40" s="8" t="n">
        <f aca="false">SUMIFS('Tuyen 2C'!$E$6:$E$306,'Tuyen 2C'!$H$6:$H$306,"Nhựa dán|kg")</f>
        <v>0.808786</v>
      </c>
      <c r="I40" s="8" t="n">
        <f aca="false">SUMIFS('Tuyen 3'!$E$6:$E$281,'Tuyen 3'!$H$6:$H$281,"Nhựa dán|kg")</f>
        <v>0.955306</v>
      </c>
      <c r="J40" s="8" t="n">
        <f aca="false">SUMIFS('Bai duc CK'!$E$6:$E$27,'Bai duc CK'!$H$6:$H$27,"Nhựa dán|kg")</f>
        <v>0</v>
      </c>
      <c r="K40" s="9" t="n">
        <f aca="false">SUM(D40:J40)</f>
        <v>4.273523</v>
      </c>
      <c r="L40" s="10" t="n">
        <f aca="false">SUMIFS('Thanh thai'!$G$6:$G$10,'Thanh thai'!$H$6:$H$10,"Nhựa dán|kg")+SUMIFS('Tuyen 1'!$G$6:$G$321,'Tuyen 1'!$H$6:$H$321,"Nhựa dán|kg")+SUMIFS('Tuyen 2A'!$G$6:$G$347,'Tuyen 2A'!$H$6:$H$347,"Nhựa dán|kg")+SUMIFS('Tuyen 2B'!$G$6:$G$277,'Tuyen 2B'!$H$6:$H$277,"Nhựa dán|kg")+SUMIFS('Tuyen 2C'!$G$6:$G$306,'Tuyen 2C'!$H$6:$H$306,"Nhựa dán|kg")+SUMIFS('Tuyen 3'!$G$6:$G$281,'Tuyen 3'!$H$6:$H$281,"Nhựa dán|kg")+SUMIFS('Bai duc CK'!$G$6:$G$27,'Bai duc CK'!$H$6:$H$27,"Nhựa dán|kg")</f>
        <v>504275.714</v>
      </c>
      <c r="M40" s="11" t="n">
        <f aca="false">IF(K40=0,0,L40/K40)</f>
        <v>118000</v>
      </c>
    </row>
    <row r="41" customFormat="false" ht="15" hidden="false" customHeight="false" outlineLevel="0" collapsed="false">
      <c r="A41" s="6" t="n">
        <v>35</v>
      </c>
      <c r="B41" s="7" t="s">
        <v>59</v>
      </c>
      <c r="C41" s="6" t="s">
        <v>20</v>
      </c>
      <c r="D41" s="8" t="n">
        <f aca="false">SUMIFS('Thanh thai'!$E$6:$E$10,'Thanh thai'!$H$6:$H$10,"Nhựa đường BTN (4,5%)|kg")</f>
        <v>0</v>
      </c>
      <c r="E41" s="8" t="n">
        <f aca="false">SUMIFS('Tuyen 1'!$E$6:$E$321,'Tuyen 1'!$H$6:$H$321,"Nhựa đường BTN (4,5%)|kg")</f>
        <v>14580.7254759654</v>
      </c>
      <c r="F41" s="8" t="n">
        <f aca="false">SUMIFS('Tuyen 2A'!$E$6:$E$347,'Tuyen 2A'!$H$6:$H$347,"Nhựa đường BTN (4,5%)|kg")</f>
        <v>1546.756432344</v>
      </c>
      <c r="G41" s="8" t="n">
        <f aca="false">SUMIFS('Tuyen 2B'!$E$6:$E$277,'Tuyen 2B'!$H$6:$H$277,"Nhựa đường BTN (4,5%)|kg")</f>
        <v>9366.0716786715</v>
      </c>
      <c r="H41" s="8" t="n">
        <f aca="false">SUMIFS('Tuyen 2C'!$E$6:$E$306,'Tuyen 2C'!$H$6:$H$306,"Nhựa đường BTN (4,5%)|kg")</f>
        <v>0</v>
      </c>
      <c r="I41" s="8" t="n">
        <f aca="false">SUMIFS('Tuyen 3'!$E$6:$E$281,'Tuyen 3'!$H$6:$H$281,"Nhựa đường BTN (4,5%)|kg")</f>
        <v>0</v>
      </c>
      <c r="J41" s="8" t="n">
        <f aca="false">SUMIFS('Bai duc CK'!$E$6:$E$27,'Bai duc CK'!$H$6:$H$27,"Nhựa đường BTN (4,5%)|kg")</f>
        <v>0</v>
      </c>
      <c r="K41" s="9" t="n">
        <f aca="false">SUM(D41:J41)</f>
        <v>25493.5535869809</v>
      </c>
      <c r="L41" s="10" t="n">
        <f aca="false">SUMIFS('Thanh thai'!$G$6:$G$10,'Thanh thai'!$H$6:$H$10,"Nhựa đường BTN (4,5%)|kg")+SUMIFS('Tuyen 1'!$G$6:$G$321,'Tuyen 1'!$H$6:$H$321,"Nhựa đường BTN (4,5%)|kg")+SUMIFS('Tuyen 2A'!$G$6:$G$347,'Tuyen 2A'!$H$6:$H$347,"Nhựa đường BTN (4,5%)|kg")+SUMIFS('Tuyen 2B'!$G$6:$G$277,'Tuyen 2B'!$H$6:$H$277,"Nhựa đường BTN (4,5%)|kg")+SUMIFS('Tuyen 2C'!$G$6:$G$306,'Tuyen 2C'!$H$6:$H$306,"Nhựa đường BTN (4,5%)|kg")+SUMIFS('Tuyen 3'!$G$6:$G$281,'Tuyen 3'!$H$6:$H$281,"Nhựa đường BTN (4,5%)|kg")+SUMIFS('Bai duc CK'!$G$6:$G$27,'Bai duc CK'!$H$6:$H$27,"Nhựa đường BTN (4,5%)|kg")</f>
        <v>531336643.859856</v>
      </c>
      <c r="M41" s="11" t="n">
        <f aca="false">IF(K41=0,0,L41/K41)</f>
        <v>20842</v>
      </c>
    </row>
    <row r="42" customFormat="false" ht="15" hidden="false" customHeight="false" outlineLevel="0" collapsed="false">
      <c r="A42" s="6" t="n">
        <v>36</v>
      </c>
      <c r="B42" s="7" t="s">
        <v>60</v>
      </c>
      <c r="C42" s="6" t="s">
        <v>20</v>
      </c>
      <c r="D42" s="8" t="n">
        <f aca="false">SUMIFS('Thanh thai'!$E$6:$E$10,'Thanh thai'!$H$6:$H$10,"Nhựa nhũ tương gốc axít 60%|kg")</f>
        <v>0</v>
      </c>
      <c r="E42" s="8" t="n">
        <f aca="false">SUMIFS('Tuyen 1'!$E$6:$E$321,'Tuyen 1'!$H$6:$H$321,"Nhựa nhũ tương gốc axít 60%|kg")</f>
        <v>1878.3535</v>
      </c>
      <c r="F42" s="8" t="n">
        <f aca="false">SUMIFS('Tuyen 2A'!$E$6:$E$347,'Tuyen 2A'!$H$6:$H$347,"Nhựa nhũ tương gốc axít 60%|kg")</f>
        <v>199.26</v>
      </c>
      <c r="G42" s="8" t="n">
        <f aca="false">SUMIFS('Tuyen 2B'!$E$6:$E$277,'Tuyen 2B'!$H$6:$H$277,"Nhựa nhũ tương gốc axít 60%|kg")</f>
        <v>1206.57875</v>
      </c>
      <c r="H42" s="8" t="n">
        <f aca="false">SUMIFS('Tuyen 2C'!$E$6:$E$306,'Tuyen 2C'!$H$6:$H$306,"Nhựa nhũ tương gốc axít 60%|kg")</f>
        <v>0</v>
      </c>
      <c r="I42" s="8" t="n">
        <f aca="false">SUMIFS('Tuyen 3'!$E$6:$E$281,'Tuyen 3'!$H$6:$H$281,"Nhựa nhũ tương gốc axít 60%|kg")</f>
        <v>0</v>
      </c>
      <c r="J42" s="8" t="n">
        <f aca="false">SUMIFS('Bai duc CK'!$E$6:$E$27,'Bai duc CK'!$H$6:$H$27,"Nhựa nhũ tương gốc axít 60%|kg")</f>
        <v>0</v>
      </c>
      <c r="K42" s="9" t="n">
        <f aca="false">SUM(D42:J42)</f>
        <v>3284.19225</v>
      </c>
      <c r="L42" s="10" t="n">
        <f aca="false">SUMIFS('Thanh thai'!$G$6:$G$10,'Thanh thai'!$H$6:$H$10,"Nhựa nhũ tương gốc axít 60%|kg")+SUMIFS('Tuyen 1'!$G$6:$G$321,'Tuyen 1'!$H$6:$H$321,"Nhựa nhũ tương gốc axít 60%|kg")+SUMIFS('Tuyen 2A'!$G$6:$G$347,'Tuyen 2A'!$H$6:$H$347,"Nhựa nhũ tương gốc axít 60%|kg")+SUMIFS('Tuyen 2B'!$G$6:$G$277,'Tuyen 2B'!$H$6:$H$277,"Nhựa nhũ tương gốc axít 60%|kg")+SUMIFS('Tuyen 2C'!$G$6:$G$306,'Tuyen 2C'!$H$6:$H$306,"Nhựa nhũ tương gốc axít 60%|kg")+SUMIFS('Tuyen 3'!$G$6:$G$281,'Tuyen 3'!$H$6:$H$281,"Nhựa nhũ tương gốc axít 60%|kg")+SUMIFS('Bai duc CK'!$G$6:$G$27,'Bai duc CK'!$H$6:$H$27,"Nhựa nhũ tương gốc axít 60%|kg")</f>
        <v>52356592.8495</v>
      </c>
      <c r="M42" s="11" t="n">
        <f aca="false">IF(K42=0,0,L42/K42)</f>
        <v>15942</v>
      </c>
    </row>
    <row r="43" customFormat="false" ht="15" hidden="false" customHeight="false" outlineLevel="0" collapsed="false">
      <c r="A43" s="6" t="n">
        <v>37</v>
      </c>
      <c r="B43" s="7" t="s">
        <v>61</v>
      </c>
      <c r="C43" s="6" t="s">
        <v>52</v>
      </c>
      <c r="D43" s="8" t="n">
        <f aca="false">SUMIFS('Thanh thai'!$E$6:$E$10,'Thanh thai'!$H$6:$H$10,"Ni lông|m2")</f>
        <v>0</v>
      </c>
      <c r="E43" s="8" t="n">
        <f aca="false">SUMIFS('Tuyen 1'!$E$6:$E$321,'Tuyen 1'!$H$6:$H$321,"Ni lông|m2")</f>
        <v>1981.342</v>
      </c>
      <c r="F43" s="8" t="n">
        <f aca="false">SUMIFS('Tuyen 2A'!$E$6:$E$347,'Tuyen 2A'!$H$6:$H$347,"Ni lông|m2")</f>
        <v>2434.927</v>
      </c>
      <c r="G43" s="8" t="n">
        <f aca="false">SUMIFS('Tuyen 2B'!$E$6:$E$277,'Tuyen 2B'!$H$6:$H$277,"Ni lông|m2")</f>
        <v>4045.899</v>
      </c>
      <c r="H43" s="8" t="n">
        <f aca="false">SUMIFS('Tuyen 2C'!$E$6:$E$306,'Tuyen 2C'!$H$6:$H$306,"Ni lông|m2")</f>
        <v>1844.029</v>
      </c>
      <c r="I43" s="8" t="n">
        <f aca="false">SUMIFS('Tuyen 3'!$E$6:$E$281,'Tuyen 3'!$H$6:$H$281,"Ni lông|m2")</f>
        <v>2178.099</v>
      </c>
      <c r="J43" s="8" t="n">
        <f aca="false">SUMIFS('Bai duc CK'!$E$6:$E$27,'Bai duc CK'!$H$6:$H$27,"Ni lông|m2")</f>
        <v>1736.35</v>
      </c>
      <c r="K43" s="9" t="n">
        <f aca="false">SUM(D43:J43)</f>
        <v>14220.646</v>
      </c>
      <c r="L43" s="10" t="n">
        <f aca="false">SUMIFS('Thanh thai'!$G$6:$G$10,'Thanh thai'!$H$6:$H$10,"Ni lông|m2")+SUMIFS('Tuyen 1'!$G$6:$G$321,'Tuyen 1'!$H$6:$H$321,"Ni lông|m2")+SUMIFS('Tuyen 2A'!$G$6:$G$347,'Tuyen 2A'!$H$6:$H$347,"Ni lông|m2")+SUMIFS('Tuyen 2B'!$G$6:$G$277,'Tuyen 2B'!$H$6:$H$277,"Ni lông|m2")+SUMIFS('Tuyen 2C'!$G$6:$G$306,'Tuyen 2C'!$H$6:$H$306,"Ni lông|m2")+SUMIFS('Tuyen 3'!$G$6:$G$281,'Tuyen 3'!$H$6:$H$281,"Ni lông|m2")+SUMIFS('Bai duc CK'!$G$6:$G$27,'Bai duc CK'!$H$6:$H$27,"Ni lông|m2")</f>
        <v>199089044</v>
      </c>
      <c r="M43" s="11" t="n">
        <f aca="false">IF(K43=0,0,L43/K43)</f>
        <v>14000</v>
      </c>
    </row>
    <row r="44" customFormat="false" ht="15" hidden="false" customHeight="false" outlineLevel="0" collapsed="false">
      <c r="A44" s="6" t="n">
        <v>38</v>
      </c>
      <c r="B44" s="7" t="s">
        <v>62</v>
      </c>
      <c r="C44" s="6" t="s">
        <v>46</v>
      </c>
      <c r="D44" s="8" t="n">
        <f aca="false">SUMIFS('Thanh thai'!$E$6:$E$10,'Thanh thai'!$H$6:$H$10,"Nước|lít")</f>
        <v>0</v>
      </c>
      <c r="E44" s="8" t="n">
        <f aca="false">SUMIFS('Tuyen 1'!$E$6:$E$321,'Tuyen 1'!$H$6:$H$321,"Nước|lít")</f>
        <v>721671.5031975</v>
      </c>
      <c r="F44" s="8" t="n">
        <f aca="false">SUMIFS('Tuyen 2A'!$E$6:$E$347,'Tuyen 2A'!$H$6:$H$347,"Nước|lít")</f>
        <v>1028405.838726</v>
      </c>
      <c r="G44" s="8" t="n">
        <f aca="false">SUMIFS('Tuyen 2B'!$E$6:$E$277,'Tuyen 2B'!$H$6:$H$277,"Nước|lít")</f>
        <v>1265474.655037</v>
      </c>
      <c r="H44" s="8" t="n">
        <f aca="false">SUMIFS('Tuyen 2C'!$E$6:$E$306,'Tuyen 2C'!$H$6:$H$306,"Nước|lít")</f>
        <v>913241.1228995</v>
      </c>
      <c r="I44" s="8" t="n">
        <f aca="false">SUMIFS('Tuyen 3'!$E$6:$E$281,'Tuyen 3'!$H$6:$H$281,"Nước|lít")</f>
        <v>1074800.1829835</v>
      </c>
      <c r="J44" s="8" t="n">
        <f aca="false">SUMIFS('Bai duc CK'!$E$6:$E$27,'Bai duc CK'!$H$6:$H$27,"Nước|lít")</f>
        <v>55981.5025</v>
      </c>
      <c r="K44" s="9" t="n">
        <f aca="false">SUM(D44:J44)</f>
        <v>5059574.8053435</v>
      </c>
      <c r="L44" s="10" t="n">
        <f aca="false">SUMIFS('Thanh thai'!$G$6:$G$10,'Thanh thai'!$H$6:$H$10,"Nước|lít")+SUMIFS('Tuyen 1'!$G$6:$G$321,'Tuyen 1'!$H$6:$H$321,"Nước|lít")+SUMIFS('Tuyen 2A'!$G$6:$G$347,'Tuyen 2A'!$H$6:$H$347,"Nước|lít")+SUMIFS('Tuyen 2B'!$G$6:$G$277,'Tuyen 2B'!$H$6:$H$277,"Nước|lít")+SUMIFS('Tuyen 2C'!$G$6:$G$306,'Tuyen 2C'!$H$6:$H$306,"Nước|lít")+SUMIFS('Tuyen 3'!$G$6:$G$281,'Tuyen 3'!$H$6:$H$281,"Nước|lít")+SUMIFS('Bai duc CK'!$G$6:$G$27,'Bai duc CK'!$H$6:$H$27,"Nước|lít")</f>
        <v>50595748.053435</v>
      </c>
      <c r="M44" s="11" t="n">
        <f aca="false">IF(K44=0,0,L44/K44)</f>
        <v>10</v>
      </c>
    </row>
    <row r="45" customFormat="false" ht="15" hidden="false" customHeight="false" outlineLevel="0" collapsed="false">
      <c r="A45" s="6" t="n">
        <v>39</v>
      </c>
      <c r="B45" s="7" t="s">
        <v>63</v>
      </c>
      <c r="C45" s="6" t="s">
        <v>18</v>
      </c>
      <c r="D45" s="8" t="n">
        <f aca="false">SUMIFS('Thanh thai'!$E$6:$E$10,'Thanh thai'!$H$6:$H$10,"Ống cao su cao áp Fi 34|m")</f>
        <v>0</v>
      </c>
      <c r="E45" s="8" t="n">
        <f aca="false">SUMIFS('Tuyen 1'!$E$6:$E$321,'Tuyen 1'!$H$6:$H$321,"Ống cao su cao áp Fi 34|m")</f>
        <v>0</v>
      </c>
      <c r="F45" s="8" t="n">
        <f aca="false">SUMIFS('Tuyen 2A'!$E$6:$E$347,'Tuyen 2A'!$H$6:$H$347,"Ống cao su cao áp Fi 34|m")</f>
        <v>29.8704</v>
      </c>
      <c r="G45" s="8" t="n">
        <f aca="false">SUMIFS('Tuyen 2B'!$E$6:$E$277,'Tuyen 2B'!$H$6:$H$277,"Ống cao su cao áp Fi 34|m")</f>
        <v>0</v>
      </c>
      <c r="H45" s="8" t="n">
        <f aca="false">SUMIFS('Tuyen 2C'!$E$6:$E$306,'Tuyen 2C'!$H$6:$H$306,"Ống cao su cao áp Fi 34|m")</f>
        <v>25.9588</v>
      </c>
      <c r="I45" s="8" t="n">
        <f aca="false">SUMIFS('Tuyen 3'!$E$6:$E$281,'Tuyen 3'!$H$6:$H$281,"Ống cao su cao áp Fi 34|m")</f>
        <v>51.562</v>
      </c>
      <c r="J45" s="8" t="n">
        <f aca="false">SUMIFS('Bai duc CK'!$E$6:$E$27,'Bai duc CK'!$H$6:$H$27,"Ống cao su cao áp Fi 34|m")</f>
        <v>0</v>
      </c>
      <c r="K45" s="9" t="n">
        <f aca="false">SUM(D45:J45)</f>
        <v>107.3912</v>
      </c>
      <c r="L45" s="10" t="n">
        <f aca="false">SUMIFS('Thanh thai'!$G$6:$G$10,'Thanh thai'!$H$6:$H$10,"Ống cao su cao áp Fi 34|m")+SUMIFS('Tuyen 1'!$G$6:$G$321,'Tuyen 1'!$H$6:$H$321,"Ống cao su cao áp Fi 34|m")+SUMIFS('Tuyen 2A'!$G$6:$G$347,'Tuyen 2A'!$H$6:$H$347,"Ống cao su cao áp Fi 34|m")+SUMIFS('Tuyen 2B'!$G$6:$G$277,'Tuyen 2B'!$H$6:$H$277,"Ống cao su cao áp Fi 34|m")+SUMIFS('Tuyen 2C'!$G$6:$G$306,'Tuyen 2C'!$H$6:$H$306,"Ống cao su cao áp Fi 34|m")+SUMIFS('Tuyen 3'!$G$6:$G$281,'Tuyen 3'!$H$6:$H$281,"Ống cao su cao áp Fi 34|m")+SUMIFS('Bai duc CK'!$G$6:$G$27,'Bai duc CK'!$H$6:$H$27,"Ống cao su cao áp Fi 34|m")</f>
        <v>1320911.76</v>
      </c>
      <c r="M45" s="11" t="n">
        <f aca="false">IF(K45=0,0,L45/K45)</f>
        <v>12300</v>
      </c>
    </row>
    <row r="46" customFormat="false" ht="15" hidden="false" customHeight="false" outlineLevel="0" collapsed="false">
      <c r="A46" s="6" t="n">
        <v>40</v>
      </c>
      <c r="B46" s="7" t="s">
        <v>64</v>
      </c>
      <c r="C46" s="6" t="s">
        <v>18</v>
      </c>
      <c r="D46" s="8" t="n">
        <f aca="false">SUMIFS('Thanh thai'!$E$6:$E$10,'Thanh thai'!$H$6:$H$10,"Ống cao su cao áp Fi 60|m")</f>
        <v>0</v>
      </c>
      <c r="E46" s="8" t="n">
        <f aca="false">SUMIFS('Tuyen 1'!$E$6:$E$321,'Tuyen 1'!$H$6:$H$321,"Ống cao su cao áp Fi 60|m")</f>
        <v>0</v>
      </c>
      <c r="F46" s="8" t="n">
        <f aca="false">SUMIFS('Tuyen 2A'!$E$6:$E$347,'Tuyen 2A'!$H$6:$H$347,"Ống cao su cao áp Fi 60|m")</f>
        <v>3.7296</v>
      </c>
      <c r="G46" s="8" t="n">
        <f aca="false">SUMIFS('Tuyen 2B'!$E$6:$E$277,'Tuyen 2B'!$H$6:$H$277,"Ống cao su cao áp Fi 60|m")</f>
        <v>0</v>
      </c>
      <c r="H46" s="8" t="n">
        <f aca="false">SUMIFS('Tuyen 2C'!$E$6:$E$306,'Tuyen 2C'!$H$6:$H$306,"Ống cao su cao áp Fi 60|m")</f>
        <v>3.2412</v>
      </c>
      <c r="I46" s="8" t="n">
        <f aca="false">SUMIFS('Tuyen 3'!$E$6:$E$281,'Tuyen 3'!$H$6:$H$281,"Ống cao su cao áp Fi 60|m")</f>
        <v>6.438</v>
      </c>
      <c r="J46" s="8" t="n">
        <f aca="false">SUMIFS('Bai duc CK'!$E$6:$E$27,'Bai duc CK'!$H$6:$H$27,"Ống cao su cao áp Fi 60|m")</f>
        <v>0</v>
      </c>
      <c r="K46" s="9" t="n">
        <f aca="false">SUM(D46:J46)</f>
        <v>13.4088</v>
      </c>
      <c r="L46" s="10" t="n">
        <f aca="false">SUMIFS('Thanh thai'!$G$6:$G$10,'Thanh thai'!$H$6:$H$10,"Ống cao su cao áp Fi 60|m")+SUMIFS('Tuyen 1'!$G$6:$G$321,'Tuyen 1'!$H$6:$H$321,"Ống cao su cao áp Fi 60|m")+SUMIFS('Tuyen 2A'!$G$6:$G$347,'Tuyen 2A'!$H$6:$H$347,"Ống cao su cao áp Fi 60|m")+SUMIFS('Tuyen 2B'!$G$6:$G$277,'Tuyen 2B'!$H$6:$H$277,"Ống cao su cao áp Fi 60|m")+SUMIFS('Tuyen 2C'!$G$6:$G$306,'Tuyen 2C'!$H$6:$H$306,"Ống cao su cao áp Fi 60|m")+SUMIFS('Tuyen 3'!$G$6:$G$281,'Tuyen 3'!$H$6:$H$281,"Ống cao su cao áp Fi 60|m")+SUMIFS('Bai duc CK'!$G$6:$G$27,'Bai duc CK'!$H$6:$H$27,"Ống cao su cao áp Fi 60|m")</f>
        <v>359355.84</v>
      </c>
      <c r="M46" s="11" t="n">
        <f aca="false">IF(K46=0,0,L46/K46)</f>
        <v>26800</v>
      </c>
    </row>
    <row r="47" customFormat="false" ht="15" hidden="false" customHeight="false" outlineLevel="0" collapsed="false">
      <c r="A47" s="6" t="n">
        <v>41</v>
      </c>
      <c r="B47" s="7" t="s">
        <v>65</v>
      </c>
      <c r="C47" s="6" t="s">
        <v>18</v>
      </c>
      <c r="D47" s="8" t="n">
        <f aca="false">SUMIFS('Thanh thai'!$E$6:$E$10,'Thanh thai'!$H$6:$H$10,"Ống địa kỹ thuật GREENTUBE H=3m|m")</f>
        <v>0</v>
      </c>
      <c r="E47" s="8" t="n">
        <f aca="false">SUMIFS('Tuyen 1'!$E$6:$E$321,'Tuyen 1'!$H$6:$H$321,"Ống địa kỹ thuật GREENTUBE H=3m|m")</f>
        <v>339.84</v>
      </c>
      <c r="F47" s="8" t="n">
        <f aca="false">SUMIFS('Tuyen 2A'!$E$6:$E$347,'Tuyen 2A'!$H$6:$H$347,"Ống địa kỹ thuật GREENTUBE H=3m|m")</f>
        <v>492.5</v>
      </c>
      <c r="G47" s="8" t="n">
        <f aca="false">SUMIFS('Tuyen 2B'!$E$6:$E$277,'Tuyen 2B'!$H$6:$H$277,"Ống địa kỹ thuật GREENTUBE H=3m|m")</f>
        <v>491.88</v>
      </c>
      <c r="H47" s="8" t="n">
        <f aca="false">SUMIFS('Tuyen 2C'!$E$6:$E$306,'Tuyen 2C'!$H$6:$H$306,"Ống địa kỹ thuật GREENTUBE H=3m|m")</f>
        <v>450.13</v>
      </c>
      <c r="I47" s="8" t="n">
        <f aca="false">SUMIFS('Tuyen 3'!$E$6:$E$281,'Tuyen 3'!$H$6:$H$281,"Ống địa kỹ thuật GREENTUBE H=3m|m")</f>
        <v>484.23</v>
      </c>
      <c r="J47" s="8" t="n">
        <f aca="false">SUMIFS('Bai duc CK'!$E$6:$E$27,'Bai duc CK'!$H$6:$H$27,"Ống địa kỹ thuật GREENTUBE H=3m|m")</f>
        <v>0</v>
      </c>
      <c r="K47" s="9" t="n">
        <f aca="false">SUM(D47:J47)</f>
        <v>2258.58</v>
      </c>
      <c r="L47" s="10" t="n">
        <f aca="false">SUMIFS('Thanh thai'!$G$6:$G$10,'Thanh thai'!$H$6:$H$10,"Ống địa kỹ thuật GREENTUBE H=3m|m")+SUMIFS('Tuyen 1'!$G$6:$G$321,'Tuyen 1'!$H$6:$H$321,"Ống địa kỹ thuật GREENTUBE H=3m|m")+SUMIFS('Tuyen 2A'!$G$6:$G$347,'Tuyen 2A'!$H$6:$H$347,"Ống địa kỹ thuật GREENTUBE H=3m|m")+SUMIFS('Tuyen 2B'!$G$6:$G$277,'Tuyen 2B'!$H$6:$H$277,"Ống địa kỹ thuật GREENTUBE H=3m|m")+SUMIFS('Tuyen 2C'!$G$6:$G$306,'Tuyen 2C'!$H$6:$H$306,"Ống địa kỹ thuật GREENTUBE H=3m|m")+SUMIFS('Tuyen 3'!$G$6:$G$281,'Tuyen 3'!$H$6:$H$281,"Ống địa kỹ thuật GREENTUBE H=3m|m")+SUMIFS('Bai duc CK'!$G$6:$G$27,'Bai duc CK'!$H$6:$H$27,"Ống địa kỹ thuật GREENTUBE H=3m|m")</f>
        <v>8288988600</v>
      </c>
      <c r="M47" s="11" t="n">
        <f aca="false">IF(K47=0,0,L47/K47)</f>
        <v>3670000</v>
      </c>
    </row>
    <row r="48" customFormat="false" ht="15" hidden="false" customHeight="false" outlineLevel="0" collapsed="false">
      <c r="A48" s="6" t="n">
        <v>42</v>
      </c>
      <c r="B48" s="7" t="s">
        <v>66</v>
      </c>
      <c r="C48" s="6" t="s">
        <v>18</v>
      </c>
      <c r="D48" s="8" t="n">
        <f aca="false">SUMIFS('Thanh thai'!$E$6:$E$10,'Thanh thai'!$H$6:$H$10,"Ống nhựa miệng bát D100mm L=6m|m")</f>
        <v>0</v>
      </c>
      <c r="E48" s="8" t="n">
        <f aca="false">SUMIFS('Tuyen 1'!$E$6:$E$321,'Tuyen 1'!$H$6:$H$321,"Ống nhựa miệng bát D100mm L=6m|m")</f>
        <v>35.2086</v>
      </c>
      <c r="F48" s="8" t="n">
        <f aca="false">SUMIFS('Tuyen 2A'!$E$6:$E$347,'Tuyen 2A'!$H$6:$H$347,"Ống nhựa miệng bát D100mm L=6m|m")</f>
        <v>10.1202</v>
      </c>
      <c r="G48" s="8" t="n">
        <f aca="false">SUMIFS('Tuyen 2B'!$E$6:$E$277,'Tuyen 2B'!$H$6:$H$277,"Ống nhựa miệng bát D100mm L=6m|m")</f>
        <v>66.8317</v>
      </c>
      <c r="H48" s="8" t="n">
        <f aca="false">SUMIFS('Tuyen 2C'!$E$6:$E$306,'Tuyen 2C'!$H$6:$H$306,"Ống nhựa miệng bát D100mm L=6m|m")</f>
        <v>0</v>
      </c>
      <c r="I48" s="8" t="n">
        <f aca="false">SUMIFS('Tuyen 3'!$E$6:$E$281,'Tuyen 3'!$H$6:$H$281,"Ống nhựa miệng bát D100mm L=6m|m")</f>
        <v>0</v>
      </c>
      <c r="J48" s="8" t="n">
        <f aca="false">SUMIFS('Bai duc CK'!$E$6:$E$27,'Bai duc CK'!$H$6:$H$27,"Ống nhựa miệng bát D100mm L=6m|m")</f>
        <v>0</v>
      </c>
      <c r="K48" s="9" t="n">
        <f aca="false">SUM(D48:J48)</f>
        <v>112.1605</v>
      </c>
      <c r="L48" s="10" t="n">
        <f aca="false">SUMIFS('Thanh thai'!$G$6:$G$10,'Thanh thai'!$H$6:$H$10,"Ống nhựa miệng bát D100mm L=6m|m")+SUMIFS('Tuyen 1'!$G$6:$G$321,'Tuyen 1'!$H$6:$H$321,"Ống nhựa miệng bát D100mm L=6m|m")+SUMIFS('Tuyen 2A'!$G$6:$G$347,'Tuyen 2A'!$H$6:$H$347,"Ống nhựa miệng bát D100mm L=6m|m")+SUMIFS('Tuyen 2B'!$G$6:$G$277,'Tuyen 2B'!$H$6:$H$277,"Ống nhựa miệng bát D100mm L=6m|m")+SUMIFS('Tuyen 2C'!$G$6:$G$306,'Tuyen 2C'!$H$6:$H$306,"Ống nhựa miệng bát D100mm L=6m|m")+SUMIFS('Tuyen 3'!$G$6:$G$281,'Tuyen 3'!$H$6:$H$281,"Ống nhựa miệng bát D100mm L=6m|m")+SUMIFS('Bai duc CK'!$G$6:$G$27,'Bai duc CK'!$H$6:$H$27,"Ống nhựa miệng bát D100mm L=6m|m")</f>
        <v>7280338.055</v>
      </c>
      <c r="M48" s="11" t="n">
        <f aca="false">IF(K48=0,0,L48/K48)</f>
        <v>64910</v>
      </c>
    </row>
    <row r="49" customFormat="false" ht="15" hidden="false" customHeight="false" outlineLevel="0" collapsed="false">
      <c r="A49" s="6" t="n">
        <v>43</v>
      </c>
      <c r="B49" s="7" t="s">
        <v>67</v>
      </c>
      <c r="C49" s="6" t="s">
        <v>18</v>
      </c>
      <c r="D49" s="8" t="n">
        <f aca="false">SUMIFS('Thanh thai'!$E$6:$E$10,'Thanh thai'!$H$6:$H$10,"Ống nhựa miệng bát D200mm L=6m|m")</f>
        <v>0</v>
      </c>
      <c r="E49" s="8" t="n">
        <f aca="false">SUMIFS('Tuyen 1'!$E$6:$E$321,'Tuyen 1'!$H$6:$H$321,"Ống nhựa miệng bát D200mm L=6m|m")</f>
        <v>166.6803</v>
      </c>
      <c r="F49" s="8" t="n">
        <f aca="false">SUMIFS('Tuyen 2A'!$E$6:$E$347,'Tuyen 2A'!$H$6:$H$347,"Ống nhựa miệng bát D200mm L=6m|m")</f>
        <v>414.1</v>
      </c>
      <c r="G49" s="8" t="n">
        <f aca="false">SUMIFS('Tuyen 2B'!$E$6:$E$277,'Tuyen 2B'!$H$6:$H$277,"Ống nhựa miệng bát D200mm L=6m|m")</f>
        <v>505</v>
      </c>
      <c r="H49" s="8" t="n">
        <f aca="false">SUMIFS('Tuyen 2C'!$E$6:$E$306,'Tuyen 2C'!$H$6:$H$306,"Ống nhựa miệng bát D200mm L=6m|m")</f>
        <v>371.3063</v>
      </c>
      <c r="I49" s="8" t="n">
        <f aca="false">SUMIFS('Tuyen 3'!$E$6:$E$281,'Tuyen 3'!$H$6:$H$281,"Ống nhựa miệng bát D200mm L=6m|m")</f>
        <v>438.5723</v>
      </c>
      <c r="J49" s="8" t="n">
        <f aca="false">SUMIFS('Bai duc CK'!$E$6:$E$27,'Bai duc CK'!$H$6:$H$27,"Ống nhựa miệng bát D200mm L=6m|m")</f>
        <v>0</v>
      </c>
      <c r="K49" s="9" t="n">
        <f aca="false">SUM(D49:J49)</f>
        <v>1895.6589</v>
      </c>
      <c r="L49" s="10" t="n">
        <f aca="false">SUMIFS('Thanh thai'!$G$6:$G$10,'Thanh thai'!$H$6:$H$10,"Ống nhựa miệng bát D200mm L=6m|m")+SUMIFS('Tuyen 1'!$G$6:$G$321,'Tuyen 1'!$H$6:$H$321,"Ống nhựa miệng bát D200mm L=6m|m")+SUMIFS('Tuyen 2A'!$G$6:$G$347,'Tuyen 2A'!$H$6:$H$347,"Ống nhựa miệng bát D200mm L=6m|m")+SUMIFS('Tuyen 2B'!$G$6:$G$277,'Tuyen 2B'!$H$6:$H$277,"Ống nhựa miệng bát D200mm L=6m|m")+SUMIFS('Tuyen 2C'!$G$6:$G$306,'Tuyen 2C'!$H$6:$H$306,"Ống nhựa miệng bát D200mm L=6m|m")+SUMIFS('Tuyen 3'!$G$6:$G$281,'Tuyen 3'!$H$6:$H$281,"Ống nhựa miệng bát D200mm L=6m|m")+SUMIFS('Bai duc CK'!$G$6:$G$27,'Bai duc CK'!$H$6:$H$27,"Ống nhựa miệng bát D200mm L=6m|m")</f>
        <v>1122988332.36</v>
      </c>
      <c r="M49" s="11" t="n">
        <f aca="false">IF(K49=0,0,L49/K49)</f>
        <v>592400</v>
      </c>
    </row>
    <row r="50" customFormat="false" ht="15" hidden="false" customHeight="false" outlineLevel="0" collapsed="false">
      <c r="A50" s="6" t="n">
        <v>44</v>
      </c>
      <c r="B50" s="7" t="s">
        <v>68</v>
      </c>
      <c r="C50" s="6" t="s">
        <v>69</v>
      </c>
      <c r="D50" s="8" t="n">
        <f aca="false">SUMIFS('Thanh thai'!$E$6:$E$10,'Thanh thai'!$H$6:$H$10,"Oxy|chai")</f>
        <v>0</v>
      </c>
      <c r="E50" s="8" t="n">
        <f aca="false">SUMIFS('Tuyen 1'!$E$6:$E$321,'Tuyen 1'!$H$6:$H$321,"Oxy|chai")</f>
        <v>0</v>
      </c>
      <c r="F50" s="8" t="n">
        <f aca="false">SUMIFS('Tuyen 2A'!$E$6:$E$347,'Tuyen 2A'!$H$6:$H$347,"Oxy|chai")</f>
        <v>7.714584</v>
      </c>
      <c r="G50" s="8" t="n">
        <f aca="false">SUMIFS('Tuyen 2B'!$E$6:$E$277,'Tuyen 2B'!$H$6:$H$277,"Oxy|chai")</f>
        <v>0</v>
      </c>
      <c r="H50" s="8" t="n">
        <f aca="false">SUMIFS('Tuyen 2C'!$E$6:$E$306,'Tuyen 2C'!$H$6:$H$306,"Oxy|chai")</f>
        <v>7.714584</v>
      </c>
      <c r="I50" s="8" t="n">
        <f aca="false">SUMIFS('Tuyen 3'!$E$6:$E$281,'Tuyen 3'!$H$6:$H$281,"Oxy|chai")</f>
        <v>7.714584</v>
      </c>
      <c r="J50" s="8" t="n">
        <f aca="false">SUMIFS('Bai duc CK'!$E$6:$E$27,'Bai duc CK'!$H$6:$H$27,"Oxy|chai")</f>
        <v>0</v>
      </c>
      <c r="K50" s="9" t="n">
        <f aca="false">SUM(D50:J50)</f>
        <v>23.143752</v>
      </c>
      <c r="L50" s="10" t="n">
        <f aca="false">SUMIFS('Thanh thai'!$G$6:$G$10,'Thanh thai'!$H$6:$H$10,"Oxy|chai")+SUMIFS('Tuyen 1'!$G$6:$G$321,'Tuyen 1'!$H$6:$H$321,"Oxy|chai")+SUMIFS('Tuyen 2A'!$G$6:$G$347,'Tuyen 2A'!$H$6:$H$347,"Oxy|chai")+SUMIFS('Tuyen 2B'!$G$6:$G$277,'Tuyen 2B'!$H$6:$H$277,"Oxy|chai")+SUMIFS('Tuyen 2C'!$G$6:$G$306,'Tuyen 2C'!$H$6:$H$306,"Oxy|chai")+SUMIFS('Tuyen 3'!$G$6:$G$281,'Tuyen 3'!$H$6:$H$281,"Oxy|chai")+SUMIFS('Bai duc CK'!$G$6:$G$27,'Bai duc CK'!$H$6:$H$27,"Oxy|chai")</f>
        <v>1620062.64</v>
      </c>
      <c r="M50" s="11" t="n">
        <f aca="false">IF(K50=0,0,L50/K50)</f>
        <v>70000</v>
      </c>
    </row>
    <row r="51" customFormat="false" ht="15" hidden="false" customHeight="false" outlineLevel="0" collapsed="false">
      <c r="A51" s="6" t="n">
        <v>45</v>
      </c>
      <c r="B51" s="7" t="s">
        <v>70</v>
      </c>
      <c r="C51" s="6" t="s">
        <v>20</v>
      </c>
      <c r="D51" s="8" t="n">
        <f aca="false">SUMIFS('Thanh thai'!$E$6:$E$10,'Thanh thai'!$H$6:$H$10,"Phụ gia dẻo hoá bê tông|kg")</f>
        <v>0</v>
      </c>
      <c r="E51" s="8" t="n">
        <f aca="false">SUMIFS('Tuyen 1'!$E$6:$E$321,'Tuyen 1'!$H$6:$H$321,"Phụ gia dẻo hoá bê tông|kg")</f>
        <v>0</v>
      </c>
      <c r="F51" s="8" t="n">
        <f aca="false">SUMIFS('Tuyen 2A'!$E$6:$E$347,'Tuyen 2A'!$H$6:$H$347,"Phụ gia dẻo hoá bê tông|kg")</f>
        <v>0</v>
      </c>
      <c r="G51" s="8" t="n">
        <f aca="false">SUMIFS('Tuyen 2B'!$E$6:$E$277,'Tuyen 2B'!$H$6:$H$277,"Phụ gia dẻo hoá bê tông|kg")</f>
        <v>0</v>
      </c>
      <c r="H51" s="8" t="n">
        <f aca="false">SUMIFS('Tuyen 2C'!$E$6:$E$306,'Tuyen 2C'!$H$6:$H$306,"Phụ gia dẻo hoá bê tông|kg")</f>
        <v>0</v>
      </c>
      <c r="I51" s="8" t="n">
        <f aca="false">SUMIFS('Tuyen 3'!$E$6:$E$281,'Tuyen 3'!$H$6:$H$281,"Phụ gia dẻo hoá bê tông|kg")</f>
        <v>0</v>
      </c>
      <c r="J51" s="8" t="n">
        <f aca="false">SUMIFS('Bai duc CK'!$E$6:$E$27,'Bai duc CK'!$H$6:$H$27,"Phụ gia dẻo hoá bê tông|kg")</f>
        <v>0</v>
      </c>
      <c r="K51" s="9" t="n">
        <f aca="false">SUM(D51:J51)</f>
        <v>0</v>
      </c>
      <c r="L51" s="10" t="n">
        <f aca="false">SUMIFS('Thanh thai'!$G$6:$G$10,'Thanh thai'!$H$6:$H$10,"Phụ gia dẻo hoá bê tông|kg")+SUMIFS('Tuyen 1'!$G$6:$G$321,'Tuyen 1'!$H$6:$H$321,"Phụ gia dẻo hoá bê tông|kg")+SUMIFS('Tuyen 2A'!$G$6:$G$347,'Tuyen 2A'!$H$6:$H$347,"Phụ gia dẻo hoá bê tông|kg")+SUMIFS('Tuyen 2B'!$G$6:$G$277,'Tuyen 2B'!$H$6:$H$277,"Phụ gia dẻo hoá bê tông|kg")+SUMIFS('Tuyen 2C'!$G$6:$G$306,'Tuyen 2C'!$H$6:$H$306,"Phụ gia dẻo hoá bê tông|kg")+SUMIFS('Tuyen 3'!$G$6:$G$281,'Tuyen 3'!$H$6:$H$281,"Phụ gia dẻo hoá bê tông|kg")+SUMIFS('Bai duc CK'!$G$6:$G$27,'Bai duc CK'!$H$6:$H$27,"Phụ gia dẻo hoá bê tông|kg")</f>
        <v>0</v>
      </c>
      <c r="M51" s="11" t="n">
        <f aca="false">IF(K51=0,0,L51/K51)</f>
        <v>0</v>
      </c>
    </row>
    <row r="52" customFormat="false" ht="15" hidden="false" customHeight="false" outlineLevel="0" collapsed="false">
      <c r="A52" s="6" t="n">
        <v>46</v>
      </c>
      <c r="B52" s="7" t="s">
        <v>71</v>
      </c>
      <c r="C52" s="6" t="s">
        <v>20</v>
      </c>
      <c r="D52" s="8" t="n">
        <f aca="false">SUMIFS('Thanh thai'!$E$6:$E$10,'Thanh thai'!$H$6:$H$10,"Phụ gia R7|kg")</f>
        <v>0</v>
      </c>
      <c r="E52" s="8" t="n">
        <f aca="false">SUMIFS('Tuyen 1'!$E$6:$E$321,'Tuyen 1'!$H$6:$H$321,"Phụ gia R7|kg")</f>
        <v>6629.59836</v>
      </c>
      <c r="F52" s="8" t="n">
        <f aca="false">SUMIFS('Tuyen 2A'!$E$6:$E$347,'Tuyen 2A'!$H$6:$H$347,"Phụ gia R7|kg")</f>
        <v>9483.354496</v>
      </c>
      <c r="G52" s="8" t="n">
        <f aca="false">SUMIFS('Tuyen 2B'!$E$6:$E$277,'Tuyen 2B'!$H$6:$H$277,"Phụ gia R7|kg")</f>
        <v>11199.263152</v>
      </c>
      <c r="H52" s="8" t="n">
        <f aca="false">SUMIFS('Tuyen 2C'!$E$6:$E$306,'Tuyen 2C'!$H$6:$H$306,"Phụ gia R7|kg")</f>
        <v>8507.604952</v>
      </c>
      <c r="I52" s="8" t="n">
        <f aca="false">SUMIFS('Tuyen 3'!$E$6:$E$281,'Tuyen 3'!$H$6:$H$281,"Phụ gia R7|kg")</f>
        <v>10007.752216</v>
      </c>
      <c r="J52" s="8" t="n">
        <f aca="false">SUMIFS('Bai duc CK'!$E$6:$E$27,'Bai duc CK'!$H$6:$H$27,"Phụ gia R7|kg")</f>
        <v>0</v>
      </c>
      <c r="K52" s="9" t="n">
        <f aca="false">SUM(D52:J52)</f>
        <v>45827.573176</v>
      </c>
      <c r="L52" s="10" t="n">
        <f aca="false">SUMIFS('Thanh thai'!$G$6:$G$10,'Thanh thai'!$H$6:$H$10,"Phụ gia R7|kg")+SUMIFS('Tuyen 1'!$G$6:$G$321,'Tuyen 1'!$H$6:$H$321,"Phụ gia R7|kg")+SUMIFS('Tuyen 2A'!$G$6:$G$347,'Tuyen 2A'!$H$6:$H$347,"Phụ gia R7|kg")+SUMIFS('Tuyen 2B'!$G$6:$G$277,'Tuyen 2B'!$H$6:$H$277,"Phụ gia R7|kg")+SUMIFS('Tuyen 2C'!$G$6:$G$306,'Tuyen 2C'!$H$6:$H$306,"Phụ gia R7|kg")+SUMIFS('Tuyen 3'!$G$6:$G$281,'Tuyen 3'!$H$6:$H$281,"Phụ gia R7|kg")+SUMIFS('Bai duc CK'!$G$6:$G$27,'Bai duc CK'!$H$6:$H$27,"Phụ gia R7|kg")</f>
        <v>2749654390.56</v>
      </c>
      <c r="M52" s="11" t="n">
        <f aca="false">IF(K52=0,0,L52/K52)</f>
        <v>60000</v>
      </c>
    </row>
    <row r="53" customFormat="false" ht="15" hidden="false" customHeight="false" outlineLevel="0" collapsed="false">
      <c r="A53" s="6" t="n">
        <v>47</v>
      </c>
      <c r="B53" s="7" t="s">
        <v>72</v>
      </c>
      <c r="C53" s="6" t="s">
        <v>20</v>
      </c>
      <c r="D53" s="8" t="n">
        <f aca="false">SUMIFS('Thanh thai'!$E$6:$E$10,'Thanh thai'!$H$6:$H$10,"Phụ gia siêu dẻo bê tông PCB40|kg")</f>
        <v>0</v>
      </c>
      <c r="E53" s="8" t="n">
        <f aca="false">SUMIFS('Tuyen 1'!$E$6:$E$321,'Tuyen 1'!$H$6:$H$321,"Phụ gia siêu dẻo bê tông PCB40|kg")</f>
        <v>156.94734</v>
      </c>
      <c r="F53" s="8" t="n">
        <f aca="false">SUMIFS('Tuyen 2A'!$E$6:$E$347,'Tuyen 2A'!$H$6:$H$347,"Phụ gia siêu dẻo bê tông PCB40|kg")</f>
        <v>247.48581275</v>
      </c>
      <c r="G53" s="8" t="n">
        <f aca="false">SUMIFS('Tuyen 2B'!$E$6:$E$277,'Tuyen 2B'!$H$6:$H$277,"Phụ gia siêu dẻo bê tông PCB40|kg")</f>
        <v>295.8076</v>
      </c>
      <c r="H53" s="8" t="n">
        <f aca="false">SUMIFS('Tuyen 2C'!$E$6:$E$306,'Tuyen 2C'!$H$6:$H$306,"Phụ gia siêu dẻo bê tông PCB40|kg")</f>
        <v>217.31327475</v>
      </c>
      <c r="I53" s="8" t="n">
        <f aca="false">SUMIFS('Tuyen 3'!$E$6:$E$281,'Tuyen 3'!$H$6:$H$281,"Phụ gia siêu dẻo bê tông PCB40|kg")</f>
        <v>259.57147425</v>
      </c>
      <c r="J53" s="8" t="n">
        <f aca="false">SUMIFS('Bai duc CK'!$E$6:$E$27,'Bai duc CK'!$H$6:$H$27,"Phụ gia siêu dẻo bê tông PCB40|kg")</f>
        <v>0</v>
      </c>
      <c r="K53" s="9" t="n">
        <f aca="false">SUM(D53:J53)</f>
        <v>1177.12550175</v>
      </c>
      <c r="L53" s="10" t="n">
        <f aca="false">SUMIFS('Thanh thai'!$G$6:$G$10,'Thanh thai'!$H$6:$H$10,"Phụ gia siêu dẻo bê tông PCB40|kg")+SUMIFS('Tuyen 1'!$G$6:$G$321,'Tuyen 1'!$H$6:$H$321,"Phụ gia siêu dẻo bê tông PCB40|kg")+SUMIFS('Tuyen 2A'!$G$6:$G$347,'Tuyen 2A'!$H$6:$H$347,"Phụ gia siêu dẻo bê tông PCB40|kg")+SUMIFS('Tuyen 2B'!$G$6:$G$277,'Tuyen 2B'!$H$6:$H$277,"Phụ gia siêu dẻo bê tông PCB40|kg")+SUMIFS('Tuyen 2C'!$G$6:$G$306,'Tuyen 2C'!$H$6:$H$306,"Phụ gia siêu dẻo bê tông PCB40|kg")+SUMIFS('Tuyen 3'!$G$6:$G$281,'Tuyen 3'!$H$6:$H$281,"Phụ gia siêu dẻo bê tông PCB40|kg")+SUMIFS('Bai duc CK'!$G$6:$G$27,'Bai duc CK'!$H$6:$H$27,"Phụ gia siêu dẻo bê tông PCB40|kg")</f>
        <v>27073886.54025</v>
      </c>
      <c r="M53" s="11" t="n">
        <f aca="false">IF(K53=0,0,L53/K53)</f>
        <v>23000</v>
      </c>
    </row>
    <row r="54" customFormat="false" ht="15" hidden="false" customHeight="false" outlineLevel="0" collapsed="false">
      <c r="A54" s="6" t="n">
        <v>48</v>
      </c>
      <c r="B54" s="7" t="s">
        <v>73</v>
      </c>
      <c r="C54" s="6" t="s">
        <v>20</v>
      </c>
      <c r="D54" s="8" t="n">
        <f aca="false">SUMIFS('Thanh thai'!$E$6:$E$10,'Thanh thai'!$H$6:$H$10,"Que hàn|kg")</f>
        <v>4246.1184</v>
      </c>
      <c r="E54" s="8" t="n">
        <f aca="false">SUMIFS('Tuyen 1'!$E$6:$E$321,'Tuyen 1'!$H$6:$H$321,"Que hàn|kg")</f>
        <v>521.58421596</v>
      </c>
      <c r="F54" s="8" t="n">
        <f aca="false">SUMIFS('Tuyen 2A'!$E$6:$E$347,'Tuyen 2A'!$H$6:$H$347,"Que hàn|kg")</f>
        <v>836.8430238</v>
      </c>
      <c r="G54" s="8" t="n">
        <f aca="false">SUMIFS('Tuyen 2B'!$E$6:$E$277,'Tuyen 2B'!$H$6:$H$277,"Que hàn|kg")</f>
        <v>903.9881588</v>
      </c>
      <c r="H54" s="8" t="n">
        <f aca="false">SUMIFS('Tuyen 2C'!$E$6:$E$306,'Tuyen 2C'!$H$6:$H$306,"Que hàn|kg")</f>
        <v>2996.249501</v>
      </c>
      <c r="I54" s="8" t="n">
        <f aca="false">SUMIFS('Tuyen 3'!$E$6:$E$281,'Tuyen 3'!$H$6:$H$281,"Que hàn|kg")</f>
        <v>869.8482194</v>
      </c>
      <c r="J54" s="8" t="n">
        <f aca="false">SUMIFS('Bai duc CK'!$E$6:$E$27,'Bai duc CK'!$H$6:$H$27,"Que hàn|kg")</f>
        <v>1.88336</v>
      </c>
      <c r="K54" s="9" t="n">
        <f aca="false">SUM(D54:J54)</f>
        <v>10376.51487896</v>
      </c>
      <c r="L54" s="10" t="n">
        <f aca="false">SUMIFS('Thanh thai'!$G$6:$G$10,'Thanh thai'!$H$6:$H$10,"Que hàn|kg")+SUMIFS('Tuyen 1'!$G$6:$G$321,'Tuyen 1'!$H$6:$H$321,"Que hàn|kg")+SUMIFS('Tuyen 2A'!$G$6:$G$347,'Tuyen 2A'!$H$6:$H$347,"Que hàn|kg")+SUMIFS('Tuyen 2B'!$G$6:$G$277,'Tuyen 2B'!$H$6:$H$277,"Que hàn|kg")+SUMIFS('Tuyen 2C'!$G$6:$G$306,'Tuyen 2C'!$H$6:$H$306,"Que hàn|kg")+SUMIFS('Tuyen 3'!$G$6:$G$281,'Tuyen 3'!$H$6:$H$281,"Que hàn|kg")+SUMIFS('Bai duc CK'!$G$6:$G$27,'Bai duc CK'!$H$6:$H$27,"Que hàn|kg")</f>
        <v>258370616.609188</v>
      </c>
      <c r="M54" s="11" t="n">
        <f aca="false">IF(K54=0,0,L54/K54)</f>
        <v>24899.5563176105</v>
      </c>
    </row>
    <row r="55" customFormat="false" ht="15" hidden="false" customHeight="false" outlineLevel="0" collapsed="false">
      <c r="A55" s="6" t="n">
        <v>49</v>
      </c>
      <c r="B55" s="7" t="s">
        <v>74</v>
      </c>
      <c r="C55" s="6" t="s">
        <v>20</v>
      </c>
      <c r="D55" s="8" t="n">
        <f aca="false">SUMIFS('Thanh thai'!$E$6:$E$10,'Thanh thai'!$H$6:$H$10,"Sơn dẻo nhiệt|kg")</f>
        <v>0</v>
      </c>
      <c r="E55" s="8" t="n">
        <f aca="false">SUMIFS('Tuyen 1'!$E$6:$E$321,'Tuyen 1'!$H$6:$H$321,"Sơn dẻo nhiệt|kg")</f>
        <v>684.6129</v>
      </c>
      <c r="F55" s="8" t="n">
        <f aca="false">SUMIFS('Tuyen 2A'!$E$6:$E$347,'Tuyen 2A'!$H$6:$H$347,"Sơn dẻo nhiệt|kg")</f>
        <v>0</v>
      </c>
      <c r="G55" s="8" t="n">
        <f aca="false">SUMIFS('Tuyen 2B'!$E$6:$E$277,'Tuyen 2B'!$H$6:$H$277,"Sơn dẻo nhiệt|kg")</f>
        <v>0</v>
      </c>
      <c r="H55" s="8" t="n">
        <f aca="false">SUMIFS('Tuyen 2C'!$E$6:$E$306,'Tuyen 2C'!$H$6:$H$306,"Sơn dẻo nhiệt|kg")</f>
        <v>0</v>
      </c>
      <c r="I55" s="8" t="n">
        <f aca="false">SUMIFS('Tuyen 3'!$E$6:$E$281,'Tuyen 3'!$H$6:$H$281,"Sơn dẻo nhiệt|kg")</f>
        <v>0</v>
      </c>
      <c r="J55" s="8" t="n">
        <f aca="false">SUMIFS('Bai duc CK'!$E$6:$E$27,'Bai duc CK'!$H$6:$H$27,"Sơn dẻo nhiệt|kg")</f>
        <v>0</v>
      </c>
      <c r="K55" s="9" t="n">
        <f aca="false">SUM(D55:J55)</f>
        <v>684.6129</v>
      </c>
      <c r="L55" s="10" t="n">
        <f aca="false">SUMIFS('Thanh thai'!$G$6:$G$10,'Thanh thai'!$H$6:$H$10,"Sơn dẻo nhiệt|kg")+SUMIFS('Tuyen 1'!$G$6:$G$321,'Tuyen 1'!$H$6:$H$321,"Sơn dẻo nhiệt|kg")+SUMIFS('Tuyen 2A'!$G$6:$G$347,'Tuyen 2A'!$H$6:$H$347,"Sơn dẻo nhiệt|kg")+SUMIFS('Tuyen 2B'!$G$6:$G$277,'Tuyen 2B'!$H$6:$H$277,"Sơn dẻo nhiệt|kg")+SUMIFS('Tuyen 2C'!$G$6:$G$306,'Tuyen 2C'!$H$6:$H$306,"Sơn dẻo nhiệt|kg")+SUMIFS('Tuyen 3'!$G$6:$G$281,'Tuyen 3'!$H$6:$H$281,"Sơn dẻo nhiệt|kg")+SUMIFS('Bai duc CK'!$G$6:$G$27,'Bai duc CK'!$H$6:$H$27,"Sơn dẻo nhiệt|kg")</f>
        <v>24248988.918</v>
      </c>
      <c r="M55" s="11" t="n">
        <f aca="false">IF(K55=0,0,L55/K55)</f>
        <v>35420</v>
      </c>
    </row>
    <row r="56" customFormat="false" ht="15" hidden="false" customHeight="false" outlineLevel="0" collapsed="false">
      <c r="A56" s="6" t="n">
        <v>50</v>
      </c>
      <c r="B56" s="7" t="s">
        <v>75</v>
      </c>
      <c r="C56" s="6" t="s">
        <v>20</v>
      </c>
      <c r="D56" s="8" t="n">
        <f aca="false">SUMIFS('Thanh thai'!$E$6:$E$10,'Thanh thai'!$H$6:$H$10,"Sơn lót|kg")</f>
        <v>0</v>
      </c>
      <c r="E56" s="8" t="n">
        <f aca="false">SUMIFS('Tuyen 1'!$E$6:$E$321,'Tuyen 1'!$H$6:$H$321,"Sơn lót|kg")</f>
        <v>32.9775</v>
      </c>
      <c r="F56" s="8" t="n">
        <f aca="false">SUMIFS('Tuyen 2A'!$E$6:$E$347,'Tuyen 2A'!$H$6:$H$347,"Sơn lót|kg")</f>
        <v>0</v>
      </c>
      <c r="G56" s="8" t="n">
        <f aca="false">SUMIFS('Tuyen 2B'!$E$6:$E$277,'Tuyen 2B'!$H$6:$H$277,"Sơn lót|kg")</f>
        <v>0</v>
      </c>
      <c r="H56" s="8" t="n">
        <f aca="false">SUMIFS('Tuyen 2C'!$E$6:$E$306,'Tuyen 2C'!$H$6:$H$306,"Sơn lót|kg")</f>
        <v>0</v>
      </c>
      <c r="I56" s="8" t="n">
        <f aca="false">SUMIFS('Tuyen 3'!$E$6:$E$281,'Tuyen 3'!$H$6:$H$281,"Sơn lót|kg")</f>
        <v>0</v>
      </c>
      <c r="J56" s="8" t="n">
        <f aca="false">SUMIFS('Bai duc CK'!$E$6:$E$27,'Bai duc CK'!$H$6:$H$27,"Sơn lót|kg")</f>
        <v>0</v>
      </c>
      <c r="K56" s="9" t="n">
        <f aca="false">SUM(D56:J56)</f>
        <v>32.9775</v>
      </c>
      <c r="L56" s="10" t="n">
        <f aca="false">SUMIFS('Thanh thai'!$G$6:$G$10,'Thanh thai'!$H$6:$H$10,"Sơn lót|kg")+SUMIFS('Tuyen 1'!$G$6:$G$321,'Tuyen 1'!$H$6:$H$321,"Sơn lót|kg")+SUMIFS('Tuyen 2A'!$G$6:$G$347,'Tuyen 2A'!$H$6:$H$347,"Sơn lót|kg")+SUMIFS('Tuyen 2B'!$G$6:$G$277,'Tuyen 2B'!$H$6:$H$277,"Sơn lót|kg")+SUMIFS('Tuyen 2C'!$G$6:$G$306,'Tuyen 2C'!$H$6:$H$306,"Sơn lót|kg")+SUMIFS('Tuyen 3'!$G$6:$G$281,'Tuyen 3'!$H$6:$H$281,"Sơn lót|kg")+SUMIFS('Bai duc CK'!$G$6:$G$27,'Bai duc CK'!$H$6:$H$27,"Sơn lót|kg")</f>
        <v>1267325.325</v>
      </c>
      <c r="M56" s="11" t="n">
        <f aca="false">IF(K56=0,0,L56/K56)</f>
        <v>38430</v>
      </c>
    </row>
    <row r="57" customFormat="false" ht="15" hidden="false" customHeight="false" outlineLevel="0" collapsed="false">
      <c r="A57" s="6" t="n">
        <v>51</v>
      </c>
      <c r="B57" s="7" t="s">
        <v>76</v>
      </c>
      <c r="C57" s="6" t="s">
        <v>18</v>
      </c>
      <c r="D57" s="8" t="n">
        <f aca="false">SUMIFS('Thanh thai'!$E$6:$E$10,'Thanh thai'!$H$6:$H$10,"Tấm đan bó vỉa 50x30x5cm|m")</f>
        <v>0</v>
      </c>
      <c r="E57" s="8" t="n">
        <f aca="false">SUMIFS('Tuyen 1'!$E$6:$E$321,'Tuyen 1'!$H$6:$H$321,"Tấm đan bó vỉa 50x30x5cm|m")</f>
        <v>299.3</v>
      </c>
      <c r="F57" s="8" t="n">
        <f aca="false">SUMIFS('Tuyen 2A'!$E$6:$E$347,'Tuyen 2A'!$H$6:$H$347,"Tấm đan bó vỉa 50x30x5cm|m")</f>
        <v>123</v>
      </c>
      <c r="G57" s="8" t="n">
        <f aca="false">SUMIFS('Tuyen 2B'!$E$6:$E$277,'Tuyen 2B'!$H$6:$H$277,"Tấm đan bó vỉa 50x30x5cm|m")</f>
        <v>936.85</v>
      </c>
      <c r="H57" s="8" t="n">
        <f aca="false">SUMIFS('Tuyen 2C'!$E$6:$E$306,'Tuyen 2C'!$H$6:$H$306,"Tấm đan bó vỉa 50x30x5cm|m")</f>
        <v>0</v>
      </c>
      <c r="I57" s="8" t="n">
        <f aca="false">SUMIFS('Tuyen 3'!$E$6:$E$281,'Tuyen 3'!$H$6:$H$281,"Tấm đan bó vỉa 50x30x5cm|m")</f>
        <v>0</v>
      </c>
      <c r="J57" s="8" t="n">
        <f aca="false">SUMIFS('Bai duc CK'!$E$6:$E$27,'Bai duc CK'!$H$6:$H$27,"Tấm đan bó vỉa 50x30x5cm|m")</f>
        <v>0</v>
      </c>
      <c r="K57" s="9" t="n">
        <f aca="false">SUM(D57:J57)</f>
        <v>1359.15</v>
      </c>
      <c r="L57" s="10" t="n">
        <f aca="false">SUMIFS('Thanh thai'!$G$6:$G$10,'Thanh thai'!$H$6:$H$10,"Tấm đan bó vỉa 50x30x5cm|m")+SUMIFS('Tuyen 1'!$G$6:$G$321,'Tuyen 1'!$H$6:$H$321,"Tấm đan bó vỉa 50x30x5cm|m")+SUMIFS('Tuyen 2A'!$G$6:$G$347,'Tuyen 2A'!$H$6:$H$347,"Tấm đan bó vỉa 50x30x5cm|m")+SUMIFS('Tuyen 2B'!$G$6:$G$277,'Tuyen 2B'!$H$6:$H$277,"Tấm đan bó vỉa 50x30x5cm|m")+SUMIFS('Tuyen 2C'!$G$6:$G$306,'Tuyen 2C'!$H$6:$H$306,"Tấm đan bó vỉa 50x30x5cm|m")+SUMIFS('Tuyen 3'!$G$6:$G$281,'Tuyen 3'!$H$6:$H$281,"Tấm đan bó vỉa 50x30x5cm|m")+SUMIFS('Bai duc CK'!$G$6:$G$27,'Bai duc CK'!$H$6:$H$27,"Tấm đan bó vỉa 50x30x5cm|m")</f>
        <v>112129875</v>
      </c>
      <c r="M57" s="11" t="n">
        <f aca="false">IF(K57=0,0,L57/K57)</f>
        <v>82500</v>
      </c>
    </row>
    <row r="58" customFormat="false" ht="15" hidden="false" customHeight="false" outlineLevel="0" collapsed="false">
      <c r="A58" s="6" t="n">
        <v>52</v>
      </c>
      <c r="B58" s="7" t="s">
        <v>77</v>
      </c>
      <c r="C58" s="6" t="s">
        <v>20</v>
      </c>
      <c r="D58" s="8" t="n">
        <f aca="false">SUMIFS('Thanh thai'!$E$6:$E$10,'Thanh thai'!$H$6:$H$10,"Thép dàn giáo|kg")</f>
        <v>0</v>
      </c>
      <c r="E58" s="8" t="n">
        <f aca="false">SUMIFS('Tuyen 1'!$E$6:$E$321,'Tuyen 1'!$H$6:$H$321,"Thép dàn giáo|kg")</f>
        <v>3.38</v>
      </c>
      <c r="F58" s="8" t="n">
        <f aca="false">SUMIFS('Tuyen 2A'!$E$6:$E$347,'Tuyen 2A'!$H$6:$H$347,"Thép dàn giáo|kg")</f>
        <v>0</v>
      </c>
      <c r="G58" s="8" t="n">
        <f aca="false">SUMIFS('Tuyen 2B'!$E$6:$E$277,'Tuyen 2B'!$H$6:$H$277,"Thép dàn giáo|kg")</f>
        <v>0</v>
      </c>
      <c r="H58" s="8" t="n">
        <f aca="false">SUMIFS('Tuyen 2C'!$E$6:$E$306,'Tuyen 2C'!$H$6:$H$306,"Thép dàn giáo|kg")</f>
        <v>0</v>
      </c>
      <c r="I58" s="8" t="n">
        <f aca="false">SUMIFS('Tuyen 3'!$E$6:$E$281,'Tuyen 3'!$H$6:$H$281,"Thép dàn giáo|kg")</f>
        <v>0</v>
      </c>
      <c r="J58" s="8" t="n">
        <f aca="false">SUMIFS('Bai duc CK'!$E$6:$E$27,'Bai duc CK'!$H$6:$H$27,"Thép dàn giáo|kg")</f>
        <v>0</v>
      </c>
      <c r="K58" s="9" t="n">
        <f aca="false">SUM(D58:J58)</f>
        <v>3.38</v>
      </c>
      <c r="L58" s="10" t="n">
        <f aca="false">SUMIFS('Thanh thai'!$G$6:$G$10,'Thanh thai'!$H$6:$H$10,"Thép dàn giáo|kg")+SUMIFS('Tuyen 1'!$G$6:$G$321,'Tuyen 1'!$H$6:$H$321,"Thép dàn giáo|kg")+SUMIFS('Tuyen 2A'!$G$6:$G$347,'Tuyen 2A'!$H$6:$H$347,"Thép dàn giáo|kg")+SUMIFS('Tuyen 2B'!$G$6:$G$277,'Tuyen 2B'!$H$6:$H$277,"Thép dàn giáo|kg")+SUMIFS('Tuyen 2C'!$G$6:$G$306,'Tuyen 2C'!$H$6:$H$306,"Thép dàn giáo|kg")+SUMIFS('Tuyen 3'!$G$6:$G$281,'Tuyen 3'!$H$6:$H$281,"Thép dàn giáo|kg")+SUMIFS('Bai duc CK'!$G$6:$G$27,'Bai duc CK'!$H$6:$H$27,"Thép dàn giáo|kg")</f>
        <v>39478.4</v>
      </c>
      <c r="M58" s="11" t="n">
        <f aca="false">IF(K58=0,0,L58/K58)</f>
        <v>11680</v>
      </c>
    </row>
    <row r="59" customFormat="false" ht="15" hidden="false" customHeight="false" outlineLevel="0" collapsed="false">
      <c r="A59" s="6" t="n">
        <v>53</v>
      </c>
      <c r="B59" s="7" t="s">
        <v>78</v>
      </c>
      <c r="C59" s="6" t="s">
        <v>20</v>
      </c>
      <c r="D59" s="8" t="n">
        <f aca="false">SUMIFS('Thanh thai'!$E$6:$E$10,'Thanh thai'!$H$6:$H$10,"Thép hình|kg")</f>
        <v>0</v>
      </c>
      <c r="E59" s="8" t="n">
        <f aca="false">SUMIFS('Tuyen 1'!$E$6:$E$321,'Tuyen 1'!$H$6:$H$321,"Thép hình|kg")</f>
        <v>3889.160102</v>
      </c>
      <c r="F59" s="8" t="n">
        <f aca="false">SUMIFS('Tuyen 2A'!$E$6:$E$347,'Tuyen 2A'!$H$6:$H$347,"Thép hình|kg")</f>
        <v>5897.7325454</v>
      </c>
      <c r="G59" s="8" t="n">
        <f aca="false">SUMIFS('Tuyen 2B'!$E$6:$E$277,'Tuyen 2B'!$H$6:$H$277,"Thép hình|kg")</f>
        <v>6838.59943</v>
      </c>
      <c r="H59" s="8" t="n">
        <f aca="false">SUMIFS('Tuyen 2C'!$E$6:$E$306,'Tuyen 2C'!$H$6:$H$306,"Thép hình|kg")</f>
        <v>24831.8968134</v>
      </c>
      <c r="I59" s="8" t="n">
        <f aca="false">SUMIFS('Tuyen 3'!$E$6:$E$281,'Tuyen 3'!$H$6:$H$281,"Thép hình|kg")</f>
        <v>6193.6165674</v>
      </c>
      <c r="J59" s="8" t="n">
        <f aca="false">SUMIFS('Bai duc CK'!$E$6:$E$27,'Bai duc CK'!$H$6:$H$27,"Thép hình|kg")</f>
        <v>0</v>
      </c>
      <c r="K59" s="9" t="n">
        <f aca="false">SUM(D59:J59)</f>
        <v>47651.0054582</v>
      </c>
      <c r="L59" s="10" t="n">
        <f aca="false">SUMIFS('Thanh thai'!$G$6:$G$10,'Thanh thai'!$H$6:$H$10,"Thép hình|kg")+SUMIFS('Tuyen 1'!$G$6:$G$321,'Tuyen 1'!$H$6:$H$321,"Thép hình|kg")+SUMIFS('Tuyen 2A'!$G$6:$G$347,'Tuyen 2A'!$H$6:$H$347,"Thép hình|kg")+SUMIFS('Tuyen 2B'!$G$6:$G$277,'Tuyen 2B'!$H$6:$H$277,"Thép hình|kg")+SUMIFS('Tuyen 2C'!$G$6:$G$306,'Tuyen 2C'!$H$6:$H$306,"Thép hình|kg")+SUMIFS('Tuyen 3'!$G$6:$G$281,'Tuyen 3'!$H$6:$H$281,"Thép hình|kg")+SUMIFS('Bai duc CK'!$G$6:$G$27,'Bai duc CK'!$H$6:$H$27,"Thép hình|kg")</f>
        <v>674476050.870077</v>
      </c>
      <c r="M59" s="11" t="n">
        <f aca="false">IF(K59=0,0,L59/K59)</f>
        <v>14154.497777843</v>
      </c>
    </row>
    <row r="60" customFormat="false" ht="15" hidden="false" customHeight="false" outlineLevel="0" collapsed="false">
      <c r="A60" s="6" t="n">
        <v>54</v>
      </c>
      <c r="B60" s="7" t="s">
        <v>79</v>
      </c>
      <c r="C60" s="6" t="s">
        <v>20</v>
      </c>
      <c r="D60" s="8" t="n">
        <f aca="false">SUMIFS('Thanh thai'!$E$6:$E$10,'Thanh thai'!$H$6:$H$10,"Thép hình định vị cọc|kg")</f>
        <v>0</v>
      </c>
      <c r="E60" s="8" t="n">
        <f aca="false">SUMIFS('Tuyen 1'!$E$6:$E$321,'Tuyen 1'!$H$6:$H$321,"Thép hình định vị cọc|kg")</f>
        <v>0</v>
      </c>
      <c r="F60" s="8" t="n">
        <f aca="false">SUMIFS('Tuyen 2A'!$E$6:$E$347,'Tuyen 2A'!$H$6:$H$347,"Thép hình định vị cọc|kg")</f>
        <v>156.6096</v>
      </c>
      <c r="G60" s="8" t="n">
        <f aca="false">SUMIFS('Tuyen 2B'!$E$6:$E$277,'Tuyen 2B'!$H$6:$H$277,"Thép hình định vị cọc|kg")</f>
        <v>0</v>
      </c>
      <c r="H60" s="8" t="n">
        <f aca="false">SUMIFS('Tuyen 2C'!$E$6:$E$306,'Tuyen 2C'!$H$6:$H$306,"Thép hình định vị cọc|kg")</f>
        <v>136.1012</v>
      </c>
      <c r="I60" s="8" t="n">
        <f aca="false">SUMIFS('Tuyen 3'!$E$6:$E$281,'Tuyen 3'!$H$6:$H$281,"Thép hình định vị cọc|kg")</f>
        <v>270.338</v>
      </c>
      <c r="J60" s="8" t="n">
        <f aca="false">SUMIFS('Bai duc CK'!$E$6:$E$27,'Bai duc CK'!$H$6:$H$27,"Thép hình định vị cọc|kg")</f>
        <v>0</v>
      </c>
      <c r="K60" s="9" t="n">
        <f aca="false">SUM(D60:J60)</f>
        <v>563.0488</v>
      </c>
      <c r="L60" s="10" t="n">
        <f aca="false">SUMIFS('Thanh thai'!$G$6:$G$10,'Thanh thai'!$H$6:$H$10,"Thép hình định vị cọc|kg")+SUMIFS('Tuyen 1'!$G$6:$G$321,'Tuyen 1'!$H$6:$H$321,"Thép hình định vị cọc|kg")+SUMIFS('Tuyen 2A'!$G$6:$G$347,'Tuyen 2A'!$H$6:$H$347,"Thép hình định vị cọc|kg")+SUMIFS('Tuyen 2B'!$G$6:$G$277,'Tuyen 2B'!$H$6:$H$277,"Thép hình định vị cọc|kg")+SUMIFS('Tuyen 2C'!$G$6:$G$306,'Tuyen 2C'!$H$6:$H$306,"Thép hình định vị cọc|kg")+SUMIFS('Tuyen 3'!$G$6:$G$281,'Tuyen 3'!$H$6:$H$281,"Thép hình định vị cọc|kg")+SUMIFS('Bai duc CK'!$G$6:$G$27,'Bai duc CK'!$H$6:$H$27,"Thép hình định vị cọc|kg")</f>
        <v>7561745.384</v>
      </c>
      <c r="M60" s="11" t="n">
        <f aca="false">IF(K60=0,0,L60/K60)</f>
        <v>13430</v>
      </c>
    </row>
    <row r="61" customFormat="false" ht="15" hidden="false" customHeight="false" outlineLevel="0" collapsed="false">
      <c r="A61" s="6" t="n">
        <v>55</v>
      </c>
      <c r="B61" s="7" t="s">
        <v>80</v>
      </c>
      <c r="C61" s="6" t="s">
        <v>20</v>
      </c>
      <c r="D61" s="8" t="n">
        <f aca="false">SUMIFS('Thanh thai'!$E$6:$E$10,'Thanh thai'!$H$6:$H$10,"Thép hình, thép tấm|kg")</f>
        <v>0</v>
      </c>
      <c r="E61" s="8" t="n">
        <f aca="false">SUMIFS('Tuyen 1'!$E$6:$E$321,'Tuyen 1'!$H$6:$H$321,"Thép hình, thép tấm|kg")</f>
        <v>27.7578</v>
      </c>
      <c r="F61" s="8" t="n">
        <f aca="false">SUMIFS('Tuyen 2A'!$E$6:$E$347,'Tuyen 2A'!$H$6:$H$347,"Thép hình, thép tấm|kg")</f>
        <v>33.4845</v>
      </c>
      <c r="G61" s="8" t="n">
        <f aca="false">SUMIFS('Tuyen 2B'!$E$6:$E$277,'Tuyen 2B'!$H$6:$H$277,"Thép hình, thép tấm|kg")</f>
        <v>60.3477</v>
      </c>
      <c r="H61" s="8" t="n">
        <f aca="false">SUMIFS('Tuyen 2C'!$E$6:$E$306,'Tuyen 2C'!$H$6:$H$306,"Thép hình, thép tấm|kg")</f>
        <v>23.16195</v>
      </c>
      <c r="I61" s="8" t="n">
        <f aca="false">SUMIFS('Tuyen 3'!$E$6:$E$281,'Tuyen 3'!$H$6:$H$281,"Thép hình, thép tấm|kg")</f>
        <v>27.35775</v>
      </c>
      <c r="J61" s="8" t="n">
        <f aca="false">SUMIFS('Bai duc CK'!$E$6:$E$27,'Bai duc CK'!$H$6:$H$27,"Thép hình, thép tấm|kg")</f>
        <v>37.548</v>
      </c>
      <c r="K61" s="9" t="n">
        <f aca="false">SUM(D61:J61)</f>
        <v>209.6577</v>
      </c>
      <c r="L61" s="10" t="n">
        <f aca="false">SUMIFS('Thanh thai'!$G$6:$G$10,'Thanh thai'!$H$6:$H$10,"Thép hình, thép tấm|kg")+SUMIFS('Tuyen 1'!$G$6:$G$321,'Tuyen 1'!$H$6:$H$321,"Thép hình, thép tấm|kg")+SUMIFS('Tuyen 2A'!$G$6:$G$347,'Tuyen 2A'!$H$6:$H$347,"Thép hình, thép tấm|kg")+SUMIFS('Tuyen 2B'!$G$6:$G$277,'Tuyen 2B'!$H$6:$H$277,"Thép hình, thép tấm|kg")+SUMIFS('Tuyen 2C'!$G$6:$G$306,'Tuyen 2C'!$H$6:$H$306,"Thép hình, thép tấm|kg")+SUMIFS('Tuyen 3'!$G$6:$G$281,'Tuyen 3'!$H$6:$H$281,"Thép hình, thép tấm|kg")+SUMIFS('Bai duc CK'!$G$6:$G$27,'Bai duc CK'!$H$6:$H$27,"Thép hình, thép tấm|kg")</f>
        <v>2968124.0589</v>
      </c>
      <c r="M61" s="11" t="n">
        <f aca="false">IF(K61=0,0,L61/K61)</f>
        <v>14157</v>
      </c>
    </row>
    <row r="62" customFormat="false" ht="15" hidden="false" customHeight="false" outlineLevel="0" collapsed="false">
      <c r="A62" s="6" t="n">
        <v>56</v>
      </c>
      <c r="B62" s="7" t="s">
        <v>81</v>
      </c>
      <c r="C62" s="6" t="s">
        <v>20</v>
      </c>
      <c r="D62" s="8" t="n">
        <f aca="false">SUMIFS('Thanh thai'!$E$6:$E$10,'Thanh thai'!$H$6:$H$10,"Thép tấm|kg")</f>
        <v>0</v>
      </c>
      <c r="E62" s="8" t="n">
        <f aca="false">SUMIFS('Tuyen 1'!$E$6:$E$321,'Tuyen 1'!$H$6:$H$321,"Thép tấm|kg")</f>
        <v>4319.582762</v>
      </c>
      <c r="F62" s="8" t="n">
        <f aca="false">SUMIFS('Tuyen 2A'!$E$6:$E$347,'Tuyen 2A'!$H$6:$H$347,"Thép tấm|kg")</f>
        <v>6493.5066494</v>
      </c>
      <c r="G62" s="8" t="n">
        <f aca="false">SUMIFS('Tuyen 2B'!$E$6:$E$277,'Tuyen 2B'!$H$6:$H$277,"Thép tấm|kg")</f>
        <v>7688.735252</v>
      </c>
      <c r="H62" s="8" t="n">
        <f aca="false">SUMIFS('Tuyen 2C'!$E$6:$E$306,'Tuyen 2C'!$H$6:$H$306,"Thép tấm|kg")</f>
        <v>26539.4795414</v>
      </c>
      <c r="I62" s="8" t="n">
        <f aca="false">SUMIFS('Tuyen 3'!$E$6:$E$281,'Tuyen 3'!$H$6:$H$281,"Thép tấm|kg")</f>
        <v>6827.4514584</v>
      </c>
      <c r="J62" s="8" t="n">
        <f aca="false">SUMIFS('Bai duc CK'!$E$6:$E$27,'Bai duc CK'!$H$6:$H$27,"Thép tấm|kg")</f>
        <v>0</v>
      </c>
      <c r="K62" s="9" t="n">
        <f aca="false">SUM(D62:J62)</f>
        <v>51868.7556632</v>
      </c>
      <c r="L62" s="10" t="n">
        <f aca="false">SUMIFS('Thanh thai'!$G$6:$G$10,'Thanh thai'!$H$6:$H$10,"Thép tấm|kg")+SUMIFS('Tuyen 1'!$G$6:$G$321,'Tuyen 1'!$H$6:$H$321,"Thép tấm|kg")+SUMIFS('Tuyen 2A'!$G$6:$G$347,'Tuyen 2A'!$H$6:$H$347,"Thép tấm|kg")+SUMIFS('Tuyen 2B'!$G$6:$G$277,'Tuyen 2B'!$H$6:$H$277,"Thép tấm|kg")+SUMIFS('Tuyen 2C'!$G$6:$G$306,'Tuyen 2C'!$H$6:$H$306,"Thép tấm|kg")+SUMIFS('Tuyen 3'!$G$6:$G$281,'Tuyen 3'!$H$6:$H$281,"Thép tấm|kg")+SUMIFS('Bai duc CK'!$G$6:$G$27,'Bai duc CK'!$H$6:$H$27,"Thép tấm|kg")</f>
        <v>718745347.224963</v>
      </c>
      <c r="M62" s="11" t="n">
        <f aca="false">IF(K62=0,0,L62/K62)</f>
        <v>13857</v>
      </c>
    </row>
    <row r="63" customFormat="false" ht="15" hidden="false" customHeight="false" outlineLevel="0" collapsed="false">
      <c r="A63" s="6" t="n">
        <v>57</v>
      </c>
      <c r="B63" s="7" t="s">
        <v>82</v>
      </c>
      <c r="C63" s="6" t="s">
        <v>20</v>
      </c>
      <c r="D63" s="8" t="n">
        <f aca="false">SUMIFS('Thanh thai'!$E$6:$E$10,'Thanh thai'!$H$6:$H$10,"Thép tròn|kg")</f>
        <v>0</v>
      </c>
      <c r="E63" s="8" t="n">
        <f aca="false">SUMIFS('Tuyen 1'!$E$6:$E$321,'Tuyen 1'!$H$6:$H$321,"Thép tròn|kg")</f>
        <v>11.08072</v>
      </c>
      <c r="F63" s="8" t="n">
        <f aca="false">SUMIFS('Tuyen 2A'!$E$6:$E$347,'Tuyen 2A'!$H$6:$H$347,"Thép tròn|kg")</f>
        <v>17.47354</v>
      </c>
      <c r="G63" s="8" t="n">
        <f aca="false">SUMIFS('Tuyen 2B'!$E$6:$E$277,'Tuyen 2B'!$H$6:$H$277,"Thép tròn|kg")</f>
        <v>20.88296</v>
      </c>
      <c r="H63" s="8" t="n">
        <f aca="false">SUMIFS('Tuyen 2C'!$E$6:$E$306,'Tuyen 2C'!$H$6:$H$306,"Thép tròn|kg")</f>
        <v>15.3426</v>
      </c>
      <c r="I63" s="8" t="n">
        <f aca="false">SUMIFS('Tuyen 3'!$E$6:$E$281,'Tuyen 3'!$H$6:$H$281,"Thép tròn|kg")</f>
        <v>18.32586</v>
      </c>
      <c r="J63" s="8" t="n">
        <f aca="false">SUMIFS('Bai duc CK'!$E$6:$E$27,'Bai duc CK'!$H$6:$H$27,"Thép tròn|kg")</f>
        <v>0</v>
      </c>
      <c r="K63" s="9" t="n">
        <f aca="false">SUM(D63:J63)</f>
        <v>83.10568</v>
      </c>
      <c r="L63" s="10" t="n">
        <f aca="false">SUMIFS('Thanh thai'!$G$6:$G$10,'Thanh thai'!$H$6:$H$10,"Thép tròn|kg")+SUMIFS('Tuyen 1'!$G$6:$G$321,'Tuyen 1'!$H$6:$H$321,"Thép tròn|kg")+SUMIFS('Tuyen 2A'!$G$6:$G$347,'Tuyen 2A'!$H$6:$H$347,"Thép tròn|kg")+SUMIFS('Tuyen 2B'!$G$6:$G$277,'Tuyen 2B'!$H$6:$H$277,"Thép tròn|kg")+SUMIFS('Tuyen 2C'!$G$6:$G$306,'Tuyen 2C'!$H$6:$H$306,"Thép tròn|kg")+SUMIFS('Tuyen 3'!$G$6:$G$281,'Tuyen 3'!$H$6:$H$281,"Thép tròn|kg")+SUMIFS('Bai duc CK'!$G$6:$G$27,'Bai duc CK'!$H$6:$H$27,"Thép tròn|kg")</f>
        <v>1192067.87392</v>
      </c>
      <c r="M63" s="11" t="n">
        <f aca="false">IF(K63=0,0,L63/K63)</f>
        <v>14344</v>
      </c>
    </row>
    <row r="64" customFormat="false" ht="15" hidden="false" customHeight="false" outlineLevel="0" collapsed="false">
      <c r="A64" s="6" t="n">
        <v>58</v>
      </c>
      <c r="B64" s="7" t="s">
        <v>83</v>
      </c>
      <c r="C64" s="6" t="s">
        <v>20</v>
      </c>
      <c r="D64" s="8" t="n">
        <f aca="false">SUMIFS('Thanh thai'!$E$6:$E$10,'Thanh thai'!$H$6:$H$10,"Thép tròn Fi ≤10mm|kg")</f>
        <v>0</v>
      </c>
      <c r="E64" s="8" t="n">
        <f aca="false">SUMIFS('Tuyen 1'!$E$6:$E$321,'Tuyen 1'!$H$6:$H$321,"Thép tròn Fi ≤10mm|kg")</f>
        <v>4977.966</v>
      </c>
      <c r="F64" s="8" t="n">
        <f aca="false">SUMIFS('Tuyen 2A'!$E$6:$E$347,'Tuyen 2A'!$H$6:$H$347,"Thép tròn Fi ≤10mm|kg")</f>
        <v>7925.64105</v>
      </c>
      <c r="G64" s="8" t="n">
        <f aca="false">SUMIFS('Tuyen 2B'!$E$6:$E$277,'Tuyen 2B'!$H$6:$H$277,"Thép tròn Fi ≤10mm|kg")</f>
        <v>9291.49635</v>
      </c>
      <c r="H64" s="8" t="n">
        <f aca="false">SUMIFS('Tuyen 2C'!$E$6:$E$306,'Tuyen 2C'!$H$6:$H$306,"Thép tròn Fi ≤10mm|kg")</f>
        <v>6957.0924</v>
      </c>
      <c r="I64" s="8" t="n">
        <f aca="false">SUMIFS('Tuyen 3'!$E$6:$E$281,'Tuyen 3'!$H$6:$H$281,"Thép tròn Fi ≤10mm|kg")</f>
        <v>8153.766</v>
      </c>
      <c r="J64" s="8" t="n">
        <f aca="false">SUMIFS('Bai duc CK'!$E$6:$E$27,'Bai duc CK'!$H$6:$H$27,"Thép tròn Fi ≤10mm|kg")</f>
        <v>0</v>
      </c>
      <c r="K64" s="9" t="n">
        <f aca="false">SUM(D64:J64)</f>
        <v>37305.9618</v>
      </c>
      <c r="L64" s="10" t="n">
        <f aca="false">SUMIFS('Thanh thai'!$G$6:$G$10,'Thanh thai'!$H$6:$H$10,"Thép tròn Fi ≤10mm|kg")+SUMIFS('Tuyen 1'!$G$6:$G$321,'Tuyen 1'!$H$6:$H$321,"Thép tròn Fi ≤10mm|kg")+SUMIFS('Tuyen 2A'!$G$6:$G$347,'Tuyen 2A'!$H$6:$H$347,"Thép tròn Fi ≤10mm|kg")+SUMIFS('Tuyen 2B'!$G$6:$G$277,'Tuyen 2B'!$H$6:$H$277,"Thép tròn Fi ≤10mm|kg")+SUMIFS('Tuyen 2C'!$G$6:$G$306,'Tuyen 2C'!$H$6:$H$306,"Thép tròn Fi ≤10mm|kg")+SUMIFS('Tuyen 3'!$G$6:$G$281,'Tuyen 3'!$H$6:$H$281,"Thép tròn Fi ≤10mm|kg")+SUMIFS('Bai duc CK'!$G$6:$G$27,'Bai duc CK'!$H$6:$H$27,"Thép tròn Fi ≤10mm|kg")</f>
        <v>544324849.6692</v>
      </c>
      <c r="M64" s="11" t="n">
        <f aca="false">IF(K64=0,0,L64/K64)</f>
        <v>14590.8274014584</v>
      </c>
    </row>
    <row r="65" customFormat="false" ht="15" hidden="false" customHeight="false" outlineLevel="0" collapsed="false">
      <c r="A65" s="6" t="n">
        <v>59</v>
      </c>
      <c r="B65" s="7" t="s">
        <v>84</v>
      </c>
      <c r="C65" s="6" t="s">
        <v>20</v>
      </c>
      <c r="D65" s="8" t="n">
        <f aca="false">SUMIFS('Thanh thai'!$E$6:$E$10,'Thanh thai'!$H$6:$H$10,"Thép tròn Fi ≤18mm|kg")</f>
        <v>0</v>
      </c>
      <c r="E65" s="8" t="n">
        <f aca="false">SUMIFS('Tuyen 1'!$E$6:$E$321,'Tuyen 1'!$H$6:$H$321,"Thép tròn Fi ≤18mm|kg")</f>
        <v>13960.06476</v>
      </c>
      <c r="F65" s="8" t="n">
        <f aca="false">SUMIFS('Tuyen 2A'!$E$6:$E$347,'Tuyen 2A'!$H$6:$H$347,"Thép tròn Fi ≤18mm|kg")</f>
        <v>21190.4184</v>
      </c>
      <c r="G65" s="8" t="n">
        <f aca="false">SUMIFS('Tuyen 2B'!$E$6:$E$277,'Tuyen 2B'!$H$6:$H$277,"Thép tròn Fi ≤18mm|kg")</f>
        <v>23467.8132</v>
      </c>
      <c r="H65" s="8" t="n">
        <f aca="false">SUMIFS('Tuyen 2C'!$E$6:$E$306,'Tuyen 2C'!$H$6:$H$306,"Thép tròn Fi ≤18mm|kg")</f>
        <v>18958.6482</v>
      </c>
      <c r="I65" s="8" t="n">
        <f aca="false">SUMIFS('Tuyen 3'!$E$6:$E$281,'Tuyen 3'!$H$6:$H$281,"Thép tròn Fi ≤18mm|kg")</f>
        <v>20973.24</v>
      </c>
      <c r="J65" s="8" t="n">
        <f aca="false">SUMIFS('Bai duc CK'!$E$6:$E$27,'Bai duc CK'!$H$6:$H$27,"Thép tròn Fi ≤18mm|kg")</f>
        <v>0</v>
      </c>
      <c r="K65" s="9" t="n">
        <f aca="false">SUM(D65:J65)</f>
        <v>98550.18456</v>
      </c>
      <c r="L65" s="10" t="n">
        <f aca="false">SUMIFS('Thanh thai'!$G$6:$G$10,'Thanh thai'!$H$6:$H$10,"Thép tròn Fi ≤18mm|kg")+SUMIFS('Tuyen 1'!$G$6:$G$321,'Tuyen 1'!$H$6:$H$321,"Thép tròn Fi ≤18mm|kg")+SUMIFS('Tuyen 2A'!$G$6:$G$347,'Tuyen 2A'!$H$6:$H$347,"Thép tròn Fi ≤18mm|kg")+SUMIFS('Tuyen 2B'!$G$6:$G$277,'Tuyen 2B'!$H$6:$H$277,"Thép tròn Fi ≤18mm|kg")+SUMIFS('Tuyen 2C'!$G$6:$G$306,'Tuyen 2C'!$H$6:$H$306,"Thép tròn Fi ≤18mm|kg")+SUMIFS('Tuyen 3'!$G$6:$G$281,'Tuyen 3'!$H$6:$H$281,"Thép tròn Fi ≤18mm|kg")+SUMIFS('Bai duc CK'!$G$6:$G$27,'Bai duc CK'!$H$6:$H$27,"Thép tròn Fi ≤18mm|kg")</f>
        <v>1417654119.42864</v>
      </c>
      <c r="M65" s="11" t="n">
        <f aca="false">IF(K65=0,0,L65/K65)</f>
        <v>14385.0985744784</v>
      </c>
    </row>
    <row r="66" customFormat="false" ht="15" hidden="false" customHeight="false" outlineLevel="0" collapsed="false">
      <c r="A66" s="6" t="n">
        <v>60</v>
      </c>
      <c r="B66" s="7" t="s">
        <v>85</v>
      </c>
      <c r="C66" s="6" t="s">
        <v>52</v>
      </c>
      <c r="D66" s="8" t="n">
        <f aca="false">SUMIFS('Thanh thai'!$E$6:$E$10,'Thanh thai'!$H$6:$H$10,"Vải địa kỹ thuật|m2")</f>
        <v>0</v>
      </c>
      <c r="E66" s="8" t="n">
        <f aca="false">SUMIFS('Tuyen 1'!$E$6:$E$321,'Tuyen 1'!$H$6:$H$321,"Vải địa kỹ thuật|m2")</f>
        <v>14559.741</v>
      </c>
      <c r="F66" s="8" t="n">
        <f aca="false">SUMIFS('Tuyen 2A'!$E$6:$E$347,'Tuyen 2A'!$H$6:$H$347,"Vải địa kỹ thuật|m2")</f>
        <v>21723.4815</v>
      </c>
      <c r="G66" s="8" t="n">
        <f aca="false">SUMIFS('Tuyen 2B'!$E$6:$E$277,'Tuyen 2B'!$H$6:$H$277,"Vải địa kỹ thuật|m2")</f>
        <v>27563.13</v>
      </c>
      <c r="H66" s="8" t="n">
        <f aca="false">SUMIFS('Tuyen 2C'!$E$6:$E$306,'Tuyen 2C'!$H$6:$H$306,"Vải địa kỹ thuật|m2")</f>
        <v>19419.729</v>
      </c>
      <c r="I66" s="8" t="n">
        <f aca="false">SUMIFS('Tuyen 3'!$E$6:$E$281,'Tuyen 3'!$H$6:$H$281,"Vải địa kỹ thuật|m2")</f>
        <v>23033.8605</v>
      </c>
      <c r="J66" s="8" t="n">
        <f aca="false">SUMIFS('Bai duc CK'!$E$6:$E$27,'Bai duc CK'!$H$6:$H$27,"Vải địa kỹ thuật|m2")</f>
        <v>0</v>
      </c>
      <c r="K66" s="9" t="n">
        <f aca="false">SUM(D66:J66)</f>
        <v>106299.942</v>
      </c>
      <c r="L66" s="10" t="n">
        <f aca="false">SUMIFS('Thanh thai'!$G$6:$G$10,'Thanh thai'!$H$6:$H$10,"Vải địa kỹ thuật|m2")+SUMIFS('Tuyen 1'!$G$6:$G$321,'Tuyen 1'!$H$6:$H$321,"Vải địa kỹ thuật|m2")+SUMIFS('Tuyen 2A'!$G$6:$G$347,'Tuyen 2A'!$H$6:$H$347,"Vải địa kỹ thuật|m2")+SUMIFS('Tuyen 2B'!$G$6:$G$277,'Tuyen 2B'!$H$6:$H$277,"Vải địa kỹ thuật|m2")+SUMIFS('Tuyen 2C'!$G$6:$G$306,'Tuyen 2C'!$H$6:$H$306,"Vải địa kỹ thuật|m2")+SUMIFS('Tuyen 3'!$G$6:$G$281,'Tuyen 3'!$H$6:$H$281,"Vải địa kỹ thuật|m2")+SUMIFS('Bai duc CK'!$G$6:$G$27,'Bai duc CK'!$H$6:$H$27,"Vải địa kỹ thuật|m2")</f>
        <v>2551198608</v>
      </c>
      <c r="M66" s="11" t="n">
        <f aca="false">IF(K66=0,0,L66/K66)</f>
        <v>24000</v>
      </c>
    </row>
    <row r="67" customFormat="false" ht="15" hidden="false" customHeight="false" outlineLevel="0" collapsed="false">
      <c r="A67" s="6" t="n">
        <v>61</v>
      </c>
      <c r="B67" s="7" t="s">
        <v>86</v>
      </c>
      <c r="C67" s="6" t="s">
        <v>20</v>
      </c>
      <c r="D67" s="8" t="n">
        <f aca="false">SUMIFS('Thanh thai'!$E$6:$E$10,'Thanh thai'!$H$6:$H$10,"Xi măng PCB30|kg")</f>
        <v>0</v>
      </c>
      <c r="E67" s="8" t="n">
        <f aca="false">SUMIFS('Tuyen 1'!$E$6:$E$321,'Tuyen 1'!$H$6:$H$321,"Xi măng PCB30|kg")</f>
        <v>0</v>
      </c>
      <c r="F67" s="8" t="n">
        <f aca="false">SUMIFS('Tuyen 2A'!$E$6:$E$347,'Tuyen 2A'!$H$6:$H$347,"Xi măng PCB30|kg")</f>
        <v>0</v>
      </c>
      <c r="G67" s="8" t="n">
        <f aca="false">SUMIFS('Tuyen 2B'!$E$6:$E$277,'Tuyen 2B'!$H$6:$H$277,"Xi măng PCB30|kg")</f>
        <v>0</v>
      </c>
      <c r="H67" s="8" t="n">
        <f aca="false">SUMIFS('Tuyen 2C'!$E$6:$E$306,'Tuyen 2C'!$H$6:$H$306,"Xi măng PCB30|kg")</f>
        <v>0</v>
      </c>
      <c r="I67" s="8" t="n">
        <f aca="false">SUMIFS('Tuyen 3'!$E$6:$E$281,'Tuyen 3'!$H$6:$H$281,"Xi măng PCB30|kg")</f>
        <v>0</v>
      </c>
      <c r="J67" s="8" t="n">
        <f aca="false">SUMIFS('Bai duc CK'!$E$6:$E$27,'Bai duc CK'!$H$6:$H$27,"Xi măng PCB30|kg")</f>
        <v>0</v>
      </c>
      <c r="K67" s="9" t="n">
        <f aca="false">SUM(D67:J67)</f>
        <v>0</v>
      </c>
      <c r="L67" s="10" t="n">
        <f aca="false">SUMIFS('Thanh thai'!$G$6:$G$10,'Thanh thai'!$H$6:$H$10,"Xi măng PCB30|kg")+SUMIFS('Tuyen 1'!$G$6:$G$321,'Tuyen 1'!$H$6:$H$321,"Xi măng PCB30|kg")+SUMIFS('Tuyen 2A'!$G$6:$G$347,'Tuyen 2A'!$H$6:$H$347,"Xi măng PCB30|kg")+SUMIFS('Tuyen 2B'!$G$6:$G$277,'Tuyen 2B'!$H$6:$H$277,"Xi măng PCB30|kg")+SUMIFS('Tuyen 2C'!$G$6:$G$306,'Tuyen 2C'!$H$6:$H$306,"Xi măng PCB30|kg")+SUMIFS('Tuyen 3'!$G$6:$G$281,'Tuyen 3'!$H$6:$H$281,"Xi măng PCB30|kg")+SUMIFS('Bai duc CK'!$G$6:$G$27,'Bai duc CK'!$H$6:$H$27,"Xi măng PCB30|kg")</f>
        <v>0</v>
      </c>
      <c r="M67" s="11" t="n">
        <f aca="false">IF(K67=0,0,L67/K67)</f>
        <v>0</v>
      </c>
    </row>
    <row r="68" customFormat="false" ht="15" hidden="false" customHeight="false" outlineLevel="0" collapsed="false">
      <c r="A68" s="6" t="n">
        <v>62</v>
      </c>
      <c r="B68" s="7" t="s">
        <v>87</v>
      </c>
      <c r="C68" s="6" t="s">
        <v>20</v>
      </c>
      <c r="D68" s="8" t="n">
        <f aca="false">SUMIFS('Thanh thai'!$E$6:$E$10,'Thanh thai'!$H$6:$H$10,"Xi măng PCB40|kg")</f>
        <v>0</v>
      </c>
      <c r="E68" s="8" t="n">
        <f aca="false">SUMIFS('Tuyen 1'!$E$6:$E$321,'Tuyen 1'!$H$6:$H$321,"Xi măng PCB40|kg")</f>
        <v>45747.513</v>
      </c>
      <c r="F68" s="8" t="n">
        <f aca="false">SUMIFS('Tuyen 2A'!$E$6:$E$347,'Tuyen 2A'!$H$6:$H$347,"Xi măng PCB40|kg")</f>
        <v>59828.184</v>
      </c>
      <c r="G68" s="8" t="n">
        <f aca="false">SUMIFS('Tuyen 2B'!$E$6:$E$277,'Tuyen 2B'!$H$6:$H$277,"Xi măng PCB40|kg")</f>
        <v>0</v>
      </c>
      <c r="H68" s="8" t="n">
        <f aca="false">SUMIFS('Tuyen 2C'!$E$6:$E$306,'Tuyen 2C'!$H$6:$H$306,"Xi măng PCB40|kg")</f>
        <v>44992.03675</v>
      </c>
      <c r="I68" s="8" t="n">
        <f aca="false">SUMIFS('Tuyen 3'!$E$6:$E$281,'Tuyen 3'!$H$6:$H$281,"Xi măng PCB40|kg")</f>
        <v>47534.61075</v>
      </c>
      <c r="J68" s="8" t="n">
        <f aca="false">SUMIFS('Bai duc CK'!$E$6:$E$27,'Bai duc CK'!$H$6:$H$27,"Xi măng PCB40|kg")</f>
        <v>0</v>
      </c>
      <c r="K68" s="9" t="n">
        <f aca="false">SUM(D68:J68)</f>
        <v>198102.3445</v>
      </c>
      <c r="L68" s="10" t="n">
        <f aca="false">SUMIFS('Thanh thai'!$G$6:$G$10,'Thanh thai'!$H$6:$H$10,"Xi măng PCB40|kg")+SUMIFS('Tuyen 1'!$G$6:$G$321,'Tuyen 1'!$H$6:$H$321,"Xi măng PCB40|kg")+SUMIFS('Tuyen 2A'!$G$6:$G$347,'Tuyen 2A'!$H$6:$H$347,"Xi măng PCB40|kg")+SUMIFS('Tuyen 2B'!$G$6:$G$277,'Tuyen 2B'!$H$6:$H$277,"Xi măng PCB40|kg")+SUMIFS('Tuyen 2C'!$G$6:$G$306,'Tuyen 2C'!$H$6:$H$306,"Xi măng PCB40|kg")+SUMIFS('Tuyen 3'!$G$6:$G$281,'Tuyen 3'!$H$6:$H$281,"Xi măng PCB40|kg")+SUMIFS('Bai duc CK'!$G$6:$G$27,'Bai duc CK'!$H$6:$H$27,"Xi măng PCB40|kg")</f>
        <v>313173527.0485</v>
      </c>
      <c r="M68" s="11" t="n">
        <f aca="false">IF(K68=0,0,L68/K68)</f>
        <v>1580.86734328629</v>
      </c>
    </row>
    <row r="69" customFormat="false" ht="15" hidden="false" customHeight="false" outlineLevel="0" collapsed="false">
      <c r="A69" s="6" t="n">
        <v>63</v>
      </c>
      <c r="B69" s="7" t="s">
        <v>88</v>
      </c>
      <c r="C69" s="6" t="s">
        <v>20</v>
      </c>
      <c r="D69" s="8" t="n">
        <f aca="false">SUMIFS('Thanh thai'!$E$6:$E$10,'Thanh thai'!$H$6:$H$10,"Xi măng PCB40 rời/bền sunfat type II|kg")</f>
        <v>0</v>
      </c>
      <c r="E69" s="8" t="n">
        <f aca="false">SUMIFS('Tuyen 1'!$E$6:$E$321,'Tuyen 1'!$H$6:$H$321,"Xi măng PCB40 rời/bền sunfat type II|kg")</f>
        <v>1558032.0508</v>
      </c>
      <c r="F69" s="8" t="n">
        <f aca="false">SUMIFS('Tuyen 2A'!$E$6:$E$347,'Tuyen 2A'!$H$6:$H$347,"Xi măng PCB40 rời/bền sunfat type II|kg")</f>
        <v>2235239.74535</v>
      </c>
      <c r="G69" s="8" t="n">
        <f aca="false">SUMIFS('Tuyen 2B'!$E$6:$E$277,'Tuyen 2B'!$H$6:$H$277,"Xi măng PCB40 rời/bền sunfat type II|kg")</f>
        <v>2787422.51735</v>
      </c>
      <c r="H69" s="8" t="n">
        <f aca="false">SUMIFS('Tuyen 2C'!$E$6:$E$306,'Tuyen 2C'!$H$6:$H$306,"Xi măng PCB40 rời/bền sunfat type II|kg")</f>
        <v>2001257.07095</v>
      </c>
      <c r="I69" s="8" t="n">
        <f aca="false">SUMIFS('Tuyen 3'!$E$6:$E$281,'Tuyen 3'!$H$6:$H$281,"Xi măng PCB40 rời/bền sunfat type II|kg")</f>
        <v>2360569.13125</v>
      </c>
      <c r="J69" s="8" t="n">
        <f aca="false">SUMIFS('Bai duc CK'!$E$6:$E$27,'Bai duc CK'!$H$6:$H$27,"Xi măng PCB40 rời/bền sunfat type II|kg")</f>
        <v>104196.785</v>
      </c>
      <c r="K69" s="9" t="n">
        <f aca="false">SUM(D69:J69)</f>
        <v>11046717.3007</v>
      </c>
      <c r="L69" s="10" t="n">
        <f aca="false">SUMIFS('Thanh thai'!$G$6:$G$10,'Thanh thai'!$H$6:$H$10,"Xi măng PCB40 rời/bền sunfat type II|kg")+SUMIFS('Tuyen 1'!$G$6:$G$321,'Tuyen 1'!$H$6:$H$321,"Xi măng PCB40 rời/bền sunfat type II|kg")+SUMIFS('Tuyen 2A'!$G$6:$G$347,'Tuyen 2A'!$H$6:$H$347,"Xi măng PCB40 rời/bền sunfat type II|kg")+SUMIFS('Tuyen 2B'!$G$6:$G$277,'Tuyen 2B'!$H$6:$H$277,"Xi măng PCB40 rời/bền sunfat type II|kg")+SUMIFS('Tuyen 2C'!$G$6:$G$306,'Tuyen 2C'!$H$6:$H$306,"Xi măng PCB40 rời/bền sunfat type II|kg")+SUMIFS('Tuyen 3'!$G$6:$G$281,'Tuyen 3'!$H$6:$H$281,"Xi măng PCB40 rời/bền sunfat type II|kg")+SUMIFS('Bai duc CK'!$G$6:$G$27,'Bai duc CK'!$H$6:$H$27,"Xi măng PCB40 rời/bền sunfat type II|kg")</f>
        <v>15929366347.6094</v>
      </c>
      <c r="M69" s="11" t="n">
        <f aca="false">IF(K69=0,0,L69/K69)</f>
        <v>1442</v>
      </c>
    </row>
    <row r="70" customFormat="false" ht="15" hidden="false" customHeight="false" outlineLevel="0" collapsed="false">
      <c r="A70" s="6" t="n">
        <v>64</v>
      </c>
      <c r="B70" s="7" t="s">
        <v>89</v>
      </c>
      <c r="C70" s="6" t="s">
        <v>90</v>
      </c>
      <c r="D70" s="7"/>
      <c r="E70" s="7"/>
      <c r="F70" s="7"/>
      <c r="G70" s="7"/>
      <c r="H70" s="7"/>
      <c r="I70" s="7"/>
      <c r="J70" s="7"/>
      <c r="K70" s="9"/>
      <c r="L70" s="10" t="n">
        <f aca="false">SUMIFS('Thanh thai'!$G$6:$G$10,'Thanh thai'!$H$6:$H$10,"Vật liệu khác|%")+SUMIFS('Tuyen 1'!$G$6:$G$321,'Tuyen 1'!$H$6:$H$321,"Vật liệu khác|%")+SUMIFS('Tuyen 2A'!$G$6:$G$347,'Tuyen 2A'!$H$6:$H$347,"Vật liệu khác|%")+SUMIFS('Tuyen 2B'!$G$6:$G$277,'Tuyen 2B'!$H$6:$H$277,"Vật liệu khác|%")+SUMIFS('Tuyen 2C'!$G$6:$G$306,'Tuyen 2C'!$H$6:$H$306,"Vật liệu khác|%")+SUMIFS('Tuyen 3'!$G$6:$G$281,'Tuyen 3'!$H$6:$H$281,"Vật liệu khác|%")+SUMIFS('Bai duc CK'!$G$6:$G$27,'Bai duc CK'!$H$6:$H$27,"Vật liệu khác|%")</f>
        <v>903922505.824957</v>
      </c>
      <c r="M70" s="11"/>
    </row>
    <row r="71" customFormat="false" ht="15" hidden="false" customHeight="true" outlineLevel="0" collapsed="false">
      <c r="A71" s="12" t="s">
        <v>91</v>
      </c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3" t="n">
        <f aca="false">SUM(L7:L70)</f>
        <v>115515512857.719</v>
      </c>
      <c r="M71" s="14"/>
    </row>
    <row r="73" customFormat="false" ht="25.35" hidden="false" customHeight="false" outlineLevel="0" collapsed="false">
      <c r="B73" s="15" t="s">
        <v>92</v>
      </c>
    </row>
    <row r="74" customFormat="false" ht="37.3" hidden="false" customHeight="false" outlineLevel="0" collapsed="false">
      <c r="B74" s="4" t="s">
        <v>93</v>
      </c>
      <c r="D74" s="4" t="s">
        <v>94</v>
      </c>
      <c r="F74" s="4" t="s">
        <v>95</v>
      </c>
      <c r="H74" s="4" t="s">
        <v>96</v>
      </c>
    </row>
    <row r="75" customFormat="false" ht="15" hidden="false" customHeight="false" outlineLevel="0" collapsed="false">
      <c r="B75" s="7" t="s">
        <v>9</v>
      </c>
      <c r="D75" s="10" t="n">
        <f aca="false">'Thanh thai'!G11</f>
        <v>106152960</v>
      </c>
      <c r="F75" s="16" t="n">
        <v>106152960</v>
      </c>
      <c r="H75" s="17" t="n">
        <f aca="false">ROUND(D75-F75,0)</f>
        <v>0</v>
      </c>
    </row>
    <row r="76" customFormat="false" ht="15" hidden="false" customHeight="false" outlineLevel="0" collapsed="false">
      <c r="B76" s="7" t="s">
        <v>10</v>
      </c>
      <c r="D76" s="10" t="n">
        <f aca="false">'Tuyen 1'!G322</f>
        <v>15711160408.6941</v>
      </c>
      <c r="F76" s="16" t="n">
        <v>15711160408.6941</v>
      </c>
      <c r="H76" s="17" t="n">
        <f aca="false">ROUND(D76-F76,0)</f>
        <v>0</v>
      </c>
    </row>
    <row r="77" customFormat="false" ht="15" hidden="false" customHeight="false" outlineLevel="0" collapsed="false">
      <c r="B77" s="7" t="s">
        <v>11</v>
      </c>
      <c r="D77" s="10" t="n">
        <f aca="false">'Tuyen 2A'!G348</f>
        <v>23046755989.3785</v>
      </c>
      <c r="F77" s="16" t="n">
        <v>23046755989.3785</v>
      </c>
      <c r="H77" s="17" t="n">
        <f aca="false">ROUND(D77-F77,0)</f>
        <v>0</v>
      </c>
    </row>
    <row r="78" customFormat="false" ht="15" hidden="false" customHeight="false" outlineLevel="0" collapsed="false">
      <c r="B78" s="7" t="s">
        <v>12</v>
      </c>
      <c r="D78" s="10" t="n">
        <f aca="false">'Tuyen 2B'!G278</f>
        <v>27464625666.351</v>
      </c>
      <c r="F78" s="16" t="n">
        <v>27464625666.351</v>
      </c>
      <c r="H78" s="17" t="n">
        <f aca="false">ROUND(D78-F78,0)</f>
        <v>0</v>
      </c>
    </row>
    <row r="79" customFormat="false" ht="15" hidden="false" customHeight="false" outlineLevel="0" collapsed="false">
      <c r="B79" s="7" t="s">
        <v>13</v>
      </c>
      <c r="D79" s="10" t="n">
        <f aca="false">'Tuyen 2C'!G307</f>
        <v>21441511578.7715</v>
      </c>
      <c r="F79" s="16" t="n">
        <v>21441511578.7715</v>
      </c>
      <c r="H79" s="17" t="n">
        <f aca="false">ROUND(D79-F79,0)</f>
        <v>0</v>
      </c>
    </row>
    <row r="80" customFormat="false" ht="15" hidden="false" customHeight="false" outlineLevel="0" collapsed="false">
      <c r="B80" s="7" t="s">
        <v>14</v>
      </c>
      <c r="D80" s="10" t="n">
        <f aca="false">'Tuyen 3'!G282</f>
        <v>26642127419.3752</v>
      </c>
      <c r="F80" s="16" t="n">
        <v>26642127419.3752</v>
      </c>
      <c r="H80" s="17" t="n">
        <f aca="false">ROUND(D80-F80,0)</f>
        <v>0</v>
      </c>
    </row>
    <row r="81" customFormat="false" ht="15" hidden="false" customHeight="false" outlineLevel="0" collapsed="false">
      <c r="B81" s="7" t="s">
        <v>15</v>
      </c>
      <c r="D81" s="10" t="n">
        <f aca="false">'Bai duc CK'!G28</f>
        <v>1103178835.14909</v>
      </c>
      <c r="F81" s="16" t="n">
        <v>1103178835.1491</v>
      </c>
      <c r="H81" s="17" t="n">
        <f aca="false">ROUND(D81-F81,0)</f>
        <v>0</v>
      </c>
    </row>
    <row r="82" customFormat="false" ht="15" hidden="false" customHeight="false" outlineLevel="0" collapsed="false">
      <c r="B82" s="18" t="s">
        <v>97</v>
      </c>
      <c r="D82" s="13" t="n">
        <f aca="false">SUM(D75:D81)</f>
        <v>115515512857.719</v>
      </c>
      <c r="F82" s="13" t="n">
        <f aca="false">SUM(F75:F81)</f>
        <v>115515512857.719</v>
      </c>
      <c r="H82" s="19" t="n">
        <f aca="false">ROUND(D82-F82,0)</f>
        <v>0</v>
      </c>
    </row>
    <row r="83" customFormat="false" ht="25.35" hidden="false" customHeight="false" outlineLevel="0" collapsed="false">
      <c r="B83" s="20" t="s">
        <v>98</v>
      </c>
      <c r="H83" s="21" t="n">
        <f aca="false">ROUND(L71-D82,0)</f>
        <v>0</v>
      </c>
    </row>
    <row r="85" customFormat="false" ht="30" hidden="false" customHeight="true" outlineLevel="0" collapsed="false">
      <c r="B85" s="22" t="s">
        <v>99</v>
      </c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</row>
  </sheetData>
  <mergeCells count="11">
    <mergeCell ref="A1:M1"/>
    <mergeCell ref="A2:M2"/>
    <mergeCell ref="A3:M3"/>
    <mergeCell ref="A5:A6"/>
    <mergeCell ref="B5:B6"/>
    <mergeCell ref="C5:C6"/>
    <mergeCell ref="D5:K5"/>
    <mergeCell ref="L5:L6"/>
    <mergeCell ref="M5:M6"/>
    <mergeCell ref="A71:K71"/>
    <mergeCell ref="B85:M8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62"/>
    <col collapsed="false" customWidth="true" hidden="false" outlineLevel="0" max="4" min="4" style="0" width="10"/>
    <col collapsed="false" customWidth="true" hidden="false" outlineLevel="0" max="5" min="5" style="0" width="15"/>
    <col collapsed="false" customWidth="true" hidden="false" outlineLevel="0" max="6" min="6" style="0" width="14"/>
    <col collapsed="false" customWidth="true" hidden="false" outlineLevel="0" max="7" min="7" style="0" width="18"/>
    <col collapsed="false" customWidth="true" hidden="true" outlineLevel="0" max="8" min="8" style="0" width="30"/>
  </cols>
  <sheetData>
    <row r="1" customFormat="false" ht="17.35" hidden="false" customHeight="true" outlineLevel="0" collapsed="false">
      <c r="A1" s="1" t="s">
        <v>100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true" outlineLevel="0" collapsed="false">
      <c r="A3" s="3" t="s">
        <v>101</v>
      </c>
      <c r="B3" s="3"/>
      <c r="C3" s="3"/>
      <c r="D3" s="3"/>
      <c r="E3" s="3"/>
      <c r="F3" s="3"/>
      <c r="G3" s="3"/>
      <c r="H3" s="3"/>
    </row>
    <row r="5" customFormat="false" ht="31.5" hidden="false" customHeight="true" outlineLevel="0" collapsed="false">
      <c r="A5" s="4" t="s">
        <v>3</v>
      </c>
      <c r="B5" s="4" t="s">
        <v>102</v>
      </c>
      <c r="C5" s="4" t="s">
        <v>103</v>
      </c>
      <c r="D5" s="4" t="s">
        <v>5</v>
      </c>
      <c r="E5" s="4" t="s">
        <v>104</v>
      </c>
      <c r="F5" s="4" t="s">
        <v>105</v>
      </c>
      <c r="G5" s="4" t="s">
        <v>7</v>
      </c>
      <c r="H5" s="4" t="s">
        <v>106</v>
      </c>
    </row>
    <row r="6" customFormat="false" ht="15" hidden="false" customHeight="false" outlineLevel="0" collapsed="false">
      <c r="A6" s="23" t="n">
        <v>1</v>
      </c>
      <c r="B6" s="23" t="s">
        <v>107</v>
      </c>
      <c r="C6" s="24" t="s">
        <v>73</v>
      </c>
      <c r="D6" s="23" t="s">
        <v>20</v>
      </c>
      <c r="E6" s="25" t="n">
        <f aca="false">SUM(E7:E10)</f>
        <v>4246.1184</v>
      </c>
      <c r="F6" s="26" t="n">
        <v>25000</v>
      </c>
      <c r="G6" s="27" t="n">
        <f aca="false">E6*F6</f>
        <v>106152960</v>
      </c>
      <c r="H6" s="28" t="s">
        <v>108</v>
      </c>
    </row>
    <row r="7" customFormat="false" ht="15" hidden="false" customHeight="false" outlineLevel="1" collapsed="false">
      <c r="A7" s="7"/>
      <c r="B7" s="29" t="s">
        <v>109</v>
      </c>
      <c r="C7" s="30" t="s">
        <v>110</v>
      </c>
      <c r="D7" s="29"/>
      <c r="E7" s="31" t="n">
        <v>914.592</v>
      </c>
      <c r="F7" s="7"/>
      <c r="G7" s="32" t="n">
        <f aca="false">E7*$F$6</f>
        <v>22864800</v>
      </c>
      <c r="H7" s="7"/>
    </row>
    <row r="8" customFormat="false" ht="15" hidden="false" customHeight="false" outlineLevel="1" collapsed="false">
      <c r="A8" s="7"/>
      <c r="B8" s="29" t="s">
        <v>109</v>
      </c>
      <c r="C8" s="30" t="s">
        <v>111</v>
      </c>
      <c r="D8" s="29"/>
      <c r="E8" s="31" t="n">
        <v>838.3776</v>
      </c>
      <c r="F8" s="7"/>
      <c r="G8" s="32" t="n">
        <f aca="false">E8*$F$6</f>
        <v>20959440</v>
      </c>
      <c r="H8" s="7"/>
    </row>
    <row r="9" customFormat="false" ht="15" hidden="false" customHeight="false" outlineLevel="1" collapsed="false">
      <c r="A9" s="7"/>
      <c r="B9" s="29" t="s">
        <v>109</v>
      </c>
      <c r="C9" s="30" t="s">
        <v>112</v>
      </c>
      <c r="D9" s="29"/>
      <c r="E9" s="31" t="n">
        <v>1613.088</v>
      </c>
      <c r="F9" s="7"/>
      <c r="G9" s="32" t="n">
        <f aca="false">E9*$F$6</f>
        <v>40327200</v>
      </c>
      <c r="H9" s="7"/>
    </row>
    <row r="10" customFormat="false" ht="15" hidden="false" customHeight="false" outlineLevel="1" collapsed="false">
      <c r="A10" s="7"/>
      <c r="B10" s="29" t="s">
        <v>109</v>
      </c>
      <c r="C10" s="30" t="s">
        <v>113</v>
      </c>
      <c r="D10" s="29"/>
      <c r="E10" s="31" t="n">
        <v>880.0608</v>
      </c>
      <c r="F10" s="7"/>
      <c r="G10" s="32" t="n">
        <f aca="false">E10*$F$6</f>
        <v>22001520</v>
      </c>
      <c r="H10" s="7"/>
    </row>
    <row r="11" customFormat="false" ht="15" hidden="false" customHeight="true" outlineLevel="0" collapsed="false">
      <c r="A11" s="12" t="s">
        <v>91</v>
      </c>
      <c r="B11" s="12"/>
      <c r="C11" s="12"/>
      <c r="D11" s="12"/>
      <c r="E11" s="12"/>
      <c r="F11" s="12"/>
      <c r="G11" s="13" t="n">
        <f aca="false">SUMIFS(G6:G10,H6:H10,"?*")</f>
        <v>106152960</v>
      </c>
      <c r="H11" s="14"/>
    </row>
    <row r="12" customFormat="false" ht="30" hidden="false" customHeight="true" outlineLevel="0" collapsed="false">
      <c r="A12" s="22" t="s">
        <v>114</v>
      </c>
      <c r="B12" s="22"/>
      <c r="C12" s="22"/>
      <c r="D12" s="22"/>
      <c r="E12" s="22"/>
      <c r="F12" s="22"/>
      <c r="G12" s="22"/>
      <c r="H12" s="22"/>
    </row>
  </sheetData>
  <mergeCells count="5">
    <mergeCell ref="A1:H1"/>
    <mergeCell ref="A2:H2"/>
    <mergeCell ref="A3:H3"/>
    <mergeCell ref="A11:F11"/>
    <mergeCell ref="A12:H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62"/>
    <col collapsed="false" customWidth="true" hidden="false" outlineLevel="0" max="4" min="4" style="0" width="10"/>
    <col collapsed="false" customWidth="true" hidden="false" outlineLevel="0" max="5" min="5" style="0" width="15"/>
    <col collapsed="false" customWidth="true" hidden="false" outlineLevel="0" max="6" min="6" style="0" width="14"/>
    <col collapsed="false" customWidth="true" hidden="false" outlineLevel="0" max="7" min="7" style="0" width="18"/>
    <col collapsed="false" customWidth="true" hidden="true" outlineLevel="0" max="8" min="8" style="0" width="30"/>
  </cols>
  <sheetData>
    <row r="1" customFormat="false" ht="17.35" hidden="false" customHeight="true" outlineLevel="0" collapsed="false">
      <c r="A1" s="1" t="s">
        <v>115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true" outlineLevel="0" collapsed="false">
      <c r="A3" s="3" t="s">
        <v>116</v>
      </c>
      <c r="B3" s="3"/>
      <c r="C3" s="3"/>
      <c r="D3" s="3"/>
      <c r="E3" s="3"/>
      <c r="F3" s="3"/>
      <c r="G3" s="3"/>
      <c r="H3" s="3"/>
    </row>
    <row r="5" customFormat="false" ht="31.5" hidden="false" customHeight="true" outlineLevel="0" collapsed="false">
      <c r="A5" s="4" t="s">
        <v>3</v>
      </c>
      <c r="B5" s="4" t="s">
        <v>102</v>
      </c>
      <c r="C5" s="4" t="s">
        <v>103</v>
      </c>
      <c r="D5" s="4" t="s">
        <v>5</v>
      </c>
      <c r="E5" s="4" t="s">
        <v>104</v>
      </c>
      <c r="F5" s="4" t="s">
        <v>105</v>
      </c>
      <c r="G5" s="4" t="s">
        <v>7</v>
      </c>
      <c r="H5" s="4" t="s">
        <v>106</v>
      </c>
    </row>
    <row r="6" customFormat="false" ht="15" hidden="false" customHeight="false" outlineLevel="0" collapsed="false">
      <c r="A6" s="23" t="n">
        <v>1</v>
      </c>
      <c r="B6" s="23" t="s">
        <v>117</v>
      </c>
      <c r="C6" s="24" t="s">
        <v>17</v>
      </c>
      <c r="D6" s="23" t="s">
        <v>18</v>
      </c>
      <c r="E6" s="25" t="n">
        <f aca="false">SUM(E7:E7)</f>
        <v>149.65</v>
      </c>
      <c r="F6" s="26" t="n">
        <v>525000</v>
      </c>
      <c r="G6" s="27" t="n">
        <f aca="false">E6*F6</f>
        <v>78566250</v>
      </c>
      <c r="H6" s="28" t="s">
        <v>118</v>
      </c>
    </row>
    <row r="7" customFormat="false" ht="15" hidden="false" customHeight="false" outlineLevel="1" collapsed="false">
      <c r="A7" s="7"/>
      <c r="B7" s="29" t="s">
        <v>119</v>
      </c>
      <c r="C7" s="30" t="s">
        <v>120</v>
      </c>
      <c r="D7" s="29"/>
      <c r="E7" s="31" t="n">
        <v>149.65</v>
      </c>
      <c r="F7" s="7"/>
      <c r="G7" s="32" t="n">
        <f aca="false">E7*$F$6</f>
        <v>78566250</v>
      </c>
      <c r="H7" s="7"/>
    </row>
    <row r="8" customFormat="false" ht="15" hidden="false" customHeight="false" outlineLevel="0" collapsed="false">
      <c r="A8" s="23" t="n">
        <v>2</v>
      </c>
      <c r="B8" s="23" t="s">
        <v>121</v>
      </c>
      <c r="C8" s="24" t="s">
        <v>19</v>
      </c>
      <c r="D8" s="23" t="s">
        <v>20</v>
      </c>
      <c r="E8" s="25" t="n">
        <f aca="false">SUM(E9:E9)</f>
        <v>14187.4913690042</v>
      </c>
      <c r="F8" s="26" t="n">
        <v>721</v>
      </c>
      <c r="G8" s="27" t="n">
        <f aca="false">E8*F8</f>
        <v>10229181.277052</v>
      </c>
      <c r="H8" s="28" t="s">
        <v>122</v>
      </c>
    </row>
    <row r="9" customFormat="false" ht="15" hidden="false" customHeight="false" outlineLevel="1" collapsed="false">
      <c r="A9" s="7"/>
      <c r="B9" s="29" t="s">
        <v>123</v>
      </c>
      <c r="C9" s="30" t="s">
        <v>124</v>
      </c>
      <c r="D9" s="29"/>
      <c r="E9" s="31" t="n">
        <v>14187.4913690042</v>
      </c>
      <c r="F9" s="7"/>
      <c r="G9" s="32" t="n">
        <f aca="false">E9*$F$8</f>
        <v>10229181.277052</v>
      </c>
      <c r="H9" s="7"/>
    </row>
    <row r="10" customFormat="false" ht="15" hidden="false" customHeight="false" outlineLevel="0" collapsed="false">
      <c r="A10" s="23" t="n">
        <v>3</v>
      </c>
      <c r="B10" s="23" t="s">
        <v>125</v>
      </c>
      <c r="C10" s="24" t="s">
        <v>26</v>
      </c>
      <c r="D10" s="23" t="s">
        <v>24</v>
      </c>
      <c r="E10" s="25" t="n">
        <f aca="false">SUM(E11:E14)</f>
        <v>47.8814325</v>
      </c>
      <c r="F10" s="26" t="n">
        <v>254920</v>
      </c>
      <c r="G10" s="27" t="n">
        <f aca="false">E10*F10</f>
        <v>12205934.7729</v>
      </c>
      <c r="H10" s="28" t="s">
        <v>126</v>
      </c>
    </row>
    <row r="11" customFormat="false" ht="15" hidden="false" customHeight="false" outlineLevel="1" collapsed="false">
      <c r="A11" s="7"/>
      <c r="B11" s="29" t="s">
        <v>127</v>
      </c>
      <c r="C11" s="30" t="s">
        <v>128</v>
      </c>
      <c r="D11" s="29"/>
      <c r="E11" s="31" t="n">
        <v>27.2697425</v>
      </c>
      <c r="F11" s="7"/>
      <c r="G11" s="32" t="n">
        <f aca="false">E11*$F$10</f>
        <v>6951602.7581</v>
      </c>
      <c r="H11" s="7"/>
    </row>
    <row r="12" customFormat="false" ht="15" hidden="false" customHeight="false" outlineLevel="1" collapsed="false">
      <c r="A12" s="7"/>
      <c r="B12" s="29" t="s">
        <v>129</v>
      </c>
      <c r="C12" s="30" t="s">
        <v>128</v>
      </c>
      <c r="D12" s="29"/>
      <c r="E12" s="31" t="n">
        <v>17.82382</v>
      </c>
      <c r="F12" s="7"/>
      <c r="G12" s="32" t="n">
        <f aca="false">E12*$F$10</f>
        <v>4543648.1944</v>
      </c>
      <c r="H12" s="7"/>
    </row>
    <row r="13" customFormat="false" ht="15" hidden="false" customHeight="false" outlineLevel="1" collapsed="false">
      <c r="A13" s="7"/>
      <c r="B13" s="29" t="s">
        <v>119</v>
      </c>
      <c r="C13" s="30" t="s">
        <v>120</v>
      </c>
      <c r="D13" s="29"/>
      <c r="E13" s="31" t="n">
        <v>0.92929</v>
      </c>
      <c r="F13" s="7"/>
      <c r="G13" s="32" t="n">
        <f aca="false">E13*$F$10</f>
        <v>236894.6068</v>
      </c>
      <c r="H13" s="7"/>
    </row>
    <row r="14" customFormat="false" ht="15" hidden="false" customHeight="false" outlineLevel="1" collapsed="false">
      <c r="A14" s="7"/>
      <c r="B14" s="29" t="s">
        <v>119</v>
      </c>
      <c r="C14" s="30" t="s">
        <v>130</v>
      </c>
      <c r="D14" s="29"/>
      <c r="E14" s="31" t="n">
        <v>1.85858</v>
      </c>
      <c r="F14" s="7"/>
      <c r="G14" s="32" t="n">
        <f aca="false">E14*$F$10</f>
        <v>473789.2136</v>
      </c>
      <c r="H14" s="7"/>
    </row>
    <row r="15" customFormat="false" ht="15" hidden="false" customHeight="false" outlineLevel="0" collapsed="false">
      <c r="A15" s="23" t="n">
        <v>4</v>
      </c>
      <c r="B15" s="23" t="s">
        <v>131</v>
      </c>
      <c r="C15" s="24" t="s">
        <v>28</v>
      </c>
      <c r="D15" s="23" t="s">
        <v>24</v>
      </c>
      <c r="E15" s="25" t="n">
        <f aca="false">SUM(E16:E33)</f>
        <v>2295.1093328</v>
      </c>
      <c r="F15" s="26" t="n">
        <v>498275</v>
      </c>
      <c r="G15" s="27" t="n">
        <f aca="false">E15*F15</f>
        <v>1143595602.80092</v>
      </c>
      <c r="H15" s="28" t="s">
        <v>132</v>
      </c>
    </row>
    <row r="16" customFormat="false" ht="23.85" hidden="false" customHeight="false" outlineLevel="1" collapsed="false">
      <c r="A16" s="7"/>
      <c r="B16" s="29" t="s">
        <v>133</v>
      </c>
      <c r="C16" s="30" t="s">
        <v>134</v>
      </c>
      <c r="D16" s="29"/>
      <c r="E16" s="31" t="n">
        <v>91.5351855</v>
      </c>
      <c r="F16" s="7"/>
      <c r="G16" s="32" t="n">
        <f aca="false">E16*$F$15</f>
        <v>45609694.5550125</v>
      </c>
      <c r="H16" s="7"/>
    </row>
    <row r="17" customFormat="false" ht="23.85" hidden="false" customHeight="false" outlineLevel="1" collapsed="false">
      <c r="A17" s="7"/>
      <c r="B17" s="29" t="s">
        <v>135</v>
      </c>
      <c r="C17" s="30" t="s">
        <v>136</v>
      </c>
      <c r="D17" s="29"/>
      <c r="E17" s="31" t="n">
        <v>1365.3607044</v>
      </c>
      <c r="F17" s="7"/>
      <c r="G17" s="32" t="n">
        <f aca="false">E17*$F$15</f>
        <v>680325104.98491</v>
      </c>
      <c r="H17" s="7"/>
    </row>
    <row r="18" customFormat="false" ht="23.85" hidden="false" customHeight="false" outlineLevel="1" collapsed="false">
      <c r="A18" s="7"/>
      <c r="B18" s="29" t="s">
        <v>135</v>
      </c>
      <c r="C18" s="30" t="s">
        <v>136</v>
      </c>
      <c r="D18" s="29"/>
      <c r="E18" s="31" t="n">
        <v>21.57052625</v>
      </c>
      <c r="F18" s="7"/>
      <c r="G18" s="32" t="n">
        <f aca="false">E18*$F$15</f>
        <v>10748053.9672188</v>
      </c>
      <c r="H18" s="7"/>
    </row>
    <row r="19" customFormat="false" ht="23.85" hidden="false" customHeight="false" outlineLevel="1" collapsed="false">
      <c r="A19" s="7"/>
      <c r="B19" s="29" t="s">
        <v>135</v>
      </c>
      <c r="C19" s="30" t="s">
        <v>136</v>
      </c>
      <c r="D19" s="29"/>
      <c r="E19" s="31" t="n">
        <v>24.61337445</v>
      </c>
      <c r="F19" s="7"/>
      <c r="G19" s="32" t="n">
        <f aca="false">E19*$F$15</f>
        <v>12264229.1540737</v>
      </c>
      <c r="H19" s="7"/>
    </row>
    <row r="20" customFormat="false" ht="23.85" hidden="false" customHeight="false" outlineLevel="1" collapsed="false">
      <c r="A20" s="7"/>
      <c r="B20" s="29" t="s">
        <v>135</v>
      </c>
      <c r="C20" s="30" t="s">
        <v>137</v>
      </c>
      <c r="D20" s="29"/>
      <c r="E20" s="31" t="n">
        <v>330.9965344</v>
      </c>
      <c r="F20" s="7"/>
      <c r="G20" s="32" t="n">
        <f aca="false">E20*$F$15</f>
        <v>164927298.17816</v>
      </c>
      <c r="H20" s="7"/>
    </row>
    <row r="21" customFormat="false" ht="23.85" hidden="false" customHeight="false" outlineLevel="1" collapsed="false">
      <c r="A21" s="7"/>
      <c r="B21" s="29" t="s">
        <v>135</v>
      </c>
      <c r="C21" s="30" t="s">
        <v>138</v>
      </c>
      <c r="D21" s="29"/>
      <c r="E21" s="31" t="n">
        <v>74.71826075</v>
      </c>
      <c r="F21" s="7"/>
      <c r="G21" s="32" t="n">
        <f aca="false">E21*$F$15</f>
        <v>37230241.3752062</v>
      </c>
      <c r="H21" s="7"/>
    </row>
    <row r="22" customFormat="false" ht="23.85" hidden="false" customHeight="false" outlineLevel="1" collapsed="false">
      <c r="A22" s="7"/>
      <c r="B22" s="29" t="s">
        <v>135</v>
      </c>
      <c r="C22" s="30" t="s">
        <v>138</v>
      </c>
      <c r="D22" s="29"/>
      <c r="E22" s="31" t="n">
        <v>77.4496765</v>
      </c>
      <c r="F22" s="7"/>
      <c r="G22" s="32" t="n">
        <f aca="false">E22*$F$15</f>
        <v>38591237.5580375</v>
      </c>
      <c r="H22" s="7"/>
    </row>
    <row r="23" customFormat="false" ht="23.85" hidden="false" customHeight="false" outlineLevel="1" collapsed="false">
      <c r="A23" s="7"/>
      <c r="B23" s="29" t="s">
        <v>139</v>
      </c>
      <c r="C23" s="30" t="s">
        <v>140</v>
      </c>
      <c r="D23" s="29"/>
      <c r="E23" s="31" t="n">
        <v>4.34629725</v>
      </c>
      <c r="F23" s="7"/>
      <c r="G23" s="32" t="n">
        <f aca="false">E23*$F$15</f>
        <v>2165651.26224375</v>
      </c>
      <c r="H23" s="7"/>
    </row>
    <row r="24" customFormat="false" ht="15" hidden="false" customHeight="false" outlineLevel="1" collapsed="false">
      <c r="A24" s="7"/>
      <c r="B24" s="29" t="s">
        <v>141</v>
      </c>
      <c r="C24" s="30" t="s">
        <v>142</v>
      </c>
      <c r="D24" s="29"/>
      <c r="E24" s="31" t="n">
        <v>44.79831175</v>
      </c>
      <c r="F24" s="7"/>
      <c r="G24" s="32" t="n">
        <f aca="false">E24*$F$15</f>
        <v>22321878.7872313</v>
      </c>
      <c r="H24" s="7"/>
    </row>
    <row r="25" customFormat="false" ht="15" hidden="false" customHeight="false" outlineLevel="1" collapsed="false">
      <c r="A25" s="7"/>
      <c r="B25" s="29" t="s">
        <v>141</v>
      </c>
      <c r="C25" s="30" t="s">
        <v>142</v>
      </c>
      <c r="D25" s="29"/>
      <c r="E25" s="31" t="n">
        <v>52.67629775</v>
      </c>
      <c r="F25" s="7"/>
      <c r="G25" s="32" t="n">
        <f aca="false">E25*$F$15</f>
        <v>26247282.2613813</v>
      </c>
      <c r="H25" s="7"/>
    </row>
    <row r="26" customFormat="false" ht="23.85" hidden="false" customHeight="false" outlineLevel="1" collapsed="false">
      <c r="A26" s="7"/>
      <c r="B26" s="29" t="s">
        <v>143</v>
      </c>
      <c r="C26" s="30" t="s">
        <v>144</v>
      </c>
      <c r="D26" s="29"/>
      <c r="E26" s="31" t="n">
        <v>33.67220325</v>
      </c>
      <c r="F26" s="7"/>
      <c r="G26" s="32" t="n">
        <f aca="false">E26*$F$15</f>
        <v>16778017.0743938</v>
      </c>
      <c r="H26" s="7"/>
    </row>
    <row r="27" customFormat="false" ht="15" hidden="false" customHeight="false" outlineLevel="1" collapsed="false">
      <c r="A27" s="7"/>
      <c r="B27" s="29" t="s">
        <v>145</v>
      </c>
      <c r="C27" s="30" t="s">
        <v>146</v>
      </c>
      <c r="D27" s="29"/>
      <c r="E27" s="31" t="n">
        <v>7.6820675</v>
      </c>
      <c r="F27" s="7"/>
      <c r="G27" s="32" t="n">
        <f aca="false">E27*$F$15</f>
        <v>3827782.1835625</v>
      </c>
      <c r="H27" s="7"/>
    </row>
    <row r="28" customFormat="false" ht="23.85" hidden="false" customHeight="false" outlineLevel="1" collapsed="false">
      <c r="A28" s="7"/>
      <c r="B28" s="29" t="s">
        <v>147</v>
      </c>
      <c r="C28" s="30" t="s">
        <v>148</v>
      </c>
      <c r="D28" s="29"/>
      <c r="E28" s="31" t="n">
        <v>4.00925</v>
      </c>
      <c r="F28" s="7"/>
      <c r="G28" s="32" t="n">
        <f aca="false">E28*$F$15</f>
        <v>1997709.04375</v>
      </c>
      <c r="H28" s="7"/>
    </row>
    <row r="29" customFormat="false" ht="15" hidden="false" customHeight="false" outlineLevel="1" collapsed="false">
      <c r="A29" s="7"/>
      <c r="B29" s="29" t="s">
        <v>149</v>
      </c>
      <c r="C29" s="30" t="s">
        <v>150</v>
      </c>
      <c r="D29" s="29"/>
      <c r="E29" s="31" t="n">
        <v>1.3563648</v>
      </c>
      <c r="F29" s="7"/>
      <c r="G29" s="32" t="n">
        <f aca="false">E29*$F$15</f>
        <v>675842.67072</v>
      </c>
      <c r="H29" s="7"/>
    </row>
    <row r="30" customFormat="false" ht="23.85" hidden="false" customHeight="false" outlineLevel="1" collapsed="false">
      <c r="A30" s="7"/>
      <c r="B30" s="29" t="s">
        <v>133</v>
      </c>
      <c r="C30" s="30" t="s">
        <v>151</v>
      </c>
      <c r="D30" s="29"/>
      <c r="E30" s="31" t="n">
        <v>36.33257025</v>
      </c>
      <c r="F30" s="7"/>
      <c r="G30" s="32" t="n">
        <f aca="false">E30*$F$15</f>
        <v>18103611.4413188</v>
      </c>
      <c r="H30" s="7"/>
    </row>
    <row r="31" customFormat="false" ht="15" hidden="false" customHeight="false" outlineLevel="1" collapsed="false">
      <c r="A31" s="7"/>
      <c r="B31" s="29" t="s">
        <v>152</v>
      </c>
      <c r="C31" s="30" t="s">
        <v>153</v>
      </c>
      <c r="D31" s="29"/>
      <c r="E31" s="31" t="n">
        <v>34.55275</v>
      </c>
      <c r="F31" s="7"/>
      <c r="G31" s="32" t="n">
        <f aca="false">E31*$F$15</f>
        <v>17216771.50625</v>
      </c>
      <c r="H31" s="7"/>
    </row>
    <row r="32" customFormat="false" ht="15" hidden="false" customHeight="false" outlineLevel="1" collapsed="false">
      <c r="A32" s="7"/>
      <c r="B32" s="29" t="s">
        <v>154</v>
      </c>
      <c r="C32" s="30" t="s">
        <v>155</v>
      </c>
      <c r="D32" s="29"/>
      <c r="E32" s="31" t="n">
        <v>57.3841125</v>
      </c>
      <c r="F32" s="7"/>
      <c r="G32" s="32" t="n">
        <f aca="false">E32*$F$15</f>
        <v>28593068.6559375</v>
      </c>
      <c r="H32" s="7"/>
    </row>
    <row r="33" customFormat="false" ht="15" hidden="false" customHeight="false" outlineLevel="1" collapsed="false">
      <c r="A33" s="7"/>
      <c r="B33" s="29" t="s">
        <v>156</v>
      </c>
      <c r="C33" s="30" t="s">
        <v>155</v>
      </c>
      <c r="D33" s="29"/>
      <c r="E33" s="31" t="n">
        <v>32.0548455</v>
      </c>
      <c r="F33" s="7"/>
      <c r="G33" s="32" t="n">
        <f aca="false">E33*$F$15</f>
        <v>15972128.1415125</v>
      </c>
      <c r="H33" s="7"/>
    </row>
    <row r="34" customFormat="false" ht="15" hidden="false" customHeight="false" outlineLevel="0" collapsed="false">
      <c r="A34" s="23" t="n">
        <v>5</v>
      </c>
      <c r="B34" s="23" t="s">
        <v>157</v>
      </c>
      <c r="C34" s="24" t="s">
        <v>30</v>
      </c>
      <c r="D34" s="23" t="s">
        <v>20</v>
      </c>
      <c r="E34" s="25" t="n">
        <f aca="false">SUM(E35:E35)</f>
        <v>8.83584</v>
      </c>
      <c r="F34" s="26" t="n">
        <v>13730</v>
      </c>
      <c r="G34" s="27" t="n">
        <f aca="false">E34*F34</f>
        <v>121316.0832</v>
      </c>
      <c r="H34" s="28" t="s">
        <v>158</v>
      </c>
    </row>
    <row r="35" customFormat="false" ht="15" hidden="false" customHeight="false" outlineLevel="1" collapsed="false">
      <c r="A35" s="7"/>
      <c r="B35" s="29" t="s">
        <v>123</v>
      </c>
      <c r="C35" s="30" t="s">
        <v>159</v>
      </c>
      <c r="D35" s="29"/>
      <c r="E35" s="31" t="n">
        <v>8.83584</v>
      </c>
      <c r="F35" s="7"/>
      <c r="G35" s="32" t="n">
        <f aca="false">E35*$F$34</f>
        <v>121316.0832</v>
      </c>
      <c r="H35" s="7"/>
    </row>
    <row r="36" customFormat="false" ht="15" hidden="false" customHeight="false" outlineLevel="0" collapsed="false">
      <c r="A36" s="23" t="n">
        <v>6</v>
      </c>
      <c r="B36" s="23" t="s">
        <v>160</v>
      </c>
      <c r="C36" s="24" t="s">
        <v>31</v>
      </c>
      <c r="D36" s="23" t="s">
        <v>32</v>
      </c>
      <c r="E36" s="25" t="n">
        <f aca="false">SUM(E37:E37)</f>
        <v>4</v>
      </c>
      <c r="F36" s="26" t="n">
        <v>920000</v>
      </c>
      <c r="G36" s="27" t="n">
        <f aca="false">E36*F36</f>
        <v>3680000</v>
      </c>
      <c r="H36" s="28" t="s">
        <v>161</v>
      </c>
    </row>
    <row r="37" customFormat="false" ht="15" hidden="false" customHeight="false" outlineLevel="1" collapsed="false">
      <c r="A37" s="7"/>
      <c r="B37" s="29" t="s">
        <v>162</v>
      </c>
      <c r="C37" s="30" t="s">
        <v>163</v>
      </c>
      <c r="D37" s="29"/>
      <c r="E37" s="31" t="n">
        <v>4</v>
      </c>
      <c r="F37" s="7"/>
      <c r="G37" s="32" t="n">
        <f aca="false">E37*$F$36</f>
        <v>3680000</v>
      </c>
      <c r="H37" s="7"/>
    </row>
    <row r="38" customFormat="false" ht="15" hidden="false" customHeight="false" outlineLevel="0" collapsed="false">
      <c r="A38" s="23" t="n">
        <v>7</v>
      </c>
      <c r="B38" s="23" t="s">
        <v>164</v>
      </c>
      <c r="C38" s="24" t="s">
        <v>33</v>
      </c>
      <c r="D38" s="23" t="s">
        <v>20</v>
      </c>
      <c r="E38" s="25" t="n">
        <f aca="false">SUM(E39:E40)</f>
        <v>1.208649</v>
      </c>
      <c r="F38" s="26" t="n">
        <v>15000</v>
      </c>
      <c r="G38" s="27" t="n">
        <f aca="false">E38*F38</f>
        <v>18129.735</v>
      </c>
      <c r="H38" s="28" t="s">
        <v>165</v>
      </c>
    </row>
    <row r="39" customFormat="false" ht="23.85" hidden="false" customHeight="false" outlineLevel="1" collapsed="false">
      <c r="A39" s="7"/>
      <c r="B39" s="29" t="s">
        <v>166</v>
      </c>
      <c r="C39" s="30" t="s">
        <v>167</v>
      </c>
      <c r="D39" s="29"/>
      <c r="E39" s="31" t="n">
        <v>0.135954</v>
      </c>
      <c r="F39" s="7"/>
      <c r="G39" s="32" t="n">
        <f aca="false">E39*$F$38</f>
        <v>2039.31</v>
      </c>
      <c r="H39" s="7"/>
    </row>
    <row r="40" customFormat="false" ht="23.85" hidden="false" customHeight="false" outlineLevel="1" collapsed="false">
      <c r="A40" s="7"/>
      <c r="B40" s="29" t="s">
        <v>168</v>
      </c>
      <c r="C40" s="30" t="s">
        <v>169</v>
      </c>
      <c r="D40" s="29"/>
      <c r="E40" s="31" t="n">
        <v>1.072695</v>
      </c>
      <c r="F40" s="7"/>
      <c r="G40" s="32" t="n">
        <f aca="false">E40*$F$38</f>
        <v>16090.425</v>
      </c>
      <c r="H40" s="7"/>
    </row>
    <row r="41" customFormat="false" ht="15" hidden="false" customHeight="false" outlineLevel="0" collapsed="false">
      <c r="A41" s="23" t="n">
        <v>8</v>
      </c>
      <c r="B41" s="23" t="s">
        <v>170</v>
      </c>
      <c r="C41" s="24" t="s">
        <v>34</v>
      </c>
      <c r="D41" s="23" t="s">
        <v>20</v>
      </c>
      <c r="E41" s="25" t="n">
        <f aca="false">SUM(E42:E43)</f>
        <v>227.887758</v>
      </c>
      <c r="F41" s="26" t="n">
        <v>16480</v>
      </c>
      <c r="G41" s="27" t="n">
        <f aca="false">E41*F41</f>
        <v>3755590.25184</v>
      </c>
      <c r="H41" s="28" t="s">
        <v>171</v>
      </c>
    </row>
    <row r="42" customFormat="false" ht="15" hidden="false" customHeight="false" outlineLevel="1" collapsed="false">
      <c r="A42" s="7"/>
      <c r="B42" s="29" t="s">
        <v>172</v>
      </c>
      <c r="C42" s="30" t="s">
        <v>173</v>
      </c>
      <c r="D42" s="29"/>
      <c r="E42" s="31" t="n">
        <v>119.61381</v>
      </c>
      <c r="F42" s="7"/>
      <c r="G42" s="32" t="n">
        <f aca="false">E42*$F$41</f>
        <v>1971235.5888</v>
      </c>
      <c r="H42" s="7"/>
    </row>
    <row r="43" customFormat="false" ht="15" hidden="false" customHeight="false" outlineLevel="1" collapsed="false">
      <c r="A43" s="7"/>
      <c r="B43" s="29" t="s">
        <v>172</v>
      </c>
      <c r="C43" s="30" t="s">
        <v>173</v>
      </c>
      <c r="D43" s="29"/>
      <c r="E43" s="31" t="n">
        <v>108.273948</v>
      </c>
      <c r="F43" s="7"/>
      <c r="G43" s="32" t="n">
        <f aca="false">E43*$F$41</f>
        <v>1784354.66304</v>
      </c>
      <c r="H43" s="7"/>
    </row>
    <row r="44" customFormat="false" ht="15" hidden="false" customHeight="false" outlineLevel="0" collapsed="false">
      <c r="A44" s="23" t="n">
        <v>9</v>
      </c>
      <c r="B44" s="23" t="s">
        <v>174</v>
      </c>
      <c r="C44" s="24" t="s">
        <v>37</v>
      </c>
      <c r="D44" s="23" t="s">
        <v>24</v>
      </c>
      <c r="E44" s="25" t="n">
        <f aca="false">SUM(E45:E60)</f>
        <v>3578.2574496</v>
      </c>
      <c r="F44" s="26" t="n">
        <v>473574</v>
      </c>
      <c r="G44" s="27" t="n">
        <f aca="false">E44*F44</f>
        <v>1694569693.43687</v>
      </c>
      <c r="H44" s="28" t="s">
        <v>175</v>
      </c>
    </row>
    <row r="45" customFormat="false" ht="23.85" hidden="false" customHeight="false" outlineLevel="1" collapsed="false">
      <c r="A45" s="7"/>
      <c r="B45" s="29" t="s">
        <v>133</v>
      </c>
      <c r="C45" s="30" t="s">
        <v>134</v>
      </c>
      <c r="D45" s="29"/>
      <c r="E45" s="31" t="n">
        <v>148.494456</v>
      </c>
      <c r="F45" s="7"/>
      <c r="G45" s="32" t="n">
        <f aca="false">E45*$F$44</f>
        <v>70323113.505744</v>
      </c>
      <c r="H45" s="7"/>
    </row>
    <row r="46" customFormat="false" ht="23.85" hidden="false" customHeight="false" outlineLevel="1" collapsed="false">
      <c r="A46" s="7"/>
      <c r="B46" s="29" t="s">
        <v>135</v>
      </c>
      <c r="C46" s="30" t="s">
        <v>136</v>
      </c>
      <c r="D46" s="29"/>
      <c r="E46" s="31" t="n">
        <v>2214.9787968</v>
      </c>
      <c r="F46" s="7"/>
      <c r="G46" s="32" t="n">
        <f aca="false">E46*$F$44</f>
        <v>1048956368.71576</v>
      </c>
      <c r="H46" s="7"/>
    </row>
    <row r="47" customFormat="false" ht="23.85" hidden="false" customHeight="false" outlineLevel="1" collapsed="false">
      <c r="A47" s="7"/>
      <c r="B47" s="29" t="s">
        <v>135</v>
      </c>
      <c r="C47" s="30" t="s">
        <v>136</v>
      </c>
      <c r="D47" s="29"/>
      <c r="E47" s="31" t="n">
        <v>34.99314</v>
      </c>
      <c r="F47" s="7"/>
      <c r="G47" s="32" t="n">
        <f aca="false">E47*$F$44</f>
        <v>16571841.28236</v>
      </c>
      <c r="H47" s="7"/>
    </row>
    <row r="48" customFormat="false" ht="23.85" hidden="false" customHeight="false" outlineLevel="1" collapsed="false">
      <c r="A48" s="7"/>
      <c r="B48" s="29" t="s">
        <v>135</v>
      </c>
      <c r="C48" s="30" t="s">
        <v>136</v>
      </c>
      <c r="D48" s="29"/>
      <c r="E48" s="31" t="n">
        <v>39.9294504</v>
      </c>
      <c r="F48" s="7"/>
      <c r="G48" s="32" t="n">
        <f aca="false">E48*$F$44</f>
        <v>18909549.5437296</v>
      </c>
      <c r="H48" s="7"/>
    </row>
    <row r="49" customFormat="false" ht="23.85" hidden="false" customHeight="false" outlineLevel="1" collapsed="false">
      <c r="A49" s="7"/>
      <c r="B49" s="29" t="s">
        <v>135</v>
      </c>
      <c r="C49" s="30" t="s">
        <v>137</v>
      </c>
      <c r="D49" s="29"/>
      <c r="E49" s="31" t="n">
        <v>536.9645568</v>
      </c>
      <c r="F49" s="7"/>
      <c r="G49" s="32" t="n">
        <f aca="false">E49*$F$44</f>
        <v>254292453.022003</v>
      </c>
      <c r="H49" s="7"/>
    </row>
    <row r="50" customFormat="false" ht="23.85" hidden="false" customHeight="false" outlineLevel="1" collapsed="false">
      <c r="A50" s="7"/>
      <c r="B50" s="29" t="s">
        <v>135</v>
      </c>
      <c r="C50" s="30" t="s">
        <v>138</v>
      </c>
      <c r="D50" s="29"/>
      <c r="E50" s="31" t="n">
        <v>121.212924</v>
      </c>
      <c r="F50" s="7"/>
      <c r="G50" s="32" t="n">
        <f aca="false">E50*$F$44</f>
        <v>57403289.270376</v>
      </c>
      <c r="H50" s="7"/>
    </row>
    <row r="51" customFormat="false" ht="23.85" hidden="false" customHeight="false" outlineLevel="1" collapsed="false">
      <c r="A51" s="7"/>
      <c r="B51" s="29" t="s">
        <v>135</v>
      </c>
      <c r="C51" s="30" t="s">
        <v>138</v>
      </c>
      <c r="D51" s="29"/>
      <c r="E51" s="31" t="n">
        <v>125.644008</v>
      </c>
      <c r="F51" s="7"/>
      <c r="G51" s="32" t="n">
        <f aca="false">E51*$F$44</f>
        <v>59501735.444592</v>
      </c>
      <c r="H51" s="7"/>
    </row>
    <row r="52" customFormat="false" ht="23.85" hidden="false" customHeight="false" outlineLevel="1" collapsed="false">
      <c r="A52" s="7"/>
      <c r="B52" s="29" t="s">
        <v>139</v>
      </c>
      <c r="C52" s="30" t="s">
        <v>140</v>
      </c>
      <c r="D52" s="29"/>
      <c r="E52" s="31" t="n">
        <v>7.050852</v>
      </c>
      <c r="F52" s="7"/>
      <c r="G52" s="32" t="n">
        <f aca="false">E52*$F$44</f>
        <v>3339100.185048</v>
      </c>
      <c r="H52" s="7"/>
    </row>
    <row r="53" customFormat="false" ht="15" hidden="false" customHeight="false" outlineLevel="1" collapsed="false">
      <c r="A53" s="7"/>
      <c r="B53" s="29" t="s">
        <v>141</v>
      </c>
      <c r="C53" s="30" t="s">
        <v>142</v>
      </c>
      <c r="D53" s="29"/>
      <c r="E53" s="31" t="n">
        <v>72.674796</v>
      </c>
      <c r="F53" s="7"/>
      <c r="G53" s="32" t="n">
        <f aca="false">E53*$F$44</f>
        <v>34416893.840904</v>
      </c>
      <c r="H53" s="7"/>
    </row>
    <row r="54" customFormat="false" ht="15" hidden="false" customHeight="false" outlineLevel="1" collapsed="false">
      <c r="A54" s="7"/>
      <c r="B54" s="29" t="s">
        <v>141</v>
      </c>
      <c r="C54" s="30" t="s">
        <v>142</v>
      </c>
      <c r="D54" s="29"/>
      <c r="E54" s="31" t="n">
        <v>85.454988</v>
      </c>
      <c r="F54" s="7"/>
      <c r="G54" s="32" t="n">
        <f aca="false">E54*$F$44</f>
        <v>40469260.487112</v>
      </c>
      <c r="H54" s="7"/>
    </row>
    <row r="55" customFormat="false" ht="23.85" hidden="false" customHeight="false" outlineLevel="1" collapsed="false">
      <c r="A55" s="7"/>
      <c r="B55" s="29" t="s">
        <v>143</v>
      </c>
      <c r="C55" s="30" t="s">
        <v>144</v>
      </c>
      <c r="D55" s="29"/>
      <c r="E55" s="31" t="n">
        <v>54.625284</v>
      </c>
      <c r="F55" s="7"/>
      <c r="G55" s="32" t="n">
        <f aca="false">E55*$F$44</f>
        <v>25869114.245016</v>
      </c>
      <c r="H55" s="7"/>
    </row>
    <row r="56" customFormat="false" ht="15" hidden="false" customHeight="false" outlineLevel="1" collapsed="false">
      <c r="A56" s="7"/>
      <c r="B56" s="29" t="s">
        <v>145</v>
      </c>
      <c r="C56" s="30" t="s">
        <v>146</v>
      </c>
      <c r="D56" s="29"/>
      <c r="E56" s="31" t="n">
        <v>12.46236</v>
      </c>
      <c r="F56" s="7"/>
      <c r="G56" s="32" t="n">
        <f aca="false">E56*$F$44</f>
        <v>5901849.67464</v>
      </c>
      <c r="H56" s="7"/>
    </row>
    <row r="57" customFormat="false" ht="23.85" hidden="false" customHeight="false" outlineLevel="1" collapsed="false">
      <c r="A57" s="7"/>
      <c r="B57" s="29" t="s">
        <v>147</v>
      </c>
      <c r="C57" s="30" t="s">
        <v>148</v>
      </c>
      <c r="D57" s="29"/>
      <c r="E57" s="31" t="n">
        <v>6.511022</v>
      </c>
      <c r="F57" s="7"/>
      <c r="G57" s="32" t="n">
        <f aca="false">E57*$F$44</f>
        <v>3083450.732628</v>
      </c>
      <c r="H57" s="7"/>
    </row>
    <row r="58" customFormat="false" ht="15" hidden="false" customHeight="false" outlineLevel="1" collapsed="false">
      <c r="A58" s="7"/>
      <c r="B58" s="29" t="s">
        <v>149</v>
      </c>
      <c r="C58" s="30" t="s">
        <v>150</v>
      </c>
      <c r="D58" s="29"/>
      <c r="E58" s="31" t="n">
        <v>2.2060416</v>
      </c>
      <c r="F58" s="7"/>
      <c r="G58" s="32" t="n">
        <f aca="false">E58*$F$44</f>
        <v>1044723.9446784</v>
      </c>
      <c r="H58" s="7"/>
    </row>
    <row r="59" customFormat="false" ht="23.85" hidden="false" customHeight="false" outlineLevel="1" collapsed="false">
      <c r="A59" s="7"/>
      <c r="B59" s="29" t="s">
        <v>133</v>
      </c>
      <c r="C59" s="30" t="s">
        <v>151</v>
      </c>
      <c r="D59" s="29"/>
      <c r="E59" s="31" t="n">
        <v>58.941108</v>
      </c>
      <c r="F59" s="7"/>
      <c r="G59" s="32" t="n">
        <f aca="false">E59*$F$44</f>
        <v>27912976.279992</v>
      </c>
      <c r="H59" s="7"/>
    </row>
    <row r="60" customFormat="false" ht="15" hidden="false" customHeight="false" outlineLevel="1" collapsed="false">
      <c r="A60" s="7"/>
      <c r="B60" s="29" t="s">
        <v>152</v>
      </c>
      <c r="C60" s="30" t="s">
        <v>153</v>
      </c>
      <c r="D60" s="29"/>
      <c r="E60" s="31" t="n">
        <v>56.113666</v>
      </c>
      <c r="F60" s="7"/>
      <c r="G60" s="32" t="n">
        <f aca="false">E60*$F$44</f>
        <v>26573973.262284</v>
      </c>
      <c r="H60" s="7"/>
    </row>
    <row r="61" customFormat="false" ht="15" hidden="false" customHeight="false" outlineLevel="0" collapsed="false">
      <c r="A61" s="23" t="n">
        <v>10</v>
      </c>
      <c r="B61" s="23" t="s">
        <v>174</v>
      </c>
      <c r="C61" s="24" t="s">
        <v>37</v>
      </c>
      <c r="D61" s="23" t="s">
        <v>24</v>
      </c>
      <c r="E61" s="25" t="n">
        <f aca="false">SUM(E62:E63)</f>
        <v>145.466811</v>
      </c>
      <c r="F61" s="26" t="n">
        <v>357665</v>
      </c>
      <c r="G61" s="27" t="n">
        <f aca="false">E61*F61</f>
        <v>52028386.956315</v>
      </c>
      <c r="H61" s="28" t="s">
        <v>175</v>
      </c>
    </row>
    <row r="62" customFormat="false" ht="15" hidden="false" customHeight="false" outlineLevel="1" collapsed="false">
      <c r="A62" s="7"/>
      <c r="B62" s="29" t="s">
        <v>154</v>
      </c>
      <c r="C62" s="30" t="s">
        <v>155</v>
      </c>
      <c r="D62" s="29"/>
      <c r="E62" s="31" t="n">
        <v>93.33163125</v>
      </c>
      <c r="F62" s="7"/>
      <c r="G62" s="32" t="n">
        <f aca="false">E62*$F$61</f>
        <v>33381457.8910312</v>
      </c>
      <c r="H62" s="7"/>
    </row>
    <row r="63" customFormat="false" ht="15" hidden="false" customHeight="false" outlineLevel="1" collapsed="false">
      <c r="A63" s="7"/>
      <c r="B63" s="29" t="s">
        <v>156</v>
      </c>
      <c r="C63" s="30" t="s">
        <v>155</v>
      </c>
      <c r="D63" s="29"/>
      <c r="E63" s="31" t="n">
        <v>52.13517975</v>
      </c>
      <c r="F63" s="7"/>
      <c r="G63" s="32" t="n">
        <f aca="false">E63*$F$61</f>
        <v>18646929.0652837</v>
      </c>
      <c r="H63" s="7"/>
    </row>
    <row r="64" customFormat="false" ht="15" hidden="false" customHeight="false" outlineLevel="0" collapsed="false">
      <c r="A64" s="23" t="n">
        <v>11</v>
      </c>
      <c r="B64" s="23" t="s">
        <v>176</v>
      </c>
      <c r="C64" s="24" t="s">
        <v>38</v>
      </c>
      <c r="D64" s="23" t="s">
        <v>24</v>
      </c>
      <c r="E64" s="25" t="n">
        <f aca="false">SUM(E65:E67)</f>
        <v>2612.7431</v>
      </c>
      <c r="F64" s="26" t="n">
        <v>370419</v>
      </c>
      <c r="G64" s="27" t="n">
        <f aca="false">E64*F64</f>
        <v>967809686.3589</v>
      </c>
      <c r="H64" s="28" t="s">
        <v>177</v>
      </c>
    </row>
    <row r="65" customFormat="false" ht="15" hidden="false" customHeight="false" outlineLevel="1" collapsed="false">
      <c r="A65" s="7"/>
      <c r="B65" s="29" t="s">
        <v>178</v>
      </c>
      <c r="C65" s="30" t="s">
        <v>179</v>
      </c>
      <c r="D65" s="29"/>
      <c r="E65" s="31" t="n">
        <v>2509.331</v>
      </c>
      <c r="F65" s="7"/>
      <c r="G65" s="32" t="n">
        <f aca="false">E65*$F$64</f>
        <v>929503879.689</v>
      </c>
      <c r="H65" s="7"/>
    </row>
    <row r="66" customFormat="false" ht="15" hidden="false" customHeight="false" outlineLevel="1" collapsed="false">
      <c r="A66" s="7"/>
      <c r="B66" s="29" t="s">
        <v>180</v>
      </c>
      <c r="C66" s="30" t="s">
        <v>181</v>
      </c>
      <c r="D66" s="29"/>
      <c r="E66" s="31" t="n">
        <v>1.859</v>
      </c>
      <c r="F66" s="7"/>
      <c r="G66" s="32" t="n">
        <f aca="false">E66*$F$64</f>
        <v>688608.921</v>
      </c>
      <c r="H66" s="7"/>
    </row>
    <row r="67" customFormat="false" ht="15" hidden="false" customHeight="false" outlineLevel="1" collapsed="false">
      <c r="A67" s="7"/>
      <c r="B67" s="29" t="s">
        <v>182</v>
      </c>
      <c r="C67" s="30" t="s">
        <v>183</v>
      </c>
      <c r="D67" s="29"/>
      <c r="E67" s="31" t="n">
        <v>101.5531</v>
      </c>
      <c r="F67" s="7"/>
      <c r="G67" s="32" t="n">
        <f aca="false">E67*$F$64</f>
        <v>37617197.7489</v>
      </c>
      <c r="H67" s="7"/>
    </row>
    <row r="68" customFormat="false" ht="15" hidden="false" customHeight="false" outlineLevel="0" collapsed="false">
      <c r="A68" s="23" t="n">
        <v>12</v>
      </c>
      <c r="B68" s="23" t="s">
        <v>184</v>
      </c>
      <c r="C68" s="24" t="s">
        <v>39</v>
      </c>
      <c r="D68" s="23" t="s">
        <v>24</v>
      </c>
      <c r="E68" s="25" t="n">
        <f aca="false">SUM(E69:E69)</f>
        <v>65.702898305622</v>
      </c>
      <c r="F68" s="26" t="n">
        <v>350419</v>
      </c>
      <c r="G68" s="27" t="n">
        <f aca="false">E68*F68</f>
        <v>23023543.9213578</v>
      </c>
      <c r="H68" s="28" t="s">
        <v>185</v>
      </c>
    </row>
    <row r="69" customFormat="false" ht="15" hidden="false" customHeight="false" outlineLevel="1" collapsed="false">
      <c r="A69" s="7"/>
      <c r="B69" s="29" t="s">
        <v>123</v>
      </c>
      <c r="C69" s="30" t="s">
        <v>124</v>
      </c>
      <c r="D69" s="29"/>
      <c r="E69" s="31" t="n">
        <v>65.702898305622</v>
      </c>
      <c r="F69" s="7"/>
      <c r="G69" s="32" t="n">
        <f aca="false">E69*$F$68</f>
        <v>23023543.9213578</v>
      </c>
      <c r="H69" s="7"/>
    </row>
    <row r="70" customFormat="false" ht="15" hidden="false" customHeight="false" outlineLevel="0" collapsed="false">
      <c r="A70" s="23" t="n">
        <v>13</v>
      </c>
      <c r="B70" s="23" t="s">
        <v>186</v>
      </c>
      <c r="C70" s="24" t="s">
        <v>40</v>
      </c>
      <c r="D70" s="23" t="s">
        <v>24</v>
      </c>
      <c r="E70" s="25" t="n">
        <f aca="false">SUM(E71:E71)</f>
        <v>75.051989797356</v>
      </c>
      <c r="F70" s="26" t="n">
        <v>402507</v>
      </c>
      <c r="G70" s="27" t="n">
        <f aca="false">E70*F70</f>
        <v>30208951.2573644</v>
      </c>
      <c r="H70" s="28" t="s">
        <v>187</v>
      </c>
    </row>
    <row r="71" customFormat="false" ht="15" hidden="false" customHeight="false" outlineLevel="1" collapsed="false">
      <c r="A71" s="7"/>
      <c r="B71" s="29" t="s">
        <v>123</v>
      </c>
      <c r="C71" s="30" t="s">
        <v>124</v>
      </c>
      <c r="D71" s="29"/>
      <c r="E71" s="31" t="n">
        <v>75.051989797356</v>
      </c>
      <c r="F71" s="7"/>
      <c r="G71" s="32" t="n">
        <f aca="false">E71*$F$70</f>
        <v>30208951.2573644</v>
      </c>
      <c r="H71" s="7"/>
    </row>
    <row r="72" customFormat="false" ht="15" hidden="false" customHeight="false" outlineLevel="0" collapsed="false">
      <c r="A72" s="23" t="n">
        <v>14</v>
      </c>
      <c r="B72" s="23" t="s">
        <v>188</v>
      </c>
      <c r="C72" s="24" t="s">
        <v>41</v>
      </c>
      <c r="D72" s="23" t="s">
        <v>24</v>
      </c>
      <c r="E72" s="25" t="n">
        <f aca="false">SUM(E73:E73)</f>
        <v>528.5236</v>
      </c>
      <c r="F72" s="26" t="n">
        <v>379446</v>
      </c>
      <c r="G72" s="27" t="n">
        <f aca="false">E72*F72</f>
        <v>200546165.9256</v>
      </c>
      <c r="H72" s="28" t="s">
        <v>189</v>
      </c>
    </row>
    <row r="73" customFormat="false" ht="15" hidden="false" customHeight="false" outlineLevel="1" collapsed="false">
      <c r="A73" s="7"/>
      <c r="B73" s="29" t="s">
        <v>190</v>
      </c>
      <c r="C73" s="30" t="s">
        <v>191</v>
      </c>
      <c r="D73" s="29"/>
      <c r="E73" s="31" t="n">
        <v>528.5236</v>
      </c>
      <c r="F73" s="7"/>
      <c r="G73" s="32" t="n">
        <f aca="false">E73*$F$72</f>
        <v>200546165.9256</v>
      </c>
      <c r="H73" s="7"/>
    </row>
    <row r="74" customFormat="false" ht="15" hidden="false" customHeight="false" outlineLevel="0" collapsed="false">
      <c r="A74" s="23" t="n">
        <v>15</v>
      </c>
      <c r="B74" s="23" t="s">
        <v>188</v>
      </c>
      <c r="C74" s="24" t="s">
        <v>42</v>
      </c>
      <c r="D74" s="23" t="s">
        <v>24</v>
      </c>
      <c r="E74" s="25" t="n">
        <f aca="false">SUM(E75:E77)</f>
        <v>15301.8159</v>
      </c>
      <c r="F74" s="26" t="n">
        <v>379446</v>
      </c>
      <c r="G74" s="27" t="n">
        <f aca="false">E74*F74</f>
        <v>5806212835.9914</v>
      </c>
      <c r="H74" s="28" t="s">
        <v>192</v>
      </c>
    </row>
    <row r="75" customFormat="false" ht="15" hidden="false" customHeight="false" outlineLevel="1" collapsed="false">
      <c r="A75" s="7"/>
      <c r="B75" s="29" t="s">
        <v>193</v>
      </c>
      <c r="C75" s="30" t="s">
        <v>194</v>
      </c>
      <c r="D75" s="29"/>
      <c r="E75" s="31" t="n">
        <v>2974.9284</v>
      </c>
      <c r="F75" s="7"/>
      <c r="G75" s="32" t="n">
        <f aca="false">E75*$F$74</f>
        <v>1128824681.6664</v>
      </c>
      <c r="H75" s="7"/>
    </row>
    <row r="76" customFormat="false" ht="15" hidden="false" customHeight="false" outlineLevel="1" collapsed="false">
      <c r="A76" s="7"/>
      <c r="B76" s="29" t="s">
        <v>195</v>
      </c>
      <c r="C76" s="30" t="s">
        <v>196</v>
      </c>
      <c r="D76" s="29"/>
      <c r="E76" s="31" t="n">
        <v>2864.7082</v>
      </c>
      <c r="F76" s="7"/>
      <c r="G76" s="32" t="n">
        <f aca="false">E76*$F$74</f>
        <v>1087002067.6572</v>
      </c>
      <c r="H76" s="7"/>
    </row>
    <row r="77" customFormat="false" ht="15" hidden="false" customHeight="false" outlineLevel="1" collapsed="false">
      <c r="A77" s="7"/>
      <c r="B77" s="29" t="s">
        <v>195</v>
      </c>
      <c r="C77" s="30" t="s">
        <v>197</v>
      </c>
      <c r="D77" s="29"/>
      <c r="E77" s="31" t="n">
        <v>9462.1793</v>
      </c>
      <c r="F77" s="7"/>
      <c r="G77" s="32" t="n">
        <f aca="false">E77*$F$74</f>
        <v>3590386086.6678</v>
      </c>
      <c r="H77" s="7"/>
    </row>
    <row r="78" customFormat="false" ht="15" hidden="false" customHeight="false" outlineLevel="0" collapsed="false">
      <c r="A78" s="23" t="n">
        <v>16</v>
      </c>
      <c r="B78" s="23" t="s">
        <v>198</v>
      </c>
      <c r="C78" s="24" t="s">
        <v>43</v>
      </c>
      <c r="D78" s="23" t="s">
        <v>24</v>
      </c>
      <c r="E78" s="25" t="n">
        <f aca="false">SUM(E79:E79)</f>
        <v>56.031315325164</v>
      </c>
      <c r="F78" s="26" t="n">
        <v>290419</v>
      </c>
      <c r="G78" s="27" t="n">
        <f aca="false">E78*F78</f>
        <v>16272558.5654188</v>
      </c>
      <c r="H78" s="28" t="s">
        <v>199</v>
      </c>
    </row>
    <row r="79" customFormat="false" ht="15" hidden="false" customHeight="false" outlineLevel="1" collapsed="false">
      <c r="A79" s="7"/>
      <c r="B79" s="29" t="s">
        <v>123</v>
      </c>
      <c r="C79" s="30" t="s">
        <v>124</v>
      </c>
      <c r="D79" s="29"/>
      <c r="E79" s="31" t="n">
        <v>56.031315325164</v>
      </c>
      <c r="F79" s="7"/>
      <c r="G79" s="32" t="n">
        <f aca="false">E79*$F$78</f>
        <v>16272558.5654188</v>
      </c>
      <c r="H79" s="7"/>
    </row>
    <row r="80" customFormat="false" ht="15" hidden="false" customHeight="false" outlineLevel="0" collapsed="false">
      <c r="A80" s="23" t="n">
        <v>17</v>
      </c>
      <c r="B80" s="23" t="s">
        <v>200</v>
      </c>
      <c r="C80" s="24" t="s">
        <v>45</v>
      </c>
      <c r="D80" s="23" t="s">
        <v>46</v>
      </c>
      <c r="E80" s="25" t="n">
        <f aca="false">SUM(E81:E81)</f>
        <v>134.371453635</v>
      </c>
      <c r="F80" s="26" t="n">
        <v>35000</v>
      </c>
      <c r="G80" s="27" t="n">
        <f aca="false">E80*F80</f>
        <v>4703000.877225</v>
      </c>
      <c r="H80" s="28" t="s">
        <v>201</v>
      </c>
    </row>
    <row r="81" customFormat="false" ht="15" hidden="false" customHeight="false" outlineLevel="1" collapsed="false">
      <c r="A81" s="7"/>
      <c r="B81" s="29" t="s">
        <v>202</v>
      </c>
      <c r="C81" s="30" t="s">
        <v>203</v>
      </c>
      <c r="D81" s="29"/>
      <c r="E81" s="31" t="n">
        <v>134.371453635</v>
      </c>
      <c r="F81" s="7"/>
      <c r="G81" s="32" t="n">
        <f aca="false">E81*$F$80</f>
        <v>4703000.877225</v>
      </c>
      <c r="H81" s="7"/>
    </row>
    <row r="82" customFormat="false" ht="15" hidden="false" customHeight="false" outlineLevel="0" collapsed="false">
      <c r="A82" s="23" t="n">
        <v>18</v>
      </c>
      <c r="B82" s="23" t="s">
        <v>204</v>
      </c>
      <c r="C82" s="24" t="s">
        <v>47</v>
      </c>
      <c r="D82" s="23" t="s">
        <v>46</v>
      </c>
      <c r="E82" s="25" t="n">
        <f aca="false">SUM(E83:E83)</f>
        <v>474.2521893</v>
      </c>
      <c r="F82" s="26" t="n">
        <v>28090</v>
      </c>
      <c r="G82" s="27" t="n">
        <f aca="false">E82*F82</f>
        <v>13321743.997437</v>
      </c>
      <c r="H82" s="28" t="s">
        <v>205</v>
      </c>
    </row>
    <row r="83" customFormat="false" ht="15" hidden="false" customHeight="false" outlineLevel="1" collapsed="false">
      <c r="A83" s="7"/>
      <c r="B83" s="29" t="s">
        <v>202</v>
      </c>
      <c r="C83" s="30" t="s">
        <v>203</v>
      </c>
      <c r="D83" s="29"/>
      <c r="E83" s="31" t="n">
        <v>474.2521893</v>
      </c>
      <c r="F83" s="7"/>
      <c r="G83" s="32" t="n">
        <f aca="false">E83*$F$82</f>
        <v>13321743.997437</v>
      </c>
      <c r="H83" s="7"/>
    </row>
    <row r="84" customFormat="false" ht="15" hidden="false" customHeight="false" outlineLevel="0" collapsed="false">
      <c r="A84" s="23" t="n">
        <v>19</v>
      </c>
      <c r="B84" s="23" t="s">
        <v>206</v>
      </c>
      <c r="C84" s="24" t="s">
        <v>48</v>
      </c>
      <c r="D84" s="23" t="s">
        <v>46</v>
      </c>
      <c r="E84" s="25" t="n">
        <f aca="false">SUM(E85:E85)</f>
        <v>2687.4290727</v>
      </c>
      <c r="F84" s="26" t="n">
        <v>14538</v>
      </c>
      <c r="G84" s="27" t="n">
        <f aca="false">E84*F84</f>
        <v>39069843.8589126</v>
      </c>
      <c r="H84" s="28" t="s">
        <v>207</v>
      </c>
    </row>
    <row r="85" customFormat="false" ht="15" hidden="false" customHeight="false" outlineLevel="1" collapsed="false">
      <c r="A85" s="7"/>
      <c r="B85" s="29" t="s">
        <v>202</v>
      </c>
      <c r="C85" s="30" t="s">
        <v>203</v>
      </c>
      <c r="D85" s="29"/>
      <c r="E85" s="31" t="n">
        <v>2687.4290727</v>
      </c>
      <c r="F85" s="7"/>
      <c r="G85" s="32" t="n">
        <f aca="false">E85*$F$84</f>
        <v>39069843.8589126</v>
      </c>
      <c r="H85" s="7"/>
    </row>
    <row r="86" customFormat="false" ht="15" hidden="false" customHeight="false" outlineLevel="0" collapsed="false">
      <c r="A86" s="23" t="n">
        <v>20</v>
      </c>
      <c r="B86" s="23" t="s">
        <v>208</v>
      </c>
      <c r="C86" s="24" t="s">
        <v>49</v>
      </c>
      <c r="D86" s="23" t="s">
        <v>20</v>
      </c>
      <c r="E86" s="25" t="n">
        <f aca="false">SUM(E87:E97)</f>
        <v>213.57216464</v>
      </c>
      <c r="F86" s="26" t="n">
        <v>21000</v>
      </c>
      <c r="G86" s="27" t="n">
        <f aca="false">E86*F86</f>
        <v>4485015.45744</v>
      </c>
      <c r="H86" s="28" t="s">
        <v>209</v>
      </c>
    </row>
    <row r="87" customFormat="false" ht="15" hidden="false" customHeight="false" outlineLevel="1" collapsed="false">
      <c r="A87" s="7"/>
      <c r="B87" s="29" t="s">
        <v>210</v>
      </c>
      <c r="C87" s="30" t="s">
        <v>211</v>
      </c>
      <c r="D87" s="29"/>
      <c r="E87" s="31" t="n">
        <v>100.1155168</v>
      </c>
      <c r="F87" s="7"/>
      <c r="G87" s="32" t="n">
        <f aca="false">E87*$F$86</f>
        <v>2102425.8528</v>
      </c>
      <c r="H87" s="7"/>
    </row>
    <row r="88" customFormat="false" ht="15" hidden="false" customHeight="false" outlineLevel="1" collapsed="false">
      <c r="A88" s="7"/>
      <c r="B88" s="29" t="s">
        <v>210</v>
      </c>
      <c r="C88" s="30" t="s">
        <v>212</v>
      </c>
      <c r="D88" s="29"/>
      <c r="E88" s="31" t="n">
        <v>20.02310336</v>
      </c>
      <c r="F88" s="7"/>
      <c r="G88" s="32" t="n">
        <f aca="false">E88*$F$86</f>
        <v>420485.17056</v>
      </c>
      <c r="H88" s="7"/>
    </row>
    <row r="89" customFormat="false" ht="15" hidden="false" customHeight="false" outlineLevel="1" collapsed="false">
      <c r="A89" s="7"/>
      <c r="B89" s="29" t="s">
        <v>210</v>
      </c>
      <c r="C89" s="30" t="s">
        <v>211</v>
      </c>
      <c r="D89" s="29"/>
      <c r="E89" s="31" t="n">
        <v>2.121872</v>
      </c>
      <c r="F89" s="7"/>
      <c r="G89" s="32" t="n">
        <f aca="false">E89*$F$86</f>
        <v>44559.312</v>
      </c>
      <c r="H89" s="7"/>
    </row>
    <row r="90" customFormat="false" ht="15" hidden="false" customHeight="false" outlineLevel="1" collapsed="false">
      <c r="A90" s="7"/>
      <c r="B90" s="29" t="s">
        <v>210</v>
      </c>
      <c r="C90" s="30" t="s">
        <v>212</v>
      </c>
      <c r="D90" s="29"/>
      <c r="E90" s="31" t="n">
        <v>0.4243744</v>
      </c>
      <c r="F90" s="7"/>
      <c r="G90" s="32" t="n">
        <f aca="false">E90*$F$86</f>
        <v>8911.8624</v>
      </c>
      <c r="H90" s="7"/>
    </row>
    <row r="91" customFormat="false" ht="15" hidden="false" customHeight="false" outlineLevel="1" collapsed="false">
      <c r="A91" s="7"/>
      <c r="B91" s="29" t="s">
        <v>210</v>
      </c>
      <c r="C91" s="30" t="s">
        <v>211</v>
      </c>
      <c r="D91" s="29"/>
      <c r="E91" s="31" t="n">
        <v>2.4214304</v>
      </c>
      <c r="F91" s="7"/>
      <c r="G91" s="32" t="n">
        <f aca="false">E91*$F$86</f>
        <v>50850.0384</v>
      </c>
      <c r="H91" s="7"/>
    </row>
    <row r="92" customFormat="false" ht="15" hidden="false" customHeight="false" outlineLevel="1" collapsed="false">
      <c r="A92" s="7"/>
      <c r="B92" s="29" t="s">
        <v>210</v>
      </c>
      <c r="C92" s="30" t="s">
        <v>212</v>
      </c>
      <c r="D92" s="29"/>
      <c r="E92" s="31" t="n">
        <v>0.48428608</v>
      </c>
      <c r="F92" s="7"/>
      <c r="G92" s="32" t="n">
        <f aca="false">E92*$F$86</f>
        <v>10170.00768</v>
      </c>
      <c r="H92" s="7"/>
    </row>
    <row r="93" customFormat="false" ht="15" hidden="false" customHeight="false" outlineLevel="1" collapsed="false">
      <c r="A93" s="7"/>
      <c r="B93" s="29" t="s">
        <v>213</v>
      </c>
      <c r="C93" s="30" t="s">
        <v>214</v>
      </c>
      <c r="D93" s="29"/>
      <c r="E93" s="31" t="n">
        <v>1.4186336</v>
      </c>
      <c r="F93" s="7"/>
      <c r="G93" s="32" t="n">
        <f aca="false">E93*$F$86</f>
        <v>29791.3056</v>
      </c>
      <c r="H93" s="7"/>
    </row>
    <row r="94" customFormat="false" ht="15" hidden="false" customHeight="false" outlineLevel="1" collapsed="false">
      <c r="A94" s="7"/>
      <c r="B94" s="29" t="s">
        <v>215</v>
      </c>
      <c r="C94" s="30" t="s">
        <v>216</v>
      </c>
      <c r="D94" s="29"/>
      <c r="E94" s="31" t="n">
        <v>0.7639678</v>
      </c>
      <c r="F94" s="7"/>
      <c r="G94" s="32" t="n">
        <f aca="false">E94*$F$86</f>
        <v>16043.3238</v>
      </c>
      <c r="H94" s="7"/>
    </row>
    <row r="95" customFormat="false" ht="15" hidden="false" customHeight="false" outlineLevel="1" collapsed="false">
      <c r="A95" s="7"/>
      <c r="B95" s="29" t="s">
        <v>215</v>
      </c>
      <c r="C95" s="30" t="s">
        <v>217</v>
      </c>
      <c r="D95" s="29"/>
      <c r="E95" s="31" t="n">
        <v>61.3461001</v>
      </c>
      <c r="F95" s="7"/>
      <c r="G95" s="32" t="n">
        <f aca="false">E95*$F$86</f>
        <v>1288268.1021</v>
      </c>
      <c r="H95" s="7"/>
    </row>
    <row r="96" customFormat="false" ht="15" hidden="false" customHeight="false" outlineLevel="1" collapsed="false">
      <c r="A96" s="7"/>
      <c r="B96" s="29" t="s">
        <v>215</v>
      </c>
      <c r="C96" s="30" t="s">
        <v>218</v>
      </c>
      <c r="D96" s="29"/>
      <c r="E96" s="31" t="n">
        <v>17.4878561</v>
      </c>
      <c r="F96" s="7"/>
      <c r="G96" s="32" t="n">
        <f aca="false">E96*$F$86</f>
        <v>367244.9781</v>
      </c>
      <c r="H96" s="7"/>
    </row>
    <row r="97" customFormat="false" ht="15" hidden="false" customHeight="false" outlineLevel="1" collapsed="false">
      <c r="A97" s="7"/>
      <c r="B97" s="29" t="s">
        <v>219</v>
      </c>
      <c r="C97" s="30" t="s">
        <v>220</v>
      </c>
      <c r="D97" s="29"/>
      <c r="E97" s="31" t="n">
        <v>6.965024</v>
      </c>
      <c r="F97" s="7"/>
      <c r="G97" s="32" t="n">
        <f aca="false">E97*$F$86</f>
        <v>146265.504</v>
      </c>
      <c r="H97" s="7"/>
    </row>
    <row r="98" customFormat="false" ht="15" hidden="false" customHeight="false" outlineLevel="0" collapsed="false">
      <c r="A98" s="23" t="n">
        <v>21</v>
      </c>
      <c r="B98" s="23" t="s">
        <v>221</v>
      </c>
      <c r="C98" s="24" t="s">
        <v>50</v>
      </c>
      <c r="D98" s="23" t="s">
        <v>20</v>
      </c>
      <c r="E98" s="25" t="n">
        <f aca="false">SUM(E99:E99)</f>
        <v>24.8</v>
      </c>
      <c r="F98" s="26" t="n">
        <v>21000</v>
      </c>
      <c r="G98" s="27" t="n">
        <f aca="false">E98*F98</f>
        <v>520800</v>
      </c>
      <c r="H98" s="28" t="s">
        <v>222</v>
      </c>
    </row>
    <row r="99" customFormat="false" ht="15" hidden="false" customHeight="false" outlineLevel="1" collapsed="false">
      <c r="A99" s="7"/>
      <c r="B99" s="29" t="s">
        <v>223</v>
      </c>
      <c r="C99" s="30" t="s">
        <v>224</v>
      </c>
      <c r="D99" s="29"/>
      <c r="E99" s="31" t="n">
        <v>24.8</v>
      </c>
      <c r="F99" s="7"/>
      <c r="G99" s="32" t="n">
        <f aca="false">E99*$F$98</f>
        <v>520800</v>
      </c>
      <c r="H99" s="7"/>
    </row>
    <row r="100" customFormat="false" ht="15" hidden="false" customHeight="false" outlineLevel="0" collapsed="false">
      <c r="A100" s="23" t="n">
        <v>22</v>
      </c>
      <c r="B100" s="23" t="s">
        <v>225</v>
      </c>
      <c r="C100" s="24" t="s">
        <v>51</v>
      </c>
      <c r="D100" s="23" t="s">
        <v>52</v>
      </c>
      <c r="E100" s="25" t="n">
        <f aca="false">SUM(E101:E102)</f>
        <v>1530.9075</v>
      </c>
      <c r="F100" s="26" t="n">
        <v>150000</v>
      </c>
      <c r="G100" s="27" t="n">
        <f aca="false">E100*F100</f>
        <v>229636125</v>
      </c>
      <c r="H100" s="28" t="s">
        <v>226</v>
      </c>
    </row>
    <row r="101" customFormat="false" ht="15" hidden="false" customHeight="false" outlineLevel="1" collapsed="false">
      <c r="A101" s="7"/>
      <c r="B101" s="29" t="s">
        <v>127</v>
      </c>
      <c r="C101" s="30" t="s">
        <v>128</v>
      </c>
      <c r="D101" s="29"/>
      <c r="E101" s="31" t="n">
        <v>925.7963</v>
      </c>
      <c r="F101" s="7"/>
      <c r="G101" s="32" t="n">
        <f aca="false">E101*$F$100</f>
        <v>138869445</v>
      </c>
      <c r="H101" s="7"/>
    </row>
    <row r="102" customFormat="false" ht="15" hidden="false" customHeight="false" outlineLevel="1" collapsed="false">
      <c r="A102" s="7"/>
      <c r="B102" s="29" t="s">
        <v>129</v>
      </c>
      <c r="C102" s="30" t="s">
        <v>128</v>
      </c>
      <c r="D102" s="29"/>
      <c r="E102" s="31" t="n">
        <v>605.1112</v>
      </c>
      <c r="F102" s="7"/>
      <c r="G102" s="32" t="n">
        <f aca="false">E102*$F$100</f>
        <v>90766680</v>
      </c>
      <c r="H102" s="7"/>
    </row>
    <row r="103" customFormat="false" ht="15" hidden="false" customHeight="false" outlineLevel="0" collapsed="false">
      <c r="A103" s="23" t="n">
        <v>23</v>
      </c>
      <c r="B103" s="23" t="s">
        <v>227</v>
      </c>
      <c r="C103" s="24" t="s">
        <v>53</v>
      </c>
      <c r="D103" s="23" t="s">
        <v>24</v>
      </c>
      <c r="E103" s="25" t="n">
        <f aca="false">SUM(E104:E104)</f>
        <v>0.0104</v>
      </c>
      <c r="F103" s="26" t="n">
        <v>2954545</v>
      </c>
      <c r="G103" s="27" t="n">
        <f aca="false">E103*F103</f>
        <v>30727.268</v>
      </c>
      <c r="H103" s="28" t="s">
        <v>228</v>
      </c>
    </row>
    <row r="104" customFormat="false" ht="15" hidden="false" customHeight="false" outlineLevel="1" collapsed="false">
      <c r="A104" s="7"/>
      <c r="B104" s="29" t="s">
        <v>229</v>
      </c>
      <c r="C104" s="30" t="s">
        <v>230</v>
      </c>
      <c r="D104" s="29"/>
      <c r="E104" s="31" t="n">
        <v>0.0104</v>
      </c>
      <c r="F104" s="7"/>
      <c r="G104" s="32" t="n">
        <f aca="false">E104*$F$103</f>
        <v>30727.268</v>
      </c>
      <c r="H104" s="7"/>
    </row>
    <row r="105" customFormat="false" ht="15" hidden="false" customHeight="false" outlineLevel="0" collapsed="false">
      <c r="A105" s="23" t="n">
        <v>24</v>
      </c>
      <c r="B105" s="23" t="s">
        <v>231</v>
      </c>
      <c r="C105" s="24" t="s">
        <v>54</v>
      </c>
      <c r="D105" s="23" t="s">
        <v>20</v>
      </c>
      <c r="E105" s="25" t="n">
        <f aca="false">SUM(E106:E106)</f>
        <v>20.05032</v>
      </c>
      <c r="F105" s="26" t="n">
        <v>24400</v>
      </c>
      <c r="G105" s="27" t="n">
        <f aca="false">E105*F105</f>
        <v>489227.808</v>
      </c>
      <c r="H105" s="28" t="s">
        <v>232</v>
      </c>
    </row>
    <row r="106" customFormat="false" ht="15" hidden="false" customHeight="false" outlineLevel="1" collapsed="false">
      <c r="A106" s="7"/>
      <c r="B106" s="29" t="s">
        <v>233</v>
      </c>
      <c r="C106" s="30" t="s">
        <v>234</v>
      </c>
      <c r="D106" s="29"/>
      <c r="E106" s="31" t="n">
        <v>20.05032</v>
      </c>
      <c r="F106" s="7"/>
      <c r="G106" s="32" t="n">
        <f aca="false">E106*$F$105</f>
        <v>489227.808</v>
      </c>
      <c r="H106" s="7"/>
    </row>
    <row r="107" customFormat="false" ht="15" hidden="false" customHeight="false" outlineLevel="0" collapsed="false">
      <c r="A107" s="23" t="n">
        <v>25</v>
      </c>
      <c r="B107" s="23" t="s">
        <v>235</v>
      </c>
      <c r="C107" s="24" t="s">
        <v>55</v>
      </c>
      <c r="D107" s="23" t="s">
        <v>32</v>
      </c>
      <c r="E107" s="25" t="n">
        <f aca="false">SUM(E108:E108)</f>
        <v>4</v>
      </c>
      <c r="F107" s="26" t="n">
        <v>830000</v>
      </c>
      <c r="G107" s="27" t="n">
        <f aca="false">E107*F107</f>
        <v>3320000</v>
      </c>
      <c r="H107" s="28" t="s">
        <v>236</v>
      </c>
    </row>
    <row r="108" customFormat="false" ht="15" hidden="false" customHeight="false" outlineLevel="1" collapsed="false">
      <c r="A108" s="7"/>
      <c r="B108" s="29" t="s">
        <v>123</v>
      </c>
      <c r="C108" s="30" t="s">
        <v>237</v>
      </c>
      <c r="D108" s="29"/>
      <c r="E108" s="31" t="n">
        <v>4</v>
      </c>
      <c r="F108" s="7"/>
      <c r="G108" s="32" t="n">
        <f aca="false">E108*$F$107</f>
        <v>3320000</v>
      </c>
      <c r="H108" s="7"/>
    </row>
    <row r="109" customFormat="false" ht="22.35" hidden="false" customHeight="false" outlineLevel="0" collapsed="false">
      <c r="A109" s="23" t="n">
        <v>26</v>
      </c>
      <c r="B109" s="23" t="s">
        <v>123</v>
      </c>
      <c r="C109" s="24" t="s">
        <v>56</v>
      </c>
      <c r="D109" s="23" t="s">
        <v>57</v>
      </c>
      <c r="E109" s="33" t="n">
        <v>26</v>
      </c>
      <c r="F109" s="26" t="n">
        <v>1265000</v>
      </c>
      <c r="G109" s="27" t="n">
        <f aca="false">E109*F109</f>
        <v>32890000</v>
      </c>
      <c r="H109" s="28" t="s">
        <v>238</v>
      </c>
    </row>
    <row r="110" customFormat="false" ht="15" hidden="false" customHeight="false" outlineLevel="0" collapsed="false">
      <c r="A110" s="23" t="n">
        <v>27</v>
      </c>
      <c r="B110" s="23" t="s">
        <v>239</v>
      </c>
      <c r="C110" s="24" t="s">
        <v>58</v>
      </c>
      <c r="D110" s="23" t="s">
        <v>20</v>
      </c>
      <c r="E110" s="25" t="n">
        <f aca="false">SUM(E111:E112)</f>
        <v>0.408384</v>
      </c>
      <c r="F110" s="26" t="n">
        <v>118000</v>
      </c>
      <c r="G110" s="27" t="n">
        <f aca="false">E110*F110</f>
        <v>48189.312</v>
      </c>
      <c r="H110" s="28" t="s">
        <v>240</v>
      </c>
    </row>
    <row r="111" customFormat="false" ht="23.85" hidden="false" customHeight="false" outlineLevel="1" collapsed="false">
      <c r="A111" s="7"/>
      <c r="B111" s="29" t="s">
        <v>166</v>
      </c>
      <c r="C111" s="30" t="s">
        <v>167</v>
      </c>
      <c r="D111" s="29"/>
      <c r="E111" s="31" t="n">
        <v>0.045318</v>
      </c>
      <c r="F111" s="7"/>
      <c r="G111" s="32" t="n">
        <f aca="false">E111*$F$110</f>
        <v>5347.524</v>
      </c>
      <c r="H111" s="7"/>
    </row>
    <row r="112" customFormat="false" ht="23.85" hidden="false" customHeight="false" outlineLevel="1" collapsed="false">
      <c r="A112" s="7"/>
      <c r="B112" s="29" t="s">
        <v>168</v>
      </c>
      <c r="C112" s="30" t="s">
        <v>169</v>
      </c>
      <c r="D112" s="29"/>
      <c r="E112" s="31" t="n">
        <v>0.363066</v>
      </c>
      <c r="F112" s="7"/>
      <c r="G112" s="32" t="n">
        <f aca="false">E112*$F$110</f>
        <v>42841.788</v>
      </c>
      <c r="H112" s="7"/>
    </row>
    <row r="113" customFormat="false" ht="15" hidden="false" customHeight="false" outlineLevel="0" collapsed="false">
      <c r="A113" s="23" t="n">
        <v>28</v>
      </c>
      <c r="B113" s="23" t="s">
        <v>241</v>
      </c>
      <c r="C113" s="24" t="s">
        <v>59</v>
      </c>
      <c r="D113" s="23" t="s">
        <v>20</v>
      </c>
      <c r="E113" s="25" t="n">
        <f aca="false">SUM(E114:E114)</f>
        <v>14580.7254759654</v>
      </c>
      <c r="F113" s="26" t="n">
        <v>20842</v>
      </c>
      <c r="G113" s="27" t="n">
        <f aca="false">E113*F113</f>
        <v>303891480.370071</v>
      </c>
      <c r="H113" s="28" t="s">
        <v>242</v>
      </c>
    </row>
    <row r="114" customFormat="false" ht="15" hidden="false" customHeight="false" outlineLevel="1" collapsed="false">
      <c r="A114" s="7"/>
      <c r="B114" s="29" t="s">
        <v>123</v>
      </c>
      <c r="C114" s="30" t="s">
        <v>124</v>
      </c>
      <c r="D114" s="29"/>
      <c r="E114" s="31" t="n">
        <v>14580.7254759654</v>
      </c>
      <c r="F114" s="7"/>
      <c r="G114" s="32" t="n">
        <f aca="false">E114*$F$113</f>
        <v>303891480.370071</v>
      </c>
      <c r="H114" s="7"/>
    </row>
    <row r="115" customFormat="false" ht="15" hidden="false" customHeight="false" outlineLevel="0" collapsed="false">
      <c r="A115" s="23" t="n">
        <v>29</v>
      </c>
      <c r="B115" s="23" t="s">
        <v>243</v>
      </c>
      <c r="C115" s="24" t="s">
        <v>60</v>
      </c>
      <c r="D115" s="23" t="s">
        <v>20</v>
      </c>
      <c r="E115" s="25" t="n">
        <f aca="false">SUM(E116:E116)</f>
        <v>1878.3535</v>
      </c>
      <c r="F115" s="26" t="n">
        <v>15942</v>
      </c>
      <c r="G115" s="27" t="n">
        <f aca="false">E115*F115</f>
        <v>29944711.497</v>
      </c>
      <c r="H115" s="28" t="s">
        <v>244</v>
      </c>
    </row>
    <row r="116" customFormat="false" ht="23.85" hidden="false" customHeight="false" outlineLevel="1" collapsed="false">
      <c r="A116" s="7"/>
      <c r="B116" s="29" t="s">
        <v>245</v>
      </c>
      <c r="C116" s="30" t="s">
        <v>246</v>
      </c>
      <c r="D116" s="29"/>
      <c r="E116" s="31" t="n">
        <v>1878.3535</v>
      </c>
      <c r="F116" s="7"/>
      <c r="G116" s="32" t="n">
        <f aca="false">E116*$F$115</f>
        <v>29944711.497</v>
      </c>
      <c r="H116" s="7"/>
    </row>
    <row r="117" customFormat="false" ht="15" hidden="false" customHeight="false" outlineLevel="0" collapsed="false">
      <c r="A117" s="23" t="n">
        <v>30</v>
      </c>
      <c r="B117" s="23" t="s">
        <v>247</v>
      </c>
      <c r="C117" s="24" t="s">
        <v>61</v>
      </c>
      <c r="D117" s="23" t="s">
        <v>52</v>
      </c>
      <c r="E117" s="25" t="n">
        <f aca="false">SUM(E118:E121)</f>
        <v>1981.342</v>
      </c>
      <c r="F117" s="26" t="n">
        <v>14000</v>
      </c>
      <c r="G117" s="27" t="n">
        <f aca="false">E117*F117</f>
        <v>27738788</v>
      </c>
      <c r="H117" s="28" t="s">
        <v>248</v>
      </c>
    </row>
    <row r="118" customFormat="false" ht="15" hidden="false" customHeight="false" outlineLevel="1" collapsed="false">
      <c r="A118" s="7"/>
      <c r="B118" s="29" t="s">
        <v>249</v>
      </c>
      <c r="C118" s="30" t="s">
        <v>250</v>
      </c>
      <c r="D118" s="29"/>
      <c r="E118" s="31" t="n">
        <v>328.449</v>
      </c>
      <c r="F118" s="7"/>
      <c r="G118" s="32" t="n">
        <f aca="false">E118*$F$117</f>
        <v>4598286</v>
      </c>
      <c r="H118" s="7"/>
    </row>
    <row r="119" customFormat="false" ht="15" hidden="false" customHeight="false" outlineLevel="1" collapsed="false">
      <c r="A119" s="7"/>
      <c r="B119" s="29" t="s">
        <v>251</v>
      </c>
      <c r="C119" s="30" t="s">
        <v>252</v>
      </c>
      <c r="D119" s="29"/>
      <c r="E119" s="31" t="n">
        <v>18.546</v>
      </c>
      <c r="F119" s="7"/>
      <c r="G119" s="32" t="n">
        <f aca="false">E119*$F$117</f>
        <v>259644</v>
      </c>
      <c r="H119" s="7"/>
    </row>
    <row r="120" customFormat="false" ht="15" hidden="false" customHeight="false" outlineLevel="1" collapsed="false">
      <c r="A120" s="7"/>
      <c r="B120" s="29" t="s">
        <v>251</v>
      </c>
      <c r="C120" s="30" t="s">
        <v>250</v>
      </c>
      <c r="D120" s="29"/>
      <c r="E120" s="31" t="n">
        <v>975.315</v>
      </c>
      <c r="F120" s="7"/>
      <c r="G120" s="32" t="n">
        <f aca="false">E120*$F$117</f>
        <v>13654410</v>
      </c>
      <c r="H120" s="7"/>
    </row>
    <row r="121" customFormat="false" ht="15" hidden="false" customHeight="false" outlineLevel="1" collapsed="false">
      <c r="A121" s="7"/>
      <c r="B121" s="29" t="s">
        <v>251</v>
      </c>
      <c r="C121" s="30" t="s">
        <v>250</v>
      </c>
      <c r="D121" s="29"/>
      <c r="E121" s="31" t="n">
        <v>659.032</v>
      </c>
      <c r="F121" s="7"/>
      <c r="G121" s="32" t="n">
        <f aca="false">E121*$F$117</f>
        <v>9226448</v>
      </c>
      <c r="H121" s="7"/>
    </row>
    <row r="122" customFormat="false" ht="15" hidden="false" customHeight="false" outlineLevel="0" collapsed="false">
      <c r="A122" s="23" t="n">
        <v>31</v>
      </c>
      <c r="B122" s="23" t="s">
        <v>253</v>
      </c>
      <c r="C122" s="24" t="s">
        <v>62</v>
      </c>
      <c r="D122" s="23" t="s">
        <v>46</v>
      </c>
      <c r="E122" s="25" t="n">
        <f aca="false">SUM(E123:E142)</f>
        <v>689288.4321975</v>
      </c>
      <c r="F122" s="26" t="n">
        <v>10</v>
      </c>
      <c r="G122" s="27" t="n">
        <f aca="false">E122*F122</f>
        <v>6892884.321975</v>
      </c>
      <c r="H122" s="28" t="s">
        <v>254</v>
      </c>
    </row>
    <row r="123" customFormat="false" ht="23.85" hidden="false" customHeight="false" outlineLevel="1" collapsed="false">
      <c r="A123" s="7"/>
      <c r="B123" s="29" t="s">
        <v>133</v>
      </c>
      <c r="C123" s="30" t="s">
        <v>134</v>
      </c>
      <c r="D123" s="29"/>
      <c r="E123" s="31" t="n">
        <v>34393.9365</v>
      </c>
      <c r="F123" s="7"/>
      <c r="G123" s="32" t="n">
        <f aca="false">E123*$F$122</f>
        <v>343939.365</v>
      </c>
      <c r="H123" s="7"/>
    </row>
    <row r="124" customFormat="false" ht="23.85" hidden="false" customHeight="false" outlineLevel="1" collapsed="false">
      <c r="A124" s="7"/>
      <c r="B124" s="29" t="s">
        <v>135</v>
      </c>
      <c r="C124" s="30" t="s">
        <v>136</v>
      </c>
      <c r="D124" s="29"/>
      <c r="E124" s="31" t="n">
        <v>405292.259988</v>
      </c>
      <c r="F124" s="7"/>
      <c r="G124" s="32" t="n">
        <f aca="false">E124*$F$122</f>
        <v>4052922.59988</v>
      </c>
      <c r="H124" s="7"/>
    </row>
    <row r="125" customFormat="false" ht="23.85" hidden="false" customHeight="false" outlineLevel="1" collapsed="false">
      <c r="A125" s="7"/>
      <c r="B125" s="29" t="s">
        <v>135</v>
      </c>
      <c r="C125" s="30" t="s">
        <v>136</v>
      </c>
      <c r="D125" s="29"/>
      <c r="E125" s="31" t="n">
        <v>6402.9727125</v>
      </c>
      <c r="F125" s="7"/>
      <c r="G125" s="32" t="n">
        <f aca="false">E125*$F$122</f>
        <v>64029.727125</v>
      </c>
      <c r="H125" s="7"/>
    </row>
    <row r="126" customFormat="false" ht="23.85" hidden="false" customHeight="false" outlineLevel="1" collapsed="false">
      <c r="A126" s="7"/>
      <c r="B126" s="29" t="s">
        <v>135</v>
      </c>
      <c r="C126" s="30" t="s">
        <v>136</v>
      </c>
      <c r="D126" s="29"/>
      <c r="E126" s="31" t="n">
        <v>7306.2086265</v>
      </c>
      <c r="F126" s="7"/>
      <c r="G126" s="32" t="n">
        <f aca="false">E126*$F$122</f>
        <v>73062.086265</v>
      </c>
      <c r="H126" s="7"/>
    </row>
    <row r="127" customFormat="false" ht="23.85" hidden="false" customHeight="false" outlineLevel="1" collapsed="false">
      <c r="A127" s="7"/>
      <c r="B127" s="29" t="s">
        <v>135</v>
      </c>
      <c r="C127" s="30" t="s">
        <v>137</v>
      </c>
      <c r="D127" s="29"/>
      <c r="E127" s="31" t="n">
        <v>98252.669088</v>
      </c>
      <c r="F127" s="7"/>
      <c r="G127" s="32" t="n">
        <f aca="false">E127*$F$122</f>
        <v>982526.69088</v>
      </c>
      <c r="H127" s="7"/>
    </row>
    <row r="128" customFormat="false" ht="23.85" hidden="false" customHeight="false" outlineLevel="1" collapsed="false">
      <c r="A128" s="7"/>
      <c r="B128" s="29" t="s">
        <v>135</v>
      </c>
      <c r="C128" s="30" t="s">
        <v>138</v>
      </c>
      <c r="D128" s="29"/>
      <c r="E128" s="31" t="n">
        <v>22179.2912775</v>
      </c>
      <c r="F128" s="7"/>
      <c r="G128" s="32" t="n">
        <f aca="false">E128*$F$122</f>
        <v>221792.912775</v>
      </c>
      <c r="H128" s="7"/>
    </row>
    <row r="129" customFormat="false" ht="23.85" hidden="false" customHeight="false" outlineLevel="1" collapsed="false">
      <c r="A129" s="7"/>
      <c r="B129" s="29" t="s">
        <v>135</v>
      </c>
      <c r="C129" s="30" t="s">
        <v>138</v>
      </c>
      <c r="D129" s="29"/>
      <c r="E129" s="31" t="n">
        <v>22990.081905</v>
      </c>
      <c r="F129" s="7"/>
      <c r="G129" s="32" t="n">
        <f aca="false">E129*$F$122</f>
        <v>229900.81905</v>
      </c>
      <c r="H129" s="7"/>
    </row>
    <row r="130" customFormat="false" ht="23.85" hidden="false" customHeight="false" outlineLevel="1" collapsed="false">
      <c r="A130" s="7"/>
      <c r="B130" s="29" t="s">
        <v>139</v>
      </c>
      <c r="C130" s="30" t="s">
        <v>140</v>
      </c>
      <c r="D130" s="29"/>
      <c r="E130" s="31" t="n">
        <v>1633.10175</v>
      </c>
      <c r="F130" s="7"/>
      <c r="G130" s="32" t="n">
        <f aca="false">E130*$F$122</f>
        <v>16331.0175</v>
      </c>
      <c r="H130" s="7"/>
    </row>
    <row r="131" customFormat="false" ht="15" hidden="false" customHeight="false" outlineLevel="1" collapsed="false">
      <c r="A131" s="7"/>
      <c r="B131" s="29" t="s">
        <v>141</v>
      </c>
      <c r="C131" s="30" t="s">
        <v>142</v>
      </c>
      <c r="D131" s="29"/>
      <c r="E131" s="31" t="n">
        <v>16832.76525</v>
      </c>
      <c r="F131" s="7"/>
      <c r="G131" s="32" t="n">
        <f aca="false">E131*$F$122</f>
        <v>168327.6525</v>
      </c>
      <c r="H131" s="7"/>
    </row>
    <row r="132" customFormat="false" ht="15" hidden="false" customHeight="false" outlineLevel="1" collapsed="false">
      <c r="A132" s="7"/>
      <c r="B132" s="29" t="s">
        <v>141</v>
      </c>
      <c r="C132" s="30" t="s">
        <v>142</v>
      </c>
      <c r="D132" s="29"/>
      <c r="E132" s="31" t="n">
        <v>19792.88325</v>
      </c>
      <c r="F132" s="7"/>
      <c r="G132" s="32" t="n">
        <f aca="false">E132*$F$122</f>
        <v>197928.8325</v>
      </c>
      <c r="H132" s="7"/>
    </row>
    <row r="133" customFormat="false" ht="23.85" hidden="false" customHeight="false" outlineLevel="1" collapsed="false">
      <c r="A133" s="7"/>
      <c r="B133" s="29" t="s">
        <v>143</v>
      </c>
      <c r="C133" s="30" t="s">
        <v>144</v>
      </c>
      <c r="D133" s="29"/>
      <c r="E133" s="31" t="n">
        <v>12652.17975</v>
      </c>
      <c r="F133" s="7"/>
      <c r="G133" s="32" t="n">
        <f aca="false">E133*$F$122</f>
        <v>126521.7975</v>
      </c>
      <c r="H133" s="7"/>
    </row>
    <row r="134" customFormat="false" ht="15" hidden="false" customHeight="false" outlineLevel="1" collapsed="false">
      <c r="A134" s="7"/>
      <c r="B134" s="29" t="s">
        <v>145</v>
      </c>
      <c r="C134" s="30" t="s">
        <v>146</v>
      </c>
      <c r="D134" s="29"/>
      <c r="E134" s="31" t="n">
        <v>2886.5025</v>
      </c>
      <c r="F134" s="7"/>
      <c r="G134" s="32" t="n">
        <f aca="false">E134*$F$122</f>
        <v>28865.025</v>
      </c>
      <c r="H134" s="7"/>
    </row>
    <row r="135" customFormat="false" ht="15" hidden="false" customHeight="false" outlineLevel="1" collapsed="false">
      <c r="A135" s="7"/>
      <c r="B135" s="29" t="s">
        <v>127</v>
      </c>
      <c r="C135" s="30" t="s">
        <v>128</v>
      </c>
      <c r="D135" s="29"/>
      <c r="E135" s="31" t="n">
        <v>6301.83125</v>
      </c>
      <c r="F135" s="7"/>
      <c r="G135" s="32" t="n">
        <f aca="false">E135*$F$122</f>
        <v>63018.3125</v>
      </c>
      <c r="H135" s="7"/>
    </row>
    <row r="136" customFormat="false" ht="23.85" hidden="false" customHeight="false" outlineLevel="1" collapsed="false">
      <c r="A136" s="7"/>
      <c r="B136" s="29" t="s">
        <v>147</v>
      </c>
      <c r="C136" s="30" t="s">
        <v>148</v>
      </c>
      <c r="D136" s="29"/>
      <c r="E136" s="31" t="n">
        <v>1403.2375</v>
      </c>
      <c r="F136" s="7"/>
      <c r="G136" s="32" t="n">
        <f aca="false">E136*$F$122</f>
        <v>14032.375</v>
      </c>
      <c r="H136" s="7"/>
    </row>
    <row r="137" customFormat="false" ht="15" hidden="false" customHeight="false" outlineLevel="1" collapsed="false">
      <c r="A137" s="7"/>
      <c r="B137" s="29" t="s">
        <v>129</v>
      </c>
      <c r="C137" s="30" t="s">
        <v>128</v>
      </c>
      <c r="D137" s="29"/>
      <c r="E137" s="31" t="n">
        <v>4118.95</v>
      </c>
      <c r="F137" s="7"/>
      <c r="G137" s="32" t="n">
        <f aca="false">E137*$F$122</f>
        <v>41189.5</v>
      </c>
      <c r="H137" s="7"/>
    </row>
    <row r="138" customFormat="false" ht="15" hidden="false" customHeight="false" outlineLevel="1" collapsed="false">
      <c r="A138" s="7"/>
      <c r="B138" s="29" t="s">
        <v>149</v>
      </c>
      <c r="C138" s="30" t="s">
        <v>150</v>
      </c>
      <c r="D138" s="29"/>
      <c r="E138" s="31" t="n">
        <v>491.0976</v>
      </c>
      <c r="F138" s="7"/>
      <c r="G138" s="32" t="n">
        <f aca="false">E138*$F$122</f>
        <v>4910.976</v>
      </c>
      <c r="H138" s="7"/>
    </row>
    <row r="139" customFormat="false" ht="15" hidden="false" customHeight="false" outlineLevel="1" collapsed="false">
      <c r="A139" s="7"/>
      <c r="B139" s="29" t="s">
        <v>119</v>
      </c>
      <c r="C139" s="30" t="s">
        <v>120</v>
      </c>
      <c r="D139" s="29"/>
      <c r="E139" s="31" t="n">
        <v>204.4</v>
      </c>
      <c r="F139" s="7"/>
      <c r="G139" s="32" t="n">
        <f aca="false">E139*$F$122</f>
        <v>2044</v>
      </c>
      <c r="H139" s="7"/>
    </row>
    <row r="140" customFormat="false" ht="23.85" hidden="false" customHeight="false" outlineLevel="1" collapsed="false">
      <c r="A140" s="7"/>
      <c r="B140" s="29" t="s">
        <v>133</v>
      </c>
      <c r="C140" s="30" t="s">
        <v>151</v>
      </c>
      <c r="D140" s="29"/>
      <c r="E140" s="31" t="n">
        <v>13651.80075</v>
      </c>
      <c r="F140" s="7"/>
      <c r="G140" s="32" t="n">
        <f aca="false">E140*$F$122</f>
        <v>136518.0075</v>
      </c>
      <c r="H140" s="7"/>
    </row>
    <row r="141" customFormat="false" ht="15" hidden="false" customHeight="false" outlineLevel="1" collapsed="false">
      <c r="A141" s="7"/>
      <c r="B141" s="29" t="s">
        <v>119</v>
      </c>
      <c r="C141" s="30" t="s">
        <v>130</v>
      </c>
      <c r="D141" s="29"/>
      <c r="E141" s="31" t="n">
        <v>408.8</v>
      </c>
      <c r="F141" s="7"/>
      <c r="G141" s="32" t="n">
        <f aca="false">E141*$F$122</f>
        <v>4088</v>
      </c>
      <c r="H141" s="7"/>
    </row>
    <row r="142" customFormat="false" ht="15" hidden="false" customHeight="false" outlineLevel="1" collapsed="false">
      <c r="A142" s="7"/>
      <c r="B142" s="29" t="s">
        <v>152</v>
      </c>
      <c r="C142" s="30" t="s">
        <v>153</v>
      </c>
      <c r="D142" s="29"/>
      <c r="E142" s="31" t="n">
        <v>12093.4625</v>
      </c>
      <c r="F142" s="7"/>
      <c r="G142" s="32" t="n">
        <f aca="false">E142*$F$122</f>
        <v>120934.625</v>
      </c>
      <c r="H142" s="7"/>
    </row>
    <row r="143" customFormat="false" ht="15" hidden="false" customHeight="false" outlineLevel="0" collapsed="false">
      <c r="A143" s="23" t="n">
        <v>32</v>
      </c>
      <c r="B143" s="23" t="s">
        <v>253</v>
      </c>
      <c r="C143" s="24" t="s">
        <v>62</v>
      </c>
      <c r="D143" s="23" t="s">
        <v>46</v>
      </c>
      <c r="E143" s="25" t="n">
        <f aca="false">SUM(E144:E145)</f>
        <v>32383.071</v>
      </c>
      <c r="F143" s="26" t="n">
        <v>10</v>
      </c>
      <c r="G143" s="27" t="n">
        <f aca="false">E143*F143</f>
        <v>323830.71</v>
      </c>
      <c r="H143" s="28" t="s">
        <v>254</v>
      </c>
    </row>
    <row r="144" customFormat="false" ht="15" hidden="false" customHeight="false" outlineLevel="1" collapsed="false">
      <c r="A144" s="7"/>
      <c r="B144" s="29" t="s">
        <v>154</v>
      </c>
      <c r="C144" s="30" t="s">
        <v>155</v>
      </c>
      <c r="D144" s="29"/>
      <c r="E144" s="31" t="n">
        <v>20777.00625</v>
      </c>
      <c r="F144" s="7"/>
      <c r="G144" s="32" t="n">
        <f aca="false">E144*$F$143</f>
        <v>207770.0625</v>
      </c>
      <c r="H144" s="7"/>
    </row>
    <row r="145" customFormat="false" ht="15" hidden="false" customHeight="false" outlineLevel="1" collapsed="false">
      <c r="A145" s="7"/>
      <c r="B145" s="29" t="s">
        <v>156</v>
      </c>
      <c r="C145" s="30" t="s">
        <v>155</v>
      </c>
      <c r="D145" s="29"/>
      <c r="E145" s="31" t="n">
        <v>11606.06475</v>
      </c>
      <c r="F145" s="7"/>
      <c r="G145" s="32" t="n">
        <f aca="false">E145*$F$143</f>
        <v>116060.6475</v>
      </c>
      <c r="H145" s="7"/>
    </row>
    <row r="146" customFormat="false" ht="15" hidden="false" customHeight="false" outlineLevel="0" collapsed="false">
      <c r="A146" s="23" t="n">
        <v>33</v>
      </c>
      <c r="B146" s="23" t="s">
        <v>255</v>
      </c>
      <c r="C146" s="24" t="s">
        <v>65</v>
      </c>
      <c r="D146" s="23" t="s">
        <v>18</v>
      </c>
      <c r="E146" s="25" t="n">
        <f aca="false">SUM(E147:E147)</f>
        <v>339.84</v>
      </c>
      <c r="F146" s="26" t="n">
        <v>3670000</v>
      </c>
      <c r="G146" s="27" t="n">
        <f aca="false">E146*F146</f>
        <v>1247212800</v>
      </c>
      <c r="H146" s="28" t="s">
        <v>256</v>
      </c>
    </row>
    <row r="147" customFormat="false" ht="15" hidden="false" customHeight="false" outlineLevel="1" collapsed="false">
      <c r="A147" s="7"/>
      <c r="B147" s="29" t="s">
        <v>123</v>
      </c>
      <c r="C147" s="30" t="s">
        <v>257</v>
      </c>
      <c r="D147" s="29"/>
      <c r="E147" s="31" t="n">
        <v>339.84</v>
      </c>
      <c r="F147" s="7"/>
      <c r="G147" s="32" t="n">
        <f aca="false">E147*$F$146</f>
        <v>1247212800</v>
      </c>
      <c r="H147" s="7"/>
    </row>
    <row r="148" customFormat="false" ht="15" hidden="false" customHeight="false" outlineLevel="0" collapsed="false">
      <c r="A148" s="23" t="n">
        <v>34</v>
      </c>
      <c r="B148" s="23" t="s">
        <v>258</v>
      </c>
      <c r="C148" s="24" t="s">
        <v>66</v>
      </c>
      <c r="D148" s="23" t="s">
        <v>18</v>
      </c>
      <c r="E148" s="25" t="n">
        <f aca="false">SUM(E149:E149)</f>
        <v>35.2086</v>
      </c>
      <c r="F148" s="26" t="n">
        <v>64910</v>
      </c>
      <c r="G148" s="27" t="n">
        <f aca="false">E148*F148</f>
        <v>2285390.226</v>
      </c>
      <c r="H148" s="28" t="s">
        <v>259</v>
      </c>
    </row>
    <row r="149" customFormat="false" ht="23.85" hidden="false" customHeight="false" outlineLevel="1" collapsed="false">
      <c r="A149" s="7"/>
      <c r="B149" s="29" t="s">
        <v>166</v>
      </c>
      <c r="C149" s="30" t="s">
        <v>167</v>
      </c>
      <c r="D149" s="29"/>
      <c r="E149" s="31" t="n">
        <v>35.2086</v>
      </c>
      <c r="F149" s="7"/>
      <c r="G149" s="32" t="n">
        <f aca="false">E149*$F$148</f>
        <v>2285390.226</v>
      </c>
      <c r="H149" s="7"/>
    </row>
    <row r="150" customFormat="false" ht="15" hidden="false" customHeight="false" outlineLevel="0" collapsed="false">
      <c r="A150" s="23" t="n">
        <v>35</v>
      </c>
      <c r="B150" s="23" t="s">
        <v>260</v>
      </c>
      <c r="C150" s="24" t="s">
        <v>67</v>
      </c>
      <c r="D150" s="23" t="s">
        <v>18</v>
      </c>
      <c r="E150" s="25" t="n">
        <f aca="false">SUM(E151:E151)</f>
        <v>166.6803</v>
      </c>
      <c r="F150" s="26" t="n">
        <v>592400</v>
      </c>
      <c r="G150" s="27" t="n">
        <f aca="false">E150*F150</f>
        <v>98741409.72</v>
      </c>
      <c r="H150" s="28" t="s">
        <v>261</v>
      </c>
    </row>
    <row r="151" customFormat="false" ht="23.85" hidden="false" customHeight="false" outlineLevel="1" collapsed="false">
      <c r="A151" s="7"/>
      <c r="B151" s="29" t="s">
        <v>168</v>
      </c>
      <c r="C151" s="30" t="s">
        <v>169</v>
      </c>
      <c r="D151" s="29"/>
      <c r="E151" s="31" t="n">
        <v>166.6803</v>
      </c>
      <c r="F151" s="7"/>
      <c r="G151" s="32" t="n">
        <f aca="false">E151*$F$150</f>
        <v>98741409.72</v>
      </c>
      <c r="H151" s="7"/>
    </row>
    <row r="152" customFormat="false" ht="15" hidden="false" customHeight="false" outlineLevel="0" collapsed="false">
      <c r="A152" s="23" t="n">
        <v>36</v>
      </c>
      <c r="B152" s="23" t="s">
        <v>235</v>
      </c>
      <c r="C152" s="24" t="s">
        <v>71</v>
      </c>
      <c r="D152" s="23" t="s">
        <v>20</v>
      </c>
      <c r="E152" s="25" t="n">
        <f aca="false">SUM(E153:E158)</f>
        <v>6629.59836</v>
      </c>
      <c r="F152" s="26" t="n">
        <v>60000</v>
      </c>
      <c r="G152" s="27" t="n">
        <f aca="false">E152*F152</f>
        <v>397775901.6</v>
      </c>
      <c r="H152" s="28" t="s">
        <v>262</v>
      </c>
    </row>
    <row r="153" customFormat="false" ht="23.85" hidden="false" customHeight="false" outlineLevel="1" collapsed="false">
      <c r="A153" s="7"/>
      <c r="B153" s="29" t="s">
        <v>135</v>
      </c>
      <c r="C153" s="30" t="s">
        <v>136</v>
      </c>
      <c r="D153" s="29"/>
      <c r="E153" s="31" t="n">
        <v>4777.405248</v>
      </c>
      <c r="F153" s="7"/>
      <c r="G153" s="32" t="n">
        <f aca="false">E153*$F$152</f>
        <v>286644314.88</v>
      </c>
      <c r="H153" s="7"/>
    </row>
    <row r="154" customFormat="false" ht="23.85" hidden="false" customHeight="false" outlineLevel="1" collapsed="false">
      <c r="A154" s="7"/>
      <c r="B154" s="29" t="s">
        <v>135</v>
      </c>
      <c r="C154" s="30" t="s">
        <v>136</v>
      </c>
      <c r="D154" s="29"/>
      <c r="E154" s="31" t="n">
        <v>75.4754</v>
      </c>
      <c r="F154" s="7"/>
      <c r="G154" s="32" t="n">
        <f aca="false">E154*$F$152</f>
        <v>4528524</v>
      </c>
      <c r="H154" s="7"/>
    </row>
    <row r="155" customFormat="false" ht="23.85" hidden="false" customHeight="false" outlineLevel="1" collapsed="false">
      <c r="A155" s="7"/>
      <c r="B155" s="29" t="s">
        <v>135</v>
      </c>
      <c r="C155" s="30" t="s">
        <v>136</v>
      </c>
      <c r="D155" s="29"/>
      <c r="E155" s="31" t="n">
        <v>86.122344</v>
      </c>
      <c r="F155" s="7"/>
      <c r="G155" s="32" t="n">
        <f aca="false">E155*$F$152</f>
        <v>5167340.64</v>
      </c>
      <c r="H155" s="7"/>
    </row>
    <row r="156" customFormat="false" ht="23.85" hidden="false" customHeight="false" outlineLevel="1" collapsed="false">
      <c r="A156" s="7"/>
      <c r="B156" s="29" t="s">
        <v>135</v>
      </c>
      <c r="C156" s="30" t="s">
        <v>137</v>
      </c>
      <c r="D156" s="29"/>
      <c r="E156" s="31" t="n">
        <v>1158.158848</v>
      </c>
      <c r="F156" s="7"/>
      <c r="G156" s="32" t="n">
        <f aca="false">E156*$F$152</f>
        <v>69489530.88</v>
      </c>
      <c r="H156" s="7"/>
    </row>
    <row r="157" customFormat="false" ht="23.85" hidden="false" customHeight="false" outlineLevel="1" collapsed="false">
      <c r="A157" s="7"/>
      <c r="B157" s="29" t="s">
        <v>135</v>
      </c>
      <c r="C157" s="30" t="s">
        <v>138</v>
      </c>
      <c r="D157" s="29"/>
      <c r="E157" s="31" t="n">
        <v>261.43964</v>
      </c>
      <c r="F157" s="7"/>
      <c r="G157" s="32" t="n">
        <f aca="false">E157*$F$152</f>
        <v>15686378.4</v>
      </c>
      <c r="H157" s="7"/>
    </row>
    <row r="158" customFormat="false" ht="23.85" hidden="false" customHeight="false" outlineLevel="1" collapsed="false">
      <c r="A158" s="7"/>
      <c r="B158" s="29" t="s">
        <v>135</v>
      </c>
      <c r="C158" s="30" t="s">
        <v>138</v>
      </c>
      <c r="D158" s="29"/>
      <c r="E158" s="31" t="n">
        <v>270.99688</v>
      </c>
      <c r="F158" s="7"/>
      <c r="G158" s="32" t="n">
        <f aca="false">E158*$F$152</f>
        <v>16259812.8</v>
      </c>
      <c r="H158" s="7"/>
    </row>
    <row r="159" customFormat="false" ht="15" hidden="false" customHeight="false" outlineLevel="0" collapsed="false">
      <c r="A159" s="23" t="n">
        <v>37</v>
      </c>
      <c r="B159" s="23" t="s">
        <v>263</v>
      </c>
      <c r="C159" s="24" t="s">
        <v>72</v>
      </c>
      <c r="D159" s="23" t="s">
        <v>20</v>
      </c>
      <c r="E159" s="25" t="n">
        <f aca="false">SUM(E160:E161)</f>
        <v>156.94734</v>
      </c>
      <c r="F159" s="26" t="n">
        <v>23000</v>
      </c>
      <c r="G159" s="27" t="n">
        <f aca="false">E159*F159</f>
        <v>3609788.82</v>
      </c>
      <c r="H159" s="28" t="s">
        <v>264</v>
      </c>
    </row>
    <row r="160" customFormat="false" ht="23.85" hidden="false" customHeight="false" outlineLevel="1" collapsed="false">
      <c r="A160" s="7"/>
      <c r="B160" s="29" t="s">
        <v>147</v>
      </c>
      <c r="C160" s="30" t="s">
        <v>148</v>
      </c>
      <c r="D160" s="29"/>
      <c r="E160" s="31" t="n">
        <v>16.3176475</v>
      </c>
      <c r="F160" s="7"/>
      <c r="G160" s="32" t="n">
        <f aca="false">E160*$F$159</f>
        <v>375305.8925</v>
      </c>
      <c r="H160" s="7"/>
    </row>
    <row r="161" customFormat="false" ht="15" hidden="false" customHeight="false" outlineLevel="1" collapsed="false">
      <c r="A161" s="7"/>
      <c r="B161" s="29" t="s">
        <v>152</v>
      </c>
      <c r="C161" s="30" t="s">
        <v>153</v>
      </c>
      <c r="D161" s="29"/>
      <c r="E161" s="31" t="n">
        <v>140.6296925</v>
      </c>
      <c r="F161" s="7"/>
      <c r="G161" s="32" t="n">
        <f aca="false">E161*$F$159</f>
        <v>3234482.9275</v>
      </c>
      <c r="H161" s="7"/>
    </row>
    <row r="162" customFormat="false" ht="15" hidden="false" customHeight="false" outlineLevel="0" collapsed="false">
      <c r="A162" s="23" t="n">
        <v>38</v>
      </c>
      <c r="B162" s="23" t="s">
        <v>107</v>
      </c>
      <c r="C162" s="24" t="s">
        <v>73</v>
      </c>
      <c r="D162" s="23" t="s">
        <v>20</v>
      </c>
      <c r="E162" s="25" t="n">
        <f aca="false">SUM(E163:E189)</f>
        <v>521.58421596</v>
      </c>
      <c r="F162" s="26" t="n">
        <v>25000</v>
      </c>
      <c r="G162" s="27" t="n">
        <f aca="false">E162*F162</f>
        <v>13039605.399</v>
      </c>
      <c r="H162" s="28" t="s">
        <v>108</v>
      </c>
    </row>
    <row r="163" customFormat="false" ht="15" hidden="false" customHeight="false" outlineLevel="1" collapsed="false">
      <c r="A163" s="7"/>
      <c r="B163" s="29" t="s">
        <v>265</v>
      </c>
      <c r="C163" s="30" t="s">
        <v>266</v>
      </c>
      <c r="D163" s="29"/>
      <c r="E163" s="31" t="n">
        <v>8.001996</v>
      </c>
      <c r="F163" s="7"/>
      <c r="G163" s="32" t="n">
        <f aca="false">E163*$F$162</f>
        <v>200049.9</v>
      </c>
      <c r="H163" s="7"/>
    </row>
    <row r="164" customFormat="false" ht="15" hidden="false" customHeight="false" outlineLevel="1" collapsed="false">
      <c r="A164" s="7"/>
      <c r="B164" s="29" t="s">
        <v>267</v>
      </c>
      <c r="C164" s="30" t="s">
        <v>268</v>
      </c>
      <c r="D164" s="29"/>
      <c r="E164" s="31" t="n">
        <v>280.50954</v>
      </c>
      <c r="F164" s="7"/>
      <c r="G164" s="32" t="n">
        <f aca="false">E164*$F$162</f>
        <v>7012738.5</v>
      </c>
      <c r="H164" s="7"/>
    </row>
    <row r="165" customFormat="false" ht="15" hidden="false" customHeight="false" outlineLevel="1" collapsed="false">
      <c r="A165" s="7"/>
      <c r="B165" s="29" t="s">
        <v>210</v>
      </c>
      <c r="C165" s="30" t="s">
        <v>211</v>
      </c>
      <c r="D165" s="29"/>
      <c r="E165" s="31" t="n">
        <v>51.9996542</v>
      </c>
      <c r="F165" s="7"/>
      <c r="G165" s="32" t="n">
        <f aca="false">E165*$F$162</f>
        <v>1299991.355</v>
      </c>
      <c r="H165" s="7"/>
    </row>
    <row r="166" customFormat="false" ht="15" hidden="false" customHeight="false" outlineLevel="1" collapsed="false">
      <c r="A166" s="7"/>
      <c r="B166" s="29" t="s">
        <v>210</v>
      </c>
      <c r="C166" s="30" t="s">
        <v>212</v>
      </c>
      <c r="D166" s="29"/>
      <c r="E166" s="31" t="n">
        <v>10.39993084</v>
      </c>
      <c r="F166" s="7"/>
      <c r="G166" s="32" t="n">
        <f aca="false">E166*$F$162</f>
        <v>259998.271</v>
      </c>
      <c r="H166" s="7"/>
    </row>
    <row r="167" customFormat="false" ht="15" hidden="false" customHeight="false" outlineLevel="1" collapsed="false">
      <c r="A167" s="7"/>
      <c r="B167" s="29" t="s">
        <v>267</v>
      </c>
      <c r="C167" s="30" t="s">
        <v>268</v>
      </c>
      <c r="D167" s="29"/>
      <c r="E167" s="31" t="n">
        <v>5.15679</v>
      </c>
      <c r="F167" s="7"/>
      <c r="G167" s="32" t="n">
        <f aca="false">E167*$F$162</f>
        <v>128919.75</v>
      </c>
      <c r="H167" s="7"/>
    </row>
    <row r="168" customFormat="false" ht="15" hidden="false" customHeight="false" outlineLevel="1" collapsed="false">
      <c r="A168" s="7"/>
      <c r="B168" s="29" t="s">
        <v>210</v>
      </c>
      <c r="C168" s="30" t="s">
        <v>211</v>
      </c>
      <c r="D168" s="29"/>
      <c r="E168" s="31" t="n">
        <v>1.102093</v>
      </c>
      <c r="F168" s="7"/>
      <c r="G168" s="32" t="n">
        <f aca="false">E168*$F$162</f>
        <v>27552.325</v>
      </c>
      <c r="H168" s="7"/>
    </row>
    <row r="169" customFormat="false" ht="15" hidden="false" customHeight="false" outlineLevel="1" collapsed="false">
      <c r="A169" s="7"/>
      <c r="B169" s="29" t="s">
        <v>210</v>
      </c>
      <c r="C169" s="30" t="s">
        <v>212</v>
      </c>
      <c r="D169" s="29"/>
      <c r="E169" s="31" t="n">
        <v>0.2204186</v>
      </c>
      <c r="F169" s="7"/>
      <c r="G169" s="32" t="n">
        <f aca="false">E169*$F$162</f>
        <v>5510.465</v>
      </c>
      <c r="H169" s="7"/>
    </row>
    <row r="170" customFormat="false" ht="15" hidden="false" customHeight="false" outlineLevel="1" collapsed="false">
      <c r="A170" s="7"/>
      <c r="B170" s="29" t="s">
        <v>267</v>
      </c>
      <c r="C170" s="30" t="s">
        <v>268</v>
      </c>
      <c r="D170" s="29"/>
      <c r="E170" s="31" t="n">
        <v>5.88468</v>
      </c>
      <c r="F170" s="7"/>
      <c r="G170" s="32" t="n">
        <f aca="false">E170*$F$162</f>
        <v>147117</v>
      </c>
      <c r="H170" s="7"/>
    </row>
    <row r="171" customFormat="false" ht="15" hidden="false" customHeight="false" outlineLevel="1" collapsed="false">
      <c r="A171" s="7"/>
      <c r="B171" s="29" t="s">
        <v>210</v>
      </c>
      <c r="C171" s="30" t="s">
        <v>211</v>
      </c>
      <c r="D171" s="29"/>
      <c r="E171" s="31" t="n">
        <v>1.2576826</v>
      </c>
      <c r="F171" s="7"/>
      <c r="G171" s="32" t="n">
        <f aca="false">E171*$F$162</f>
        <v>31442.065</v>
      </c>
      <c r="H171" s="7"/>
    </row>
    <row r="172" customFormat="false" ht="15" hidden="false" customHeight="false" outlineLevel="1" collapsed="false">
      <c r="A172" s="7"/>
      <c r="B172" s="29" t="s">
        <v>210</v>
      </c>
      <c r="C172" s="30" t="s">
        <v>212</v>
      </c>
      <c r="D172" s="29"/>
      <c r="E172" s="31" t="n">
        <v>0.25153652</v>
      </c>
      <c r="F172" s="7"/>
      <c r="G172" s="32" t="n">
        <f aca="false">E172*$F$162</f>
        <v>6288.413</v>
      </c>
      <c r="H172" s="7"/>
    </row>
    <row r="173" customFormat="false" ht="15" hidden="false" customHeight="false" outlineLevel="1" collapsed="false">
      <c r="A173" s="7"/>
      <c r="B173" s="29" t="s">
        <v>267</v>
      </c>
      <c r="C173" s="30" t="s">
        <v>269</v>
      </c>
      <c r="D173" s="29"/>
      <c r="E173" s="31" t="n">
        <v>52.95395</v>
      </c>
      <c r="F173" s="7"/>
      <c r="G173" s="32" t="n">
        <f aca="false">E173*$F$162</f>
        <v>1323848.75</v>
      </c>
      <c r="H173" s="7"/>
    </row>
    <row r="174" customFormat="false" ht="15" hidden="false" customHeight="false" outlineLevel="1" collapsed="false">
      <c r="A174" s="7"/>
      <c r="B174" s="29" t="s">
        <v>267</v>
      </c>
      <c r="C174" s="30" t="s">
        <v>270</v>
      </c>
      <c r="D174" s="29"/>
      <c r="E174" s="31" t="n">
        <v>16.57674</v>
      </c>
      <c r="F174" s="7"/>
      <c r="G174" s="32" t="n">
        <f aca="false">E174*$F$162</f>
        <v>414418.5</v>
      </c>
      <c r="H174" s="7"/>
    </row>
    <row r="175" customFormat="false" ht="15" hidden="false" customHeight="false" outlineLevel="1" collapsed="false">
      <c r="A175" s="7"/>
      <c r="B175" s="29" t="s">
        <v>267</v>
      </c>
      <c r="C175" s="30" t="s">
        <v>270</v>
      </c>
      <c r="D175" s="29"/>
      <c r="E175" s="31" t="n">
        <v>17.24193</v>
      </c>
      <c r="F175" s="7"/>
      <c r="G175" s="32" t="n">
        <f aca="false">E175*$F$162</f>
        <v>431048.25</v>
      </c>
      <c r="H175" s="7"/>
    </row>
    <row r="176" customFormat="false" ht="15" hidden="false" customHeight="false" outlineLevel="1" collapsed="false">
      <c r="A176" s="7"/>
      <c r="B176" s="29" t="s">
        <v>265</v>
      </c>
      <c r="C176" s="30" t="s">
        <v>271</v>
      </c>
      <c r="D176" s="29"/>
      <c r="E176" s="31" t="n">
        <v>0.687208</v>
      </c>
      <c r="F176" s="7"/>
      <c r="G176" s="32" t="n">
        <f aca="false">E176*$F$162</f>
        <v>17180.2</v>
      </c>
      <c r="H176" s="7"/>
    </row>
    <row r="177" customFormat="false" ht="15" hidden="false" customHeight="false" outlineLevel="1" collapsed="false">
      <c r="A177" s="7"/>
      <c r="B177" s="29" t="s">
        <v>213</v>
      </c>
      <c r="C177" s="30" t="s">
        <v>214</v>
      </c>
      <c r="D177" s="29"/>
      <c r="E177" s="31" t="n">
        <v>0.718489</v>
      </c>
      <c r="F177" s="7"/>
      <c r="G177" s="32" t="n">
        <f aca="false">E177*$F$162</f>
        <v>17962.225</v>
      </c>
      <c r="H177" s="7"/>
    </row>
    <row r="178" customFormat="false" ht="15" hidden="false" customHeight="false" outlineLevel="1" collapsed="false">
      <c r="A178" s="7"/>
      <c r="B178" s="29" t="s">
        <v>272</v>
      </c>
      <c r="C178" s="30" t="s">
        <v>273</v>
      </c>
      <c r="D178" s="29"/>
      <c r="E178" s="31" t="n">
        <v>0.933938</v>
      </c>
      <c r="F178" s="7"/>
      <c r="G178" s="32" t="n">
        <f aca="false">E178*$F$162</f>
        <v>23348.45</v>
      </c>
      <c r="H178" s="7"/>
    </row>
    <row r="179" customFormat="false" ht="15" hidden="false" customHeight="false" outlineLevel="1" collapsed="false">
      <c r="A179" s="7"/>
      <c r="B179" s="29" t="s">
        <v>265</v>
      </c>
      <c r="C179" s="30" t="s">
        <v>274</v>
      </c>
      <c r="D179" s="29"/>
      <c r="E179" s="31" t="n">
        <v>9.865738</v>
      </c>
      <c r="F179" s="7"/>
      <c r="G179" s="32" t="n">
        <f aca="false">E179*$F$162</f>
        <v>246643.45</v>
      </c>
      <c r="H179" s="7"/>
    </row>
    <row r="180" customFormat="false" ht="15" hidden="false" customHeight="false" outlineLevel="1" collapsed="false">
      <c r="A180" s="7"/>
      <c r="B180" s="29" t="s">
        <v>265</v>
      </c>
      <c r="C180" s="30" t="s">
        <v>275</v>
      </c>
      <c r="D180" s="29"/>
      <c r="E180" s="31" t="n">
        <v>1.698134</v>
      </c>
      <c r="F180" s="7"/>
      <c r="G180" s="32" t="n">
        <f aca="false">E180*$F$162</f>
        <v>42453.35</v>
      </c>
      <c r="H180" s="7"/>
    </row>
    <row r="181" customFormat="false" ht="15" hidden="false" customHeight="false" outlineLevel="1" collapsed="false">
      <c r="A181" s="7"/>
      <c r="B181" s="29" t="s">
        <v>265</v>
      </c>
      <c r="C181" s="30" t="s">
        <v>276</v>
      </c>
      <c r="D181" s="29"/>
      <c r="E181" s="31" t="n">
        <v>14.848322</v>
      </c>
      <c r="F181" s="7"/>
      <c r="G181" s="32" t="n">
        <f aca="false">E181*$F$162</f>
        <v>371208.05</v>
      </c>
      <c r="H181" s="7"/>
    </row>
    <row r="182" customFormat="false" ht="15" hidden="false" customHeight="false" outlineLevel="1" collapsed="false">
      <c r="A182" s="7"/>
      <c r="B182" s="29" t="s">
        <v>267</v>
      </c>
      <c r="C182" s="30" t="s">
        <v>277</v>
      </c>
      <c r="D182" s="29"/>
      <c r="E182" s="31" t="n">
        <v>0.73568</v>
      </c>
      <c r="F182" s="7"/>
      <c r="G182" s="32" t="n">
        <f aca="false">E182*$F$162</f>
        <v>18392</v>
      </c>
      <c r="H182" s="7"/>
    </row>
    <row r="183" customFormat="false" ht="15" hidden="false" customHeight="false" outlineLevel="1" collapsed="false">
      <c r="A183" s="7"/>
      <c r="B183" s="29" t="s">
        <v>219</v>
      </c>
      <c r="C183" s="30" t="s">
        <v>220</v>
      </c>
      <c r="D183" s="29"/>
      <c r="E183" s="31" t="n">
        <v>2.4852472</v>
      </c>
      <c r="F183" s="7"/>
      <c r="G183" s="32" t="n">
        <f aca="false">E183*$F$162</f>
        <v>62131.18</v>
      </c>
      <c r="H183" s="7"/>
    </row>
    <row r="184" customFormat="false" ht="15" hidden="false" customHeight="false" outlineLevel="1" collapsed="false">
      <c r="A184" s="7"/>
      <c r="B184" s="29" t="s">
        <v>272</v>
      </c>
      <c r="C184" s="30" t="s">
        <v>273</v>
      </c>
      <c r="D184" s="29"/>
      <c r="E184" s="31" t="n">
        <v>0.458358</v>
      </c>
      <c r="F184" s="7"/>
      <c r="G184" s="32" t="n">
        <f aca="false">E184*$F$162</f>
        <v>11458.95</v>
      </c>
      <c r="H184" s="7"/>
    </row>
    <row r="185" customFormat="false" ht="15" hidden="false" customHeight="false" outlineLevel="1" collapsed="false">
      <c r="A185" s="7"/>
      <c r="B185" s="29" t="s">
        <v>229</v>
      </c>
      <c r="C185" s="30" t="s">
        <v>230</v>
      </c>
      <c r="D185" s="29"/>
      <c r="E185" s="31" t="n">
        <v>2.86</v>
      </c>
      <c r="F185" s="7"/>
      <c r="G185" s="32" t="n">
        <f aca="false">E185*$F$162</f>
        <v>71500</v>
      </c>
      <c r="H185" s="7"/>
    </row>
    <row r="186" customFormat="false" ht="15" hidden="false" customHeight="false" outlineLevel="1" collapsed="false">
      <c r="A186" s="7"/>
      <c r="B186" s="29" t="s">
        <v>278</v>
      </c>
      <c r="C186" s="30" t="s">
        <v>279</v>
      </c>
      <c r="D186" s="29"/>
      <c r="E186" s="31" t="n">
        <v>0.4672</v>
      </c>
      <c r="F186" s="7"/>
      <c r="G186" s="32" t="n">
        <f aca="false">E186*$F$162</f>
        <v>11680</v>
      </c>
      <c r="H186" s="7"/>
    </row>
    <row r="187" customFormat="false" ht="15" hidden="false" customHeight="false" outlineLevel="1" collapsed="false">
      <c r="A187" s="7"/>
      <c r="B187" s="29" t="s">
        <v>223</v>
      </c>
      <c r="C187" s="30" t="s">
        <v>224</v>
      </c>
      <c r="D187" s="29"/>
      <c r="E187" s="31" t="n">
        <v>0.8</v>
      </c>
      <c r="F187" s="7"/>
      <c r="G187" s="32" t="n">
        <f aca="false">E187*$F$162</f>
        <v>20000</v>
      </c>
      <c r="H187" s="7"/>
    </row>
    <row r="188" customFormat="false" ht="15" hidden="false" customHeight="false" outlineLevel="1" collapsed="false">
      <c r="A188" s="7"/>
      <c r="B188" s="29" t="s">
        <v>172</v>
      </c>
      <c r="C188" s="30" t="s">
        <v>173</v>
      </c>
      <c r="D188" s="29"/>
      <c r="E188" s="31" t="n">
        <v>17.5672</v>
      </c>
      <c r="F188" s="7"/>
      <c r="G188" s="32" t="n">
        <f aca="false">E188*$F$162</f>
        <v>439180</v>
      </c>
      <c r="H188" s="7"/>
    </row>
    <row r="189" customFormat="false" ht="15" hidden="false" customHeight="false" outlineLevel="1" collapsed="false">
      <c r="A189" s="7"/>
      <c r="B189" s="29" t="s">
        <v>172</v>
      </c>
      <c r="C189" s="30" t="s">
        <v>173</v>
      </c>
      <c r="D189" s="29"/>
      <c r="E189" s="31" t="n">
        <v>15.90176</v>
      </c>
      <c r="F189" s="7"/>
      <c r="G189" s="32" t="n">
        <f aca="false">E189*$F$162</f>
        <v>397544</v>
      </c>
      <c r="H189" s="7"/>
    </row>
    <row r="190" customFormat="false" ht="15" hidden="false" customHeight="false" outlineLevel="0" collapsed="false">
      <c r="A190" s="23" t="n">
        <v>39</v>
      </c>
      <c r="B190" s="23" t="s">
        <v>280</v>
      </c>
      <c r="C190" s="24" t="s">
        <v>74</v>
      </c>
      <c r="D190" s="23" t="s">
        <v>20</v>
      </c>
      <c r="E190" s="25" t="n">
        <f aca="false">SUM(E191:E191)</f>
        <v>684.6129</v>
      </c>
      <c r="F190" s="26" t="n">
        <v>35420</v>
      </c>
      <c r="G190" s="27" t="n">
        <f aca="false">E190*F190</f>
        <v>24248988.918</v>
      </c>
      <c r="H190" s="28" t="s">
        <v>281</v>
      </c>
    </row>
    <row r="191" customFormat="false" ht="15" hidden="false" customHeight="false" outlineLevel="1" collapsed="false">
      <c r="A191" s="7"/>
      <c r="B191" s="29" t="s">
        <v>233</v>
      </c>
      <c r="C191" s="30" t="s">
        <v>234</v>
      </c>
      <c r="D191" s="29"/>
      <c r="E191" s="31" t="n">
        <v>684.6129</v>
      </c>
      <c r="F191" s="7"/>
      <c r="G191" s="32" t="n">
        <f aca="false">E191*$F$190</f>
        <v>24248988.918</v>
      </c>
      <c r="H191" s="7"/>
    </row>
    <row r="192" customFormat="false" ht="15" hidden="false" customHeight="false" outlineLevel="0" collapsed="false">
      <c r="A192" s="23" t="n">
        <v>40</v>
      </c>
      <c r="B192" s="23" t="s">
        <v>282</v>
      </c>
      <c r="C192" s="24" t="s">
        <v>75</v>
      </c>
      <c r="D192" s="23" t="s">
        <v>20</v>
      </c>
      <c r="E192" s="25" t="n">
        <f aca="false">SUM(E193:E193)</f>
        <v>32.9775</v>
      </c>
      <c r="F192" s="26" t="n">
        <v>38430</v>
      </c>
      <c r="G192" s="27" t="n">
        <f aca="false">E192*F192</f>
        <v>1267325.325</v>
      </c>
      <c r="H192" s="28" t="s">
        <v>283</v>
      </c>
    </row>
    <row r="193" customFormat="false" ht="15" hidden="false" customHeight="false" outlineLevel="1" collapsed="false">
      <c r="A193" s="7"/>
      <c r="B193" s="29" t="s">
        <v>233</v>
      </c>
      <c r="C193" s="30" t="s">
        <v>234</v>
      </c>
      <c r="D193" s="29"/>
      <c r="E193" s="31" t="n">
        <v>32.9775</v>
      </c>
      <c r="F193" s="7"/>
      <c r="G193" s="32" t="n">
        <f aca="false">E193*$F$192</f>
        <v>1267325.325</v>
      </c>
      <c r="H193" s="7"/>
    </row>
    <row r="194" customFormat="false" ht="15" hidden="false" customHeight="false" outlineLevel="0" collapsed="false">
      <c r="A194" s="23" t="n">
        <v>41</v>
      </c>
      <c r="B194" s="23" t="s">
        <v>117</v>
      </c>
      <c r="C194" s="24" t="s">
        <v>76</v>
      </c>
      <c r="D194" s="23" t="s">
        <v>18</v>
      </c>
      <c r="E194" s="25" t="n">
        <f aca="false">SUM(E195:E195)</f>
        <v>299.3</v>
      </c>
      <c r="F194" s="26" t="n">
        <v>82500</v>
      </c>
      <c r="G194" s="27" t="n">
        <f aca="false">E194*F194</f>
        <v>24692250</v>
      </c>
      <c r="H194" s="28" t="s">
        <v>284</v>
      </c>
    </row>
    <row r="195" customFormat="false" ht="15" hidden="false" customHeight="false" outlineLevel="1" collapsed="false">
      <c r="A195" s="7"/>
      <c r="B195" s="29" t="s">
        <v>119</v>
      </c>
      <c r="C195" s="30" t="s">
        <v>130</v>
      </c>
      <c r="D195" s="29"/>
      <c r="E195" s="31" t="n">
        <v>299.3</v>
      </c>
      <c r="F195" s="7"/>
      <c r="G195" s="32" t="n">
        <f aca="false">E195*$F$194</f>
        <v>24692250</v>
      </c>
      <c r="H195" s="7"/>
    </row>
    <row r="196" customFormat="false" ht="15" hidden="false" customHeight="false" outlineLevel="0" collapsed="false">
      <c r="A196" s="23" t="n">
        <v>42</v>
      </c>
      <c r="B196" s="23" t="s">
        <v>285</v>
      </c>
      <c r="C196" s="24" t="s">
        <v>77</v>
      </c>
      <c r="D196" s="23" t="s">
        <v>20</v>
      </c>
      <c r="E196" s="25" t="n">
        <f aca="false">SUM(E197:E197)</f>
        <v>3.38</v>
      </c>
      <c r="F196" s="26" t="n">
        <v>11680</v>
      </c>
      <c r="G196" s="27" t="n">
        <f aca="false">E196*F196</f>
        <v>39478.4</v>
      </c>
      <c r="H196" s="28" t="s">
        <v>286</v>
      </c>
    </row>
    <row r="197" customFormat="false" ht="15" hidden="false" customHeight="false" outlineLevel="1" collapsed="false">
      <c r="A197" s="7"/>
      <c r="B197" s="29" t="s">
        <v>229</v>
      </c>
      <c r="C197" s="30" t="s">
        <v>230</v>
      </c>
      <c r="D197" s="29"/>
      <c r="E197" s="31" t="n">
        <v>3.38</v>
      </c>
      <c r="F197" s="7"/>
      <c r="G197" s="32" t="n">
        <f aca="false">E197*$F$196</f>
        <v>39478.4</v>
      </c>
      <c r="H197" s="7"/>
    </row>
    <row r="198" customFormat="false" ht="15" hidden="false" customHeight="false" outlineLevel="0" collapsed="false">
      <c r="A198" s="23" t="n">
        <v>43</v>
      </c>
      <c r="B198" s="23" t="s">
        <v>287</v>
      </c>
      <c r="C198" s="24" t="s">
        <v>78</v>
      </c>
      <c r="D198" s="23" t="s">
        <v>20</v>
      </c>
      <c r="E198" s="25" t="n">
        <f aca="false">SUM(E199:E213)</f>
        <v>3889.160102</v>
      </c>
      <c r="F198" s="26" t="n">
        <v>14157</v>
      </c>
      <c r="G198" s="27" t="n">
        <f aca="false">E198*F198</f>
        <v>55058839.564014</v>
      </c>
      <c r="H198" s="28" t="s">
        <v>288</v>
      </c>
    </row>
    <row r="199" customFormat="false" ht="15" hidden="false" customHeight="false" outlineLevel="1" collapsed="false">
      <c r="A199" s="7"/>
      <c r="B199" s="29" t="s">
        <v>265</v>
      </c>
      <c r="C199" s="30" t="s">
        <v>266</v>
      </c>
      <c r="D199" s="29"/>
      <c r="E199" s="31" t="n">
        <v>78.596292</v>
      </c>
      <c r="F199" s="7"/>
      <c r="G199" s="32" t="n">
        <f aca="false">E199*$F$198</f>
        <v>1112687.705844</v>
      </c>
      <c r="H199" s="7"/>
    </row>
    <row r="200" customFormat="false" ht="15" hidden="false" customHeight="false" outlineLevel="1" collapsed="false">
      <c r="A200" s="7"/>
      <c r="B200" s="29" t="s">
        <v>267</v>
      </c>
      <c r="C200" s="30" t="s">
        <v>268</v>
      </c>
      <c r="D200" s="29"/>
      <c r="E200" s="31" t="n">
        <v>2403.523848</v>
      </c>
      <c r="F200" s="7"/>
      <c r="G200" s="32" t="n">
        <f aca="false">E200*$F$198</f>
        <v>34026687.116136</v>
      </c>
      <c r="H200" s="7"/>
    </row>
    <row r="201" customFormat="false" ht="15" hidden="false" customHeight="false" outlineLevel="1" collapsed="false">
      <c r="A201" s="7"/>
      <c r="B201" s="29" t="s">
        <v>267</v>
      </c>
      <c r="C201" s="30" t="s">
        <v>268</v>
      </c>
      <c r="D201" s="29"/>
      <c r="E201" s="31" t="n">
        <v>44.185548</v>
      </c>
      <c r="F201" s="7"/>
      <c r="G201" s="32" t="n">
        <f aca="false">E201*$F$198</f>
        <v>625534.803036</v>
      </c>
      <c r="H201" s="7"/>
    </row>
    <row r="202" customFormat="false" ht="15" hidden="false" customHeight="false" outlineLevel="1" collapsed="false">
      <c r="A202" s="7"/>
      <c r="B202" s="29" t="s">
        <v>267</v>
      </c>
      <c r="C202" s="30" t="s">
        <v>268</v>
      </c>
      <c r="D202" s="29"/>
      <c r="E202" s="31" t="n">
        <v>50.422416</v>
      </c>
      <c r="F202" s="7"/>
      <c r="G202" s="32" t="n">
        <f aca="false">E202*$F$198</f>
        <v>713830.143312</v>
      </c>
      <c r="H202" s="7"/>
    </row>
    <row r="203" customFormat="false" ht="15" hidden="false" customHeight="false" outlineLevel="1" collapsed="false">
      <c r="A203" s="7"/>
      <c r="B203" s="29" t="s">
        <v>267</v>
      </c>
      <c r="C203" s="30" t="s">
        <v>269</v>
      </c>
      <c r="D203" s="29"/>
      <c r="E203" s="31" t="n">
        <v>453.73174</v>
      </c>
      <c r="F203" s="7"/>
      <c r="G203" s="32" t="n">
        <f aca="false">E203*$F$198</f>
        <v>6423480.24318</v>
      </c>
      <c r="H203" s="7"/>
    </row>
    <row r="204" customFormat="false" ht="15" hidden="false" customHeight="false" outlineLevel="1" collapsed="false">
      <c r="A204" s="7"/>
      <c r="B204" s="29" t="s">
        <v>267</v>
      </c>
      <c r="C204" s="30" t="s">
        <v>270</v>
      </c>
      <c r="D204" s="29"/>
      <c r="E204" s="31" t="n">
        <v>142.036488</v>
      </c>
      <c r="F204" s="7"/>
      <c r="G204" s="32" t="n">
        <f aca="false">E204*$F$198</f>
        <v>2010810.560616</v>
      </c>
      <c r="H204" s="7"/>
    </row>
    <row r="205" customFormat="false" ht="15" hidden="false" customHeight="false" outlineLevel="1" collapsed="false">
      <c r="A205" s="7"/>
      <c r="B205" s="29" t="s">
        <v>267</v>
      </c>
      <c r="C205" s="30" t="s">
        <v>270</v>
      </c>
      <c r="D205" s="29"/>
      <c r="E205" s="31" t="n">
        <v>147.736116</v>
      </c>
      <c r="F205" s="7"/>
      <c r="G205" s="32" t="n">
        <f aca="false">E205*$F$198</f>
        <v>2091500.194212</v>
      </c>
      <c r="H205" s="7"/>
    </row>
    <row r="206" customFormat="false" ht="15" hidden="false" customHeight="false" outlineLevel="1" collapsed="false">
      <c r="A206" s="7"/>
      <c r="B206" s="29" t="s">
        <v>265</v>
      </c>
      <c r="C206" s="30" t="s">
        <v>271</v>
      </c>
      <c r="D206" s="29"/>
      <c r="E206" s="31" t="n">
        <v>6.749816</v>
      </c>
      <c r="F206" s="7"/>
      <c r="G206" s="32" t="n">
        <f aca="false">E206*$F$198</f>
        <v>95557.145112</v>
      </c>
      <c r="H206" s="7"/>
    </row>
    <row r="207" customFormat="false" ht="15" hidden="false" customHeight="false" outlineLevel="1" collapsed="false">
      <c r="A207" s="7"/>
      <c r="B207" s="29" t="s">
        <v>265</v>
      </c>
      <c r="C207" s="30" t="s">
        <v>274</v>
      </c>
      <c r="D207" s="29"/>
      <c r="E207" s="31" t="n">
        <v>96.902126</v>
      </c>
      <c r="F207" s="7"/>
      <c r="G207" s="32" t="n">
        <f aca="false">E207*$F$198</f>
        <v>1371843.397782</v>
      </c>
      <c r="H207" s="7"/>
    </row>
    <row r="208" customFormat="false" ht="15" hidden="false" customHeight="false" outlineLevel="1" collapsed="false">
      <c r="A208" s="7"/>
      <c r="B208" s="29" t="s">
        <v>265</v>
      </c>
      <c r="C208" s="30" t="s">
        <v>275</v>
      </c>
      <c r="D208" s="29"/>
      <c r="E208" s="31" t="n">
        <v>16.679218</v>
      </c>
      <c r="F208" s="7"/>
      <c r="G208" s="32" t="n">
        <f aca="false">E208*$F$198</f>
        <v>236127.689226</v>
      </c>
      <c r="H208" s="7"/>
    </row>
    <row r="209" customFormat="false" ht="15" hidden="false" customHeight="false" outlineLevel="1" collapsed="false">
      <c r="A209" s="7"/>
      <c r="B209" s="29" t="s">
        <v>265</v>
      </c>
      <c r="C209" s="30" t="s">
        <v>276</v>
      </c>
      <c r="D209" s="29"/>
      <c r="E209" s="31" t="n">
        <v>145.841494</v>
      </c>
      <c r="F209" s="7"/>
      <c r="G209" s="32" t="n">
        <f aca="false">E209*$F$198</f>
        <v>2064678.030558</v>
      </c>
      <c r="H209" s="7"/>
    </row>
    <row r="210" customFormat="false" ht="15" hidden="false" customHeight="false" outlineLevel="1" collapsed="false">
      <c r="A210" s="7"/>
      <c r="B210" s="29" t="s">
        <v>267</v>
      </c>
      <c r="C210" s="30" t="s">
        <v>277</v>
      </c>
      <c r="D210" s="29"/>
      <c r="E210" s="31" t="n">
        <v>6.303616</v>
      </c>
      <c r="F210" s="7"/>
      <c r="G210" s="32" t="n">
        <f aca="false">E210*$F$198</f>
        <v>89240.291712</v>
      </c>
      <c r="H210" s="7"/>
    </row>
    <row r="211" customFormat="false" ht="15" hidden="false" customHeight="false" outlineLevel="1" collapsed="false">
      <c r="A211" s="7"/>
      <c r="B211" s="29" t="s">
        <v>278</v>
      </c>
      <c r="C211" s="30" t="s">
        <v>279</v>
      </c>
      <c r="D211" s="29"/>
      <c r="E211" s="31" t="n">
        <v>4.55424</v>
      </c>
      <c r="F211" s="7"/>
      <c r="G211" s="32" t="n">
        <f aca="false">E211*$F$198</f>
        <v>64474.37568</v>
      </c>
      <c r="H211" s="7"/>
    </row>
    <row r="212" customFormat="false" ht="15" hidden="false" customHeight="false" outlineLevel="1" collapsed="false">
      <c r="A212" s="7"/>
      <c r="B212" s="29" t="s">
        <v>172</v>
      </c>
      <c r="C212" s="30" t="s">
        <v>173</v>
      </c>
      <c r="D212" s="29"/>
      <c r="E212" s="31" t="n">
        <v>153.21108</v>
      </c>
      <c r="F212" s="7"/>
      <c r="G212" s="32" t="n">
        <f aca="false">E212*$F$198</f>
        <v>2169009.25956</v>
      </c>
      <c r="H212" s="7"/>
    </row>
    <row r="213" customFormat="false" ht="15" hidden="false" customHeight="false" outlineLevel="1" collapsed="false">
      <c r="A213" s="7"/>
      <c r="B213" s="29" t="s">
        <v>172</v>
      </c>
      <c r="C213" s="30" t="s">
        <v>173</v>
      </c>
      <c r="D213" s="29"/>
      <c r="E213" s="31" t="n">
        <v>138.686064</v>
      </c>
      <c r="F213" s="7"/>
      <c r="G213" s="32" t="n">
        <f aca="false">E213*$F$198</f>
        <v>1963378.608048</v>
      </c>
      <c r="H213" s="7"/>
    </row>
    <row r="214" customFormat="false" ht="15" hidden="false" customHeight="false" outlineLevel="0" collapsed="false">
      <c r="A214" s="23" t="n">
        <v>44</v>
      </c>
      <c r="B214" s="23" t="s">
        <v>289</v>
      </c>
      <c r="C214" s="24" t="s">
        <v>80</v>
      </c>
      <c r="D214" s="23" t="s">
        <v>20</v>
      </c>
      <c r="E214" s="25" t="n">
        <f aca="false">SUM(E215:E216)</f>
        <v>27.7578</v>
      </c>
      <c r="F214" s="26" t="n">
        <v>14157</v>
      </c>
      <c r="G214" s="27" t="n">
        <f aca="false">E214*F214</f>
        <v>392967.1746</v>
      </c>
      <c r="H214" s="28" t="s">
        <v>290</v>
      </c>
    </row>
    <row r="215" customFormat="false" ht="15" hidden="false" customHeight="false" outlineLevel="1" collapsed="false">
      <c r="A215" s="7"/>
      <c r="B215" s="29" t="s">
        <v>272</v>
      </c>
      <c r="C215" s="30" t="s">
        <v>273</v>
      </c>
      <c r="D215" s="29"/>
      <c r="E215" s="31" t="n">
        <v>18.61965</v>
      </c>
      <c r="F215" s="7"/>
      <c r="G215" s="32" t="n">
        <f aca="false">E215*$F$214</f>
        <v>263598.38505</v>
      </c>
      <c r="H215" s="7"/>
    </row>
    <row r="216" customFormat="false" ht="15" hidden="false" customHeight="false" outlineLevel="1" collapsed="false">
      <c r="A216" s="7"/>
      <c r="B216" s="29" t="s">
        <v>272</v>
      </c>
      <c r="C216" s="30" t="s">
        <v>273</v>
      </c>
      <c r="D216" s="29"/>
      <c r="E216" s="31" t="n">
        <v>9.13815</v>
      </c>
      <c r="F216" s="7"/>
      <c r="G216" s="32" t="n">
        <f aca="false">E216*$F$214</f>
        <v>129368.78955</v>
      </c>
      <c r="H216" s="7"/>
    </row>
    <row r="217" customFormat="false" ht="15" hidden="false" customHeight="false" outlineLevel="0" collapsed="false">
      <c r="A217" s="23" t="n">
        <v>45</v>
      </c>
      <c r="B217" s="23" t="s">
        <v>291</v>
      </c>
      <c r="C217" s="24" t="s">
        <v>81</v>
      </c>
      <c r="D217" s="23" t="s">
        <v>20</v>
      </c>
      <c r="E217" s="25" t="n">
        <f aca="false">SUM(E218:E232)</f>
        <v>4319.582762</v>
      </c>
      <c r="F217" s="26" t="n">
        <v>13857</v>
      </c>
      <c r="G217" s="27" t="n">
        <f aca="false">E217*F217</f>
        <v>59856458.333034</v>
      </c>
      <c r="H217" s="28" t="s">
        <v>292</v>
      </c>
    </row>
    <row r="218" customFormat="false" ht="15" hidden="false" customHeight="false" outlineLevel="1" collapsed="false">
      <c r="A218" s="7"/>
      <c r="B218" s="29" t="s">
        <v>265</v>
      </c>
      <c r="C218" s="30" t="s">
        <v>266</v>
      </c>
      <c r="D218" s="29"/>
      <c r="E218" s="31" t="n">
        <v>127.172826</v>
      </c>
      <c r="F218" s="7"/>
      <c r="G218" s="32" t="n">
        <f aca="false">E218*$F$217</f>
        <v>1762233.849882</v>
      </c>
      <c r="H218" s="7"/>
    </row>
    <row r="219" customFormat="false" ht="15" hidden="false" customHeight="false" outlineLevel="1" collapsed="false">
      <c r="A219" s="7"/>
      <c r="B219" s="29" t="s">
        <v>267</v>
      </c>
      <c r="C219" s="30" t="s">
        <v>268</v>
      </c>
      <c r="D219" s="29"/>
      <c r="E219" s="31" t="n">
        <v>2549.684082</v>
      </c>
      <c r="F219" s="7"/>
      <c r="G219" s="32" t="n">
        <f aca="false">E219*$F$217</f>
        <v>35330972.324274</v>
      </c>
      <c r="H219" s="7"/>
    </row>
    <row r="220" customFormat="false" ht="15" hidden="false" customHeight="false" outlineLevel="1" collapsed="false">
      <c r="A220" s="7"/>
      <c r="B220" s="29" t="s">
        <v>267</v>
      </c>
      <c r="C220" s="30" t="s">
        <v>268</v>
      </c>
      <c r="D220" s="29"/>
      <c r="E220" s="31" t="n">
        <v>46.872507</v>
      </c>
      <c r="F220" s="7"/>
      <c r="G220" s="32" t="n">
        <f aca="false">E220*$F$217</f>
        <v>649512.329499</v>
      </c>
      <c r="H220" s="7"/>
    </row>
    <row r="221" customFormat="false" ht="15" hidden="false" customHeight="false" outlineLevel="1" collapsed="false">
      <c r="A221" s="7"/>
      <c r="B221" s="29" t="s">
        <v>267</v>
      </c>
      <c r="C221" s="30" t="s">
        <v>268</v>
      </c>
      <c r="D221" s="29"/>
      <c r="E221" s="31" t="n">
        <v>53.488644</v>
      </c>
      <c r="F221" s="7"/>
      <c r="G221" s="32" t="n">
        <f aca="false">E221*$F$217</f>
        <v>741192.139908</v>
      </c>
      <c r="H221" s="7"/>
    </row>
    <row r="222" customFormat="false" ht="15" hidden="false" customHeight="false" outlineLevel="1" collapsed="false">
      <c r="A222" s="7"/>
      <c r="B222" s="29" t="s">
        <v>267</v>
      </c>
      <c r="C222" s="30" t="s">
        <v>269</v>
      </c>
      <c r="D222" s="29"/>
      <c r="E222" s="31" t="n">
        <v>481.323535</v>
      </c>
      <c r="F222" s="7"/>
      <c r="G222" s="32" t="n">
        <f aca="false">E222*$F$217</f>
        <v>6669700.224495</v>
      </c>
      <c r="H222" s="7"/>
    </row>
    <row r="223" customFormat="false" ht="15" hidden="false" customHeight="false" outlineLevel="1" collapsed="false">
      <c r="A223" s="7"/>
      <c r="B223" s="29" t="s">
        <v>267</v>
      </c>
      <c r="C223" s="30" t="s">
        <v>270</v>
      </c>
      <c r="D223" s="29"/>
      <c r="E223" s="31" t="n">
        <v>150.673842</v>
      </c>
      <c r="F223" s="7"/>
      <c r="G223" s="32" t="n">
        <f aca="false">E223*$F$217</f>
        <v>2087887.428594</v>
      </c>
      <c r="H223" s="7"/>
    </row>
    <row r="224" customFormat="false" ht="15" hidden="false" customHeight="false" outlineLevel="1" collapsed="false">
      <c r="A224" s="7"/>
      <c r="B224" s="29" t="s">
        <v>267</v>
      </c>
      <c r="C224" s="30" t="s">
        <v>270</v>
      </c>
      <c r="D224" s="29"/>
      <c r="E224" s="31" t="n">
        <v>156.720069</v>
      </c>
      <c r="F224" s="7"/>
      <c r="G224" s="32" t="n">
        <f aca="false">E224*$F$217</f>
        <v>2171669.996133</v>
      </c>
      <c r="H224" s="7"/>
    </row>
    <row r="225" customFormat="false" ht="15" hidden="false" customHeight="false" outlineLevel="1" collapsed="false">
      <c r="A225" s="7"/>
      <c r="B225" s="29" t="s">
        <v>265</v>
      </c>
      <c r="C225" s="30" t="s">
        <v>271</v>
      </c>
      <c r="D225" s="29"/>
      <c r="E225" s="31" t="n">
        <v>10.921548</v>
      </c>
      <c r="F225" s="7"/>
      <c r="G225" s="32" t="n">
        <f aca="false">E225*$F$217</f>
        <v>151339.890636</v>
      </c>
      <c r="H225" s="7"/>
    </row>
    <row r="226" customFormat="false" ht="15" hidden="false" customHeight="false" outlineLevel="1" collapsed="false">
      <c r="A226" s="7"/>
      <c r="B226" s="29" t="s">
        <v>265</v>
      </c>
      <c r="C226" s="30" t="s">
        <v>274</v>
      </c>
      <c r="D226" s="29"/>
      <c r="E226" s="31" t="n">
        <v>156.792603</v>
      </c>
      <c r="F226" s="7"/>
      <c r="G226" s="32" t="n">
        <f aca="false">E226*$F$217</f>
        <v>2172675.099771</v>
      </c>
      <c r="H226" s="7"/>
    </row>
    <row r="227" customFormat="false" ht="15" hidden="false" customHeight="false" outlineLevel="1" collapsed="false">
      <c r="A227" s="7"/>
      <c r="B227" s="29" t="s">
        <v>265</v>
      </c>
      <c r="C227" s="30" t="s">
        <v>275</v>
      </c>
      <c r="D227" s="29"/>
      <c r="E227" s="31" t="n">
        <v>26.987829</v>
      </c>
      <c r="F227" s="7"/>
      <c r="G227" s="32" t="n">
        <f aca="false">E227*$F$217</f>
        <v>373970.346453</v>
      </c>
      <c r="H227" s="7"/>
    </row>
    <row r="228" customFormat="false" ht="15" hidden="false" customHeight="false" outlineLevel="1" collapsed="false">
      <c r="A228" s="7"/>
      <c r="B228" s="29" t="s">
        <v>265</v>
      </c>
      <c r="C228" s="30" t="s">
        <v>276</v>
      </c>
      <c r="D228" s="29"/>
      <c r="E228" s="31" t="n">
        <v>235.979007</v>
      </c>
      <c r="F228" s="7"/>
      <c r="G228" s="32" t="n">
        <f aca="false">E228*$F$217</f>
        <v>3269961.099999</v>
      </c>
      <c r="H228" s="7"/>
    </row>
    <row r="229" customFormat="false" ht="15" hidden="false" customHeight="false" outlineLevel="1" collapsed="false">
      <c r="A229" s="7"/>
      <c r="B229" s="29" t="s">
        <v>267</v>
      </c>
      <c r="C229" s="30" t="s">
        <v>277</v>
      </c>
      <c r="D229" s="29"/>
      <c r="E229" s="31" t="n">
        <v>6.686944</v>
      </c>
      <c r="F229" s="7"/>
      <c r="G229" s="32" t="n">
        <f aca="false">E229*$F$217</f>
        <v>92660.983008</v>
      </c>
      <c r="H229" s="7"/>
    </row>
    <row r="230" customFormat="false" ht="15" hidden="false" customHeight="false" outlineLevel="1" collapsed="false">
      <c r="A230" s="7"/>
      <c r="B230" s="29" t="s">
        <v>278</v>
      </c>
      <c r="C230" s="30" t="s">
        <v>279</v>
      </c>
      <c r="D230" s="29"/>
      <c r="E230" s="31" t="n">
        <v>6.63168</v>
      </c>
      <c r="F230" s="7"/>
      <c r="G230" s="32" t="n">
        <f aca="false">E230*$F$217</f>
        <v>91895.18976</v>
      </c>
      <c r="H230" s="7"/>
    </row>
    <row r="231" customFormat="false" ht="15" hidden="false" customHeight="false" outlineLevel="1" collapsed="false">
      <c r="A231" s="7"/>
      <c r="B231" s="29" t="s">
        <v>172</v>
      </c>
      <c r="C231" s="30" t="s">
        <v>173</v>
      </c>
      <c r="D231" s="29"/>
      <c r="E231" s="31" t="n">
        <v>162.52797</v>
      </c>
      <c r="F231" s="7"/>
      <c r="G231" s="32" t="n">
        <f aca="false">E231*$F$217</f>
        <v>2252150.08029</v>
      </c>
      <c r="H231" s="7"/>
    </row>
    <row r="232" customFormat="false" ht="15" hidden="false" customHeight="false" outlineLevel="1" collapsed="false">
      <c r="A232" s="7"/>
      <c r="B232" s="29" t="s">
        <v>172</v>
      </c>
      <c r="C232" s="30" t="s">
        <v>173</v>
      </c>
      <c r="D232" s="29"/>
      <c r="E232" s="31" t="n">
        <v>147.119676</v>
      </c>
      <c r="F232" s="7"/>
      <c r="G232" s="32" t="n">
        <f aca="false">E232*$F$217</f>
        <v>2038637.350332</v>
      </c>
      <c r="H232" s="7"/>
    </row>
    <row r="233" customFormat="false" ht="15" hidden="false" customHeight="false" outlineLevel="0" collapsed="false">
      <c r="A233" s="23" t="n">
        <v>46</v>
      </c>
      <c r="B233" s="23" t="s">
        <v>293</v>
      </c>
      <c r="C233" s="24" t="s">
        <v>82</v>
      </c>
      <c r="D233" s="23" t="s">
        <v>20</v>
      </c>
      <c r="E233" s="25" t="n">
        <f aca="false">SUM(E234:E234)</f>
        <v>11.08072</v>
      </c>
      <c r="F233" s="26" t="n">
        <v>14344</v>
      </c>
      <c r="G233" s="27" t="n">
        <f aca="false">E233*F233</f>
        <v>158941.84768</v>
      </c>
      <c r="H233" s="28" t="s">
        <v>294</v>
      </c>
    </row>
    <row r="234" customFormat="false" ht="15" hidden="false" customHeight="false" outlineLevel="1" collapsed="false">
      <c r="A234" s="7"/>
      <c r="B234" s="29" t="s">
        <v>219</v>
      </c>
      <c r="C234" s="30" t="s">
        <v>220</v>
      </c>
      <c r="D234" s="29"/>
      <c r="E234" s="31" t="n">
        <v>11.08072</v>
      </c>
      <c r="F234" s="7"/>
      <c r="G234" s="32" t="n">
        <f aca="false">E234*$F$233</f>
        <v>158941.84768</v>
      </c>
      <c r="H234" s="7"/>
    </row>
    <row r="235" customFormat="false" ht="15" hidden="false" customHeight="false" outlineLevel="0" collapsed="false">
      <c r="A235" s="23" t="n">
        <v>47</v>
      </c>
      <c r="B235" s="23" t="s">
        <v>295</v>
      </c>
      <c r="C235" s="24" t="s">
        <v>83</v>
      </c>
      <c r="D235" s="23" t="s">
        <v>20</v>
      </c>
      <c r="E235" s="25" t="n">
        <f aca="false">SUM(E236:E238)</f>
        <v>4977.966</v>
      </c>
      <c r="F235" s="26" t="n">
        <v>14594</v>
      </c>
      <c r="G235" s="27" t="n">
        <f aca="false">E235*F235</f>
        <v>72648435.804</v>
      </c>
      <c r="H235" s="28" t="s">
        <v>296</v>
      </c>
    </row>
    <row r="236" customFormat="false" ht="15" hidden="false" customHeight="false" outlineLevel="1" collapsed="false">
      <c r="A236" s="7"/>
      <c r="B236" s="29" t="s">
        <v>215</v>
      </c>
      <c r="C236" s="30" t="s">
        <v>216</v>
      </c>
      <c r="D236" s="29"/>
      <c r="E236" s="31" t="n">
        <v>47.7777</v>
      </c>
      <c r="F236" s="7"/>
      <c r="G236" s="32" t="n">
        <f aca="false">E236*$F$235</f>
        <v>697267.7538</v>
      </c>
      <c r="H236" s="7"/>
    </row>
    <row r="237" customFormat="false" ht="15" hidden="false" customHeight="false" outlineLevel="1" collapsed="false">
      <c r="A237" s="7"/>
      <c r="B237" s="29" t="s">
        <v>215</v>
      </c>
      <c r="C237" s="30" t="s">
        <v>217</v>
      </c>
      <c r="D237" s="29"/>
      <c r="E237" s="31" t="n">
        <v>3836.51715</v>
      </c>
      <c r="F237" s="7"/>
      <c r="G237" s="32" t="n">
        <f aca="false">E237*$F$235</f>
        <v>55990131.2871</v>
      </c>
      <c r="H237" s="7"/>
    </row>
    <row r="238" customFormat="false" ht="15" hidden="false" customHeight="false" outlineLevel="1" collapsed="false">
      <c r="A238" s="7"/>
      <c r="B238" s="29" t="s">
        <v>215</v>
      </c>
      <c r="C238" s="30" t="s">
        <v>218</v>
      </c>
      <c r="D238" s="29"/>
      <c r="E238" s="31" t="n">
        <v>1093.67115</v>
      </c>
      <c r="F238" s="7"/>
      <c r="G238" s="32" t="n">
        <f aca="false">E238*$F$235</f>
        <v>15961036.7631</v>
      </c>
      <c r="H238" s="7"/>
    </row>
    <row r="239" customFormat="false" ht="15" hidden="false" customHeight="false" outlineLevel="0" collapsed="false">
      <c r="A239" s="23" t="n">
        <v>48</v>
      </c>
      <c r="B239" s="23" t="s">
        <v>297</v>
      </c>
      <c r="C239" s="24" t="s">
        <v>84</v>
      </c>
      <c r="D239" s="23" t="s">
        <v>20</v>
      </c>
      <c r="E239" s="25" t="n">
        <f aca="false">SUM(E240:E246)</f>
        <v>13960.06476</v>
      </c>
      <c r="F239" s="26" t="n">
        <v>14394</v>
      </c>
      <c r="G239" s="27" t="n">
        <f aca="false">E239*F239</f>
        <v>200941172.15544</v>
      </c>
      <c r="H239" s="28" t="s">
        <v>298</v>
      </c>
    </row>
    <row r="240" customFormat="false" ht="15" hidden="false" customHeight="false" outlineLevel="1" collapsed="false">
      <c r="A240" s="7"/>
      <c r="B240" s="29" t="s">
        <v>210</v>
      </c>
      <c r="C240" s="30" t="s">
        <v>211</v>
      </c>
      <c r="D240" s="29"/>
      <c r="E240" s="31" t="n">
        <v>11004.0762</v>
      </c>
      <c r="F240" s="7"/>
      <c r="G240" s="32" t="n">
        <f aca="false">E240*$F$239</f>
        <v>158392672.8228</v>
      </c>
      <c r="H240" s="7"/>
    </row>
    <row r="241" customFormat="false" ht="15" hidden="false" customHeight="false" outlineLevel="1" collapsed="false">
      <c r="A241" s="7"/>
      <c r="B241" s="29" t="s">
        <v>210</v>
      </c>
      <c r="C241" s="30" t="s">
        <v>212</v>
      </c>
      <c r="D241" s="29"/>
      <c r="E241" s="31" t="n">
        <v>2200.81524</v>
      </c>
      <c r="F241" s="7"/>
      <c r="G241" s="32" t="n">
        <f aca="false">E241*$F$239</f>
        <v>31678534.56456</v>
      </c>
      <c r="H241" s="7"/>
    </row>
    <row r="242" customFormat="false" ht="15" hidden="false" customHeight="false" outlineLevel="1" collapsed="false">
      <c r="A242" s="7"/>
      <c r="B242" s="29" t="s">
        <v>210</v>
      </c>
      <c r="C242" s="30" t="s">
        <v>211</v>
      </c>
      <c r="D242" s="29"/>
      <c r="E242" s="31" t="n">
        <v>233.223</v>
      </c>
      <c r="F242" s="7"/>
      <c r="G242" s="32" t="n">
        <f aca="false">E242*$F$239</f>
        <v>3357011.862</v>
      </c>
      <c r="H242" s="7"/>
    </row>
    <row r="243" customFormat="false" ht="15" hidden="false" customHeight="false" outlineLevel="1" collapsed="false">
      <c r="A243" s="7"/>
      <c r="B243" s="29" t="s">
        <v>210</v>
      </c>
      <c r="C243" s="30" t="s">
        <v>212</v>
      </c>
      <c r="D243" s="29"/>
      <c r="E243" s="31" t="n">
        <v>46.6446</v>
      </c>
      <c r="F243" s="7"/>
      <c r="G243" s="32" t="n">
        <f aca="false">E243*$F$239</f>
        <v>671402.3724</v>
      </c>
      <c r="H243" s="7"/>
    </row>
    <row r="244" customFormat="false" ht="15" hidden="false" customHeight="false" outlineLevel="1" collapsed="false">
      <c r="A244" s="7"/>
      <c r="B244" s="29" t="s">
        <v>210</v>
      </c>
      <c r="C244" s="30" t="s">
        <v>211</v>
      </c>
      <c r="D244" s="29"/>
      <c r="E244" s="31" t="n">
        <v>266.1486</v>
      </c>
      <c r="F244" s="7"/>
      <c r="G244" s="32" t="n">
        <f aca="false">E244*$F$239</f>
        <v>3830942.9484</v>
      </c>
      <c r="H244" s="7"/>
    </row>
    <row r="245" customFormat="false" ht="15" hidden="false" customHeight="false" outlineLevel="1" collapsed="false">
      <c r="A245" s="7"/>
      <c r="B245" s="29" t="s">
        <v>210</v>
      </c>
      <c r="C245" s="30" t="s">
        <v>212</v>
      </c>
      <c r="D245" s="29"/>
      <c r="E245" s="31" t="n">
        <v>53.22972</v>
      </c>
      <c r="F245" s="7"/>
      <c r="G245" s="32" t="n">
        <f aca="false">E245*$F$239</f>
        <v>766188.58968</v>
      </c>
      <c r="H245" s="7"/>
    </row>
    <row r="246" customFormat="false" ht="15" hidden="false" customHeight="false" outlineLevel="1" collapsed="false">
      <c r="A246" s="7"/>
      <c r="B246" s="29" t="s">
        <v>213</v>
      </c>
      <c r="C246" s="30" t="s">
        <v>214</v>
      </c>
      <c r="D246" s="29"/>
      <c r="E246" s="31" t="n">
        <v>155.9274</v>
      </c>
      <c r="F246" s="7"/>
      <c r="G246" s="32" t="n">
        <f aca="false">E246*$F$239</f>
        <v>2244418.9956</v>
      </c>
      <c r="H246" s="7"/>
    </row>
    <row r="247" customFormat="false" ht="15" hidden="false" customHeight="false" outlineLevel="0" collapsed="false">
      <c r="A247" s="23" t="n">
        <v>49</v>
      </c>
      <c r="B247" s="23" t="s">
        <v>299</v>
      </c>
      <c r="C247" s="24" t="s">
        <v>85</v>
      </c>
      <c r="D247" s="23" t="s">
        <v>52</v>
      </c>
      <c r="E247" s="25" t="n">
        <f aca="false">SUM(E248:E248)</f>
        <v>14559.741</v>
      </c>
      <c r="F247" s="26" t="n">
        <v>24000</v>
      </c>
      <c r="G247" s="27" t="n">
        <f aca="false">E247*F247</f>
        <v>349433784</v>
      </c>
      <c r="H247" s="28" t="s">
        <v>300</v>
      </c>
    </row>
    <row r="248" customFormat="false" ht="15" hidden="false" customHeight="false" outlineLevel="1" collapsed="false">
      <c r="A248" s="7"/>
      <c r="B248" s="29" t="s">
        <v>301</v>
      </c>
      <c r="C248" s="30" t="s">
        <v>302</v>
      </c>
      <c r="D248" s="29"/>
      <c r="E248" s="31" t="n">
        <v>14559.741</v>
      </c>
      <c r="F248" s="7"/>
      <c r="G248" s="32" t="n">
        <f aca="false">E248*$F$247</f>
        <v>349433784</v>
      </c>
      <c r="H248" s="7"/>
    </row>
    <row r="249" customFormat="false" ht="15" hidden="false" customHeight="false" outlineLevel="0" collapsed="false">
      <c r="A249" s="23" t="n">
        <v>50</v>
      </c>
      <c r="B249" s="23" t="s">
        <v>303</v>
      </c>
      <c r="C249" s="24" t="s">
        <v>87</v>
      </c>
      <c r="D249" s="23" t="s">
        <v>20</v>
      </c>
      <c r="E249" s="25" t="n">
        <f aca="false">SUM(E250:E251)</f>
        <v>45747.513</v>
      </c>
      <c r="F249" s="26" t="n">
        <v>1601</v>
      </c>
      <c r="G249" s="27" t="n">
        <f aca="false">E249*F249</f>
        <v>73241768.313</v>
      </c>
      <c r="H249" s="28" t="s">
        <v>304</v>
      </c>
    </row>
    <row r="250" customFormat="false" ht="15" hidden="false" customHeight="false" outlineLevel="1" collapsed="false">
      <c r="A250" s="7"/>
      <c r="B250" s="29" t="s">
        <v>154</v>
      </c>
      <c r="C250" s="30" t="s">
        <v>155</v>
      </c>
      <c r="D250" s="29"/>
      <c r="E250" s="31" t="n">
        <v>29351.64375</v>
      </c>
      <c r="F250" s="7"/>
      <c r="G250" s="32" t="n">
        <f aca="false">E250*$F$249</f>
        <v>46991981.64375</v>
      </c>
      <c r="H250" s="7"/>
    </row>
    <row r="251" customFormat="false" ht="15" hidden="false" customHeight="false" outlineLevel="1" collapsed="false">
      <c r="A251" s="7"/>
      <c r="B251" s="29" t="s">
        <v>156</v>
      </c>
      <c r="C251" s="30" t="s">
        <v>155</v>
      </c>
      <c r="D251" s="29"/>
      <c r="E251" s="31" t="n">
        <v>16395.86925</v>
      </c>
      <c r="F251" s="7"/>
      <c r="G251" s="32" t="n">
        <f aca="false">E251*$F$249</f>
        <v>26249786.66925</v>
      </c>
      <c r="H251" s="7"/>
    </row>
    <row r="252" customFormat="false" ht="15" hidden="false" customHeight="false" outlineLevel="0" collapsed="false">
      <c r="A252" s="23" t="n">
        <v>51</v>
      </c>
      <c r="B252" s="23" t="s">
        <v>303</v>
      </c>
      <c r="C252" s="24" t="s">
        <v>88</v>
      </c>
      <c r="D252" s="23" t="s">
        <v>20</v>
      </c>
      <c r="E252" s="25" t="n">
        <f aca="false">SUM(E253:E272)</f>
        <v>1558032.0508</v>
      </c>
      <c r="F252" s="26" t="n">
        <v>1442</v>
      </c>
      <c r="G252" s="27" t="n">
        <f aca="false">E252*F252</f>
        <v>2246682217.2536</v>
      </c>
      <c r="H252" s="28" t="s">
        <v>305</v>
      </c>
    </row>
    <row r="253" customFormat="false" ht="23.85" hidden="false" customHeight="false" outlineLevel="1" collapsed="false">
      <c r="A253" s="7"/>
      <c r="B253" s="29" t="s">
        <v>133</v>
      </c>
      <c r="C253" s="30" t="s">
        <v>134</v>
      </c>
      <c r="D253" s="29"/>
      <c r="E253" s="31" t="n">
        <v>64056.432</v>
      </c>
      <c r="F253" s="7"/>
      <c r="G253" s="32" t="n">
        <f aca="false">E253*$F$252</f>
        <v>92369374.944</v>
      </c>
      <c r="H253" s="7"/>
    </row>
    <row r="254" customFormat="false" ht="23.85" hidden="false" customHeight="false" outlineLevel="1" collapsed="false">
      <c r="A254" s="7"/>
      <c r="B254" s="29" t="s">
        <v>135</v>
      </c>
      <c r="C254" s="30" t="s">
        <v>136</v>
      </c>
      <c r="D254" s="29"/>
      <c r="E254" s="31" t="n">
        <v>955481.0496</v>
      </c>
      <c r="F254" s="7"/>
      <c r="G254" s="32" t="n">
        <f aca="false">E254*$F$252</f>
        <v>1377803673.5232</v>
      </c>
      <c r="H254" s="7"/>
    </row>
    <row r="255" customFormat="false" ht="23.85" hidden="false" customHeight="false" outlineLevel="1" collapsed="false">
      <c r="A255" s="7"/>
      <c r="B255" s="29" t="s">
        <v>135</v>
      </c>
      <c r="C255" s="30" t="s">
        <v>136</v>
      </c>
      <c r="D255" s="29"/>
      <c r="E255" s="31" t="n">
        <v>15095.08</v>
      </c>
      <c r="F255" s="7"/>
      <c r="G255" s="32" t="n">
        <f aca="false">E255*$F$252</f>
        <v>21767105.36</v>
      </c>
      <c r="H255" s="7"/>
    </row>
    <row r="256" customFormat="false" ht="23.85" hidden="false" customHeight="false" outlineLevel="1" collapsed="false">
      <c r="A256" s="7"/>
      <c r="B256" s="29" t="s">
        <v>135</v>
      </c>
      <c r="C256" s="30" t="s">
        <v>136</v>
      </c>
      <c r="D256" s="29"/>
      <c r="E256" s="31" t="n">
        <v>17224.4688</v>
      </c>
      <c r="F256" s="7"/>
      <c r="G256" s="32" t="n">
        <f aca="false">E256*$F$252</f>
        <v>24837684.0096</v>
      </c>
      <c r="H256" s="7"/>
    </row>
    <row r="257" customFormat="false" ht="23.85" hidden="false" customHeight="false" outlineLevel="1" collapsed="false">
      <c r="A257" s="7"/>
      <c r="B257" s="29" t="s">
        <v>135</v>
      </c>
      <c r="C257" s="30" t="s">
        <v>137</v>
      </c>
      <c r="D257" s="29"/>
      <c r="E257" s="31" t="n">
        <v>231631.7696</v>
      </c>
      <c r="F257" s="7"/>
      <c r="G257" s="32" t="n">
        <f aca="false">E257*$F$252</f>
        <v>334013011.7632</v>
      </c>
      <c r="H257" s="7"/>
    </row>
    <row r="258" customFormat="false" ht="23.85" hidden="false" customHeight="false" outlineLevel="1" collapsed="false">
      <c r="A258" s="7"/>
      <c r="B258" s="29" t="s">
        <v>135</v>
      </c>
      <c r="C258" s="30" t="s">
        <v>138</v>
      </c>
      <c r="D258" s="29"/>
      <c r="E258" s="31" t="n">
        <v>52287.928</v>
      </c>
      <c r="F258" s="7"/>
      <c r="G258" s="32" t="n">
        <f aca="false">E258*$F$252</f>
        <v>75399192.176</v>
      </c>
      <c r="H258" s="7"/>
    </row>
    <row r="259" customFormat="false" ht="23.85" hidden="false" customHeight="false" outlineLevel="1" collapsed="false">
      <c r="A259" s="7"/>
      <c r="B259" s="29" t="s">
        <v>135</v>
      </c>
      <c r="C259" s="30" t="s">
        <v>138</v>
      </c>
      <c r="D259" s="29"/>
      <c r="E259" s="31" t="n">
        <v>54199.376</v>
      </c>
      <c r="F259" s="7"/>
      <c r="G259" s="32" t="n">
        <f aca="false">E259*$F$252</f>
        <v>78155500.192</v>
      </c>
      <c r="H259" s="7"/>
    </row>
    <row r="260" customFormat="false" ht="23.85" hidden="false" customHeight="false" outlineLevel="1" collapsed="false">
      <c r="A260" s="7"/>
      <c r="B260" s="29" t="s">
        <v>139</v>
      </c>
      <c r="C260" s="30" t="s">
        <v>140</v>
      </c>
      <c r="D260" s="29"/>
      <c r="E260" s="31" t="n">
        <v>3041.544</v>
      </c>
      <c r="F260" s="7"/>
      <c r="G260" s="32" t="n">
        <f aca="false">E260*$F$252</f>
        <v>4385906.448</v>
      </c>
      <c r="H260" s="7"/>
    </row>
    <row r="261" customFormat="false" ht="15" hidden="false" customHeight="false" outlineLevel="1" collapsed="false">
      <c r="A261" s="7"/>
      <c r="B261" s="29" t="s">
        <v>141</v>
      </c>
      <c r="C261" s="30" t="s">
        <v>142</v>
      </c>
      <c r="D261" s="29"/>
      <c r="E261" s="31" t="n">
        <v>31349.912</v>
      </c>
      <c r="F261" s="7"/>
      <c r="G261" s="32" t="n">
        <f aca="false">E261*$F$252</f>
        <v>45206573.104</v>
      </c>
      <c r="H261" s="7"/>
    </row>
    <row r="262" customFormat="false" ht="15" hidden="false" customHeight="false" outlineLevel="1" collapsed="false">
      <c r="A262" s="7"/>
      <c r="B262" s="29" t="s">
        <v>141</v>
      </c>
      <c r="C262" s="30" t="s">
        <v>142</v>
      </c>
      <c r="D262" s="29"/>
      <c r="E262" s="31" t="n">
        <v>36862.936</v>
      </c>
      <c r="F262" s="7"/>
      <c r="G262" s="32" t="n">
        <f aca="false">E262*$F$252</f>
        <v>53156353.712</v>
      </c>
      <c r="H262" s="7"/>
    </row>
    <row r="263" customFormat="false" ht="23.85" hidden="false" customHeight="false" outlineLevel="1" collapsed="false">
      <c r="A263" s="7"/>
      <c r="B263" s="29" t="s">
        <v>143</v>
      </c>
      <c r="C263" s="30" t="s">
        <v>144</v>
      </c>
      <c r="D263" s="29"/>
      <c r="E263" s="31" t="n">
        <v>23563.848</v>
      </c>
      <c r="F263" s="7"/>
      <c r="G263" s="32" t="n">
        <f aca="false">E263*$F$252</f>
        <v>33979068.816</v>
      </c>
      <c r="H263" s="7"/>
    </row>
    <row r="264" customFormat="false" ht="15" hidden="false" customHeight="false" outlineLevel="1" collapsed="false">
      <c r="A264" s="7"/>
      <c r="B264" s="29" t="s">
        <v>145</v>
      </c>
      <c r="C264" s="30" t="s">
        <v>146</v>
      </c>
      <c r="D264" s="29"/>
      <c r="E264" s="31" t="n">
        <v>5375.92</v>
      </c>
      <c r="F264" s="7"/>
      <c r="G264" s="32" t="n">
        <f aca="false">E264*$F$252</f>
        <v>7752076.64</v>
      </c>
      <c r="H264" s="7"/>
    </row>
    <row r="265" customFormat="false" ht="15" hidden="false" customHeight="false" outlineLevel="1" collapsed="false">
      <c r="A265" s="7"/>
      <c r="B265" s="29" t="s">
        <v>127</v>
      </c>
      <c r="C265" s="30" t="s">
        <v>128</v>
      </c>
      <c r="D265" s="29"/>
      <c r="E265" s="31" t="n">
        <v>6123.0884</v>
      </c>
      <c r="F265" s="7"/>
      <c r="G265" s="32" t="n">
        <f aca="false">E265*$F$252</f>
        <v>8829493.4728</v>
      </c>
      <c r="H265" s="7"/>
    </row>
    <row r="266" customFormat="false" ht="23.85" hidden="false" customHeight="false" outlineLevel="1" collapsed="false">
      <c r="A266" s="7"/>
      <c r="B266" s="29" t="s">
        <v>147</v>
      </c>
      <c r="C266" s="30" t="s">
        <v>148</v>
      </c>
      <c r="D266" s="29"/>
      <c r="E266" s="31" t="n">
        <v>3263.5295</v>
      </c>
      <c r="F266" s="7"/>
      <c r="G266" s="32" t="n">
        <f aca="false">E266*$F$252</f>
        <v>4706009.539</v>
      </c>
      <c r="H266" s="7"/>
    </row>
    <row r="267" customFormat="false" ht="15" hidden="false" customHeight="false" outlineLevel="1" collapsed="false">
      <c r="A267" s="7"/>
      <c r="B267" s="29" t="s">
        <v>129</v>
      </c>
      <c r="C267" s="30" t="s">
        <v>128</v>
      </c>
      <c r="D267" s="29"/>
      <c r="E267" s="31" t="n">
        <v>4002.1216</v>
      </c>
      <c r="F267" s="7"/>
      <c r="G267" s="32" t="n">
        <f aca="false">E267*$F$252</f>
        <v>5771059.3472</v>
      </c>
      <c r="H267" s="7"/>
    </row>
    <row r="268" customFormat="false" ht="15" hidden="false" customHeight="false" outlineLevel="1" collapsed="false">
      <c r="A268" s="7"/>
      <c r="B268" s="29" t="s">
        <v>149</v>
      </c>
      <c r="C268" s="30" t="s">
        <v>150</v>
      </c>
      <c r="D268" s="29"/>
      <c r="E268" s="31" t="n">
        <v>693.7728</v>
      </c>
      <c r="F268" s="7"/>
      <c r="G268" s="32" t="n">
        <f aca="false">E268*$F$252</f>
        <v>1000420.3776</v>
      </c>
      <c r="H268" s="7"/>
    </row>
    <row r="269" customFormat="false" ht="15" hidden="false" customHeight="false" outlineLevel="1" collapsed="false">
      <c r="A269" s="7"/>
      <c r="B269" s="29" t="s">
        <v>119</v>
      </c>
      <c r="C269" s="30" t="s">
        <v>120</v>
      </c>
      <c r="D269" s="29"/>
      <c r="E269" s="31" t="n">
        <v>75.92</v>
      </c>
      <c r="F269" s="7"/>
      <c r="G269" s="32" t="n">
        <f aca="false">E269*$F$252</f>
        <v>109476.64</v>
      </c>
      <c r="H269" s="7"/>
    </row>
    <row r="270" customFormat="false" ht="23.85" hidden="false" customHeight="false" outlineLevel="1" collapsed="false">
      <c r="A270" s="7"/>
      <c r="B270" s="29" t="s">
        <v>133</v>
      </c>
      <c r="C270" s="30" t="s">
        <v>151</v>
      </c>
      <c r="D270" s="29"/>
      <c r="E270" s="31" t="n">
        <v>25425.576</v>
      </c>
      <c r="F270" s="7"/>
      <c r="G270" s="32" t="n">
        <f aca="false">E270*$F$252</f>
        <v>36663680.592</v>
      </c>
      <c r="H270" s="7"/>
    </row>
    <row r="271" customFormat="false" ht="15" hidden="false" customHeight="false" outlineLevel="1" collapsed="false">
      <c r="A271" s="7"/>
      <c r="B271" s="29" t="s">
        <v>119</v>
      </c>
      <c r="C271" s="30" t="s">
        <v>130</v>
      </c>
      <c r="D271" s="29"/>
      <c r="E271" s="31" t="n">
        <v>151.84</v>
      </c>
      <c r="F271" s="7"/>
      <c r="G271" s="32" t="n">
        <f aca="false">E271*$F$252</f>
        <v>218953.28</v>
      </c>
      <c r="H271" s="7"/>
    </row>
    <row r="272" customFormat="false" ht="15" hidden="false" customHeight="false" outlineLevel="1" collapsed="false">
      <c r="A272" s="7"/>
      <c r="B272" s="29" t="s">
        <v>152</v>
      </c>
      <c r="C272" s="30" t="s">
        <v>153</v>
      </c>
      <c r="D272" s="29"/>
      <c r="E272" s="31" t="n">
        <v>28125.9385</v>
      </c>
      <c r="F272" s="7"/>
      <c r="G272" s="32" t="n">
        <f aca="false">E272*$F$252</f>
        <v>40557603.317</v>
      </c>
      <c r="H272" s="7"/>
    </row>
    <row r="273" customFormat="false" ht="15" hidden="false" customHeight="false" outlineLevel="0" collapsed="false">
      <c r="A273" s="23" t="n">
        <v>52</v>
      </c>
      <c r="B273" s="23" t="s">
        <v>306</v>
      </c>
      <c r="C273" s="24" t="s">
        <v>89</v>
      </c>
      <c r="D273" s="23" t="s">
        <v>90</v>
      </c>
      <c r="E273" s="34"/>
      <c r="F273" s="34"/>
      <c r="G273" s="27" t="n">
        <f aca="false">SUM(G274:G321)</f>
        <v>99682690.0285337</v>
      </c>
      <c r="H273" s="28" t="s">
        <v>307</v>
      </c>
    </row>
    <row r="274" customFormat="false" ht="15" hidden="false" customHeight="false" outlineLevel="1" collapsed="false">
      <c r="A274" s="7"/>
      <c r="B274" s="29" t="s">
        <v>301</v>
      </c>
      <c r="C274" s="30" t="s">
        <v>302</v>
      </c>
      <c r="D274" s="29" t="s">
        <v>90</v>
      </c>
      <c r="E274" s="31" t="n">
        <v>0.2</v>
      </c>
      <c r="F274" s="7"/>
      <c r="G274" s="35" t="n">
        <v>698867.568</v>
      </c>
      <c r="H274" s="7"/>
    </row>
    <row r="275" customFormat="false" ht="15" hidden="false" customHeight="false" outlineLevel="1" collapsed="false">
      <c r="A275" s="7"/>
      <c r="B275" s="29" t="s">
        <v>249</v>
      </c>
      <c r="C275" s="30" t="s">
        <v>250</v>
      </c>
      <c r="D275" s="29" t="s">
        <v>90</v>
      </c>
      <c r="E275" s="31" t="n">
        <v>0.2</v>
      </c>
      <c r="F275" s="7"/>
      <c r="G275" s="35" t="n">
        <v>9196.572</v>
      </c>
      <c r="H275" s="7"/>
    </row>
    <row r="276" customFormat="false" ht="15" hidden="false" customHeight="false" outlineLevel="1" collapsed="false">
      <c r="A276" s="7"/>
      <c r="B276" s="29" t="s">
        <v>265</v>
      </c>
      <c r="C276" s="30" t="s">
        <v>266</v>
      </c>
      <c r="D276" s="29" t="s">
        <v>90</v>
      </c>
      <c r="E276" s="31" t="n">
        <v>5</v>
      </c>
      <c r="F276" s="7"/>
      <c r="G276" s="35" t="n">
        <v>153748.5727863</v>
      </c>
      <c r="H276" s="7"/>
    </row>
    <row r="277" customFormat="false" ht="23.85" hidden="false" customHeight="false" outlineLevel="1" collapsed="false">
      <c r="A277" s="7"/>
      <c r="B277" s="29" t="s">
        <v>133</v>
      </c>
      <c r="C277" s="30" t="s">
        <v>134</v>
      </c>
      <c r="D277" s="29" t="s">
        <v>90</v>
      </c>
      <c r="E277" s="31" t="n">
        <v>5</v>
      </c>
      <c r="F277" s="7"/>
      <c r="G277" s="35" t="n">
        <v>10432306.1184878</v>
      </c>
      <c r="H277" s="7"/>
    </row>
    <row r="278" customFormat="false" ht="23.85" hidden="false" customHeight="false" outlineLevel="1" collapsed="false">
      <c r="A278" s="7"/>
      <c r="B278" s="29" t="s">
        <v>135</v>
      </c>
      <c r="C278" s="30" t="s">
        <v>136</v>
      </c>
      <c r="D278" s="29" t="s">
        <v>90</v>
      </c>
      <c r="E278" s="31" t="n">
        <v>1</v>
      </c>
      <c r="F278" s="7"/>
      <c r="G278" s="35" t="n">
        <v>33977823.8470375</v>
      </c>
      <c r="H278" s="7"/>
    </row>
    <row r="279" customFormat="false" ht="15" hidden="false" customHeight="false" outlineLevel="1" collapsed="false">
      <c r="A279" s="7"/>
      <c r="B279" s="29" t="s">
        <v>267</v>
      </c>
      <c r="C279" s="30" t="s">
        <v>268</v>
      </c>
      <c r="D279" s="29" t="s">
        <v>90</v>
      </c>
      <c r="E279" s="31" t="n">
        <v>5</v>
      </c>
      <c r="F279" s="7"/>
      <c r="G279" s="35" t="n">
        <v>3818519.8970205</v>
      </c>
      <c r="H279" s="7"/>
    </row>
    <row r="280" customFormat="false" ht="23.85" hidden="false" customHeight="false" outlineLevel="1" collapsed="false">
      <c r="A280" s="7"/>
      <c r="B280" s="29" t="s">
        <v>135</v>
      </c>
      <c r="C280" s="30" t="s">
        <v>136</v>
      </c>
      <c r="D280" s="29" t="s">
        <v>90</v>
      </c>
      <c r="E280" s="31" t="n">
        <v>1</v>
      </c>
      <c r="F280" s="7"/>
      <c r="G280" s="35" t="n">
        <v>536795.543367037</v>
      </c>
      <c r="H280" s="7"/>
    </row>
    <row r="281" customFormat="false" ht="15" hidden="false" customHeight="false" outlineLevel="1" collapsed="false">
      <c r="A281" s="7"/>
      <c r="B281" s="29" t="s">
        <v>267</v>
      </c>
      <c r="C281" s="30" t="s">
        <v>268</v>
      </c>
      <c r="D281" s="29" t="s">
        <v>90</v>
      </c>
      <c r="E281" s="31" t="n">
        <v>5</v>
      </c>
      <c r="F281" s="7"/>
      <c r="G281" s="35" t="n">
        <v>70198.34412675</v>
      </c>
      <c r="H281" s="7"/>
    </row>
    <row r="282" customFormat="false" ht="23.85" hidden="false" customHeight="false" outlineLevel="1" collapsed="false">
      <c r="A282" s="7"/>
      <c r="B282" s="29" t="s">
        <v>135</v>
      </c>
      <c r="C282" s="30" t="s">
        <v>136</v>
      </c>
      <c r="D282" s="29" t="s">
        <v>90</v>
      </c>
      <c r="E282" s="31" t="n">
        <v>1</v>
      </c>
      <c r="F282" s="7"/>
      <c r="G282" s="35" t="n">
        <v>612518.654336683</v>
      </c>
      <c r="H282" s="7"/>
    </row>
    <row r="283" customFormat="false" ht="15" hidden="false" customHeight="false" outlineLevel="1" collapsed="false">
      <c r="A283" s="7"/>
      <c r="B283" s="29" t="s">
        <v>267</v>
      </c>
      <c r="C283" s="30" t="s">
        <v>268</v>
      </c>
      <c r="D283" s="29" t="s">
        <v>90</v>
      </c>
      <c r="E283" s="31" t="n">
        <v>5</v>
      </c>
      <c r="F283" s="7"/>
      <c r="G283" s="35" t="n">
        <v>80106.964161</v>
      </c>
      <c r="H283" s="7"/>
    </row>
    <row r="284" customFormat="false" ht="23.85" hidden="false" customHeight="false" outlineLevel="1" collapsed="false">
      <c r="A284" s="7"/>
      <c r="B284" s="29" t="s">
        <v>135</v>
      </c>
      <c r="C284" s="30" t="s">
        <v>137</v>
      </c>
      <c r="D284" s="29" t="s">
        <v>90</v>
      </c>
      <c r="E284" s="31" t="n">
        <v>1</v>
      </c>
      <c r="F284" s="7"/>
      <c r="G284" s="35" t="n">
        <v>8237048.20534243</v>
      </c>
      <c r="H284" s="7"/>
    </row>
    <row r="285" customFormat="false" ht="15" hidden="false" customHeight="false" outlineLevel="1" collapsed="false">
      <c r="A285" s="7"/>
      <c r="B285" s="29" t="s">
        <v>267</v>
      </c>
      <c r="C285" s="30" t="s">
        <v>269</v>
      </c>
      <c r="D285" s="29" t="s">
        <v>90</v>
      </c>
      <c r="E285" s="31" t="n">
        <v>5</v>
      </c>
      <c r="F285" s="7"/>
      <c r="G285" s="35" t="n">
        <v>720851.46088375</v>
      </c>
      <c r="H285" s="7"/>
    </row>
    <row r="286" customFormat="false" ht="23.85" hidden="false" customHeight="false" outlineLevel="1" collapsed="false">
      <c r="A286" s="7"/>
      <c r="B286" s="29" t="s">
        <v>135</v>
      </c>
      <c r="C286" s="30" t="s">
        <v>138</v>
      </c>
      <c r="D286" s="29" t="s">
        <v>90</v>
      </c>
      <c r="E286" s="31" t="n">
        <v>1</v>
      </c>
      <c r="F286" s="7"/>
      <c r="G286" s="35" t="n">
        <v>1859408.94134357</v>
      </c>
      <c r="H286" s="7"/>
    </row>
    <row r="287" customFormat="false" ht="15" hidden="false" customHeight="false" outlineLevel="1" collapsed="false">
      <c r="A287" s="7"/>
      <c r="B287" s="29" t="s">
        <v>267</v>
      </c>
      <c r="C287" s="30" t="s">
        <v>270</v>
      </c>
      <c r="D287" s="29" t="s">
        <v>90</v>
      </c>
      <c r="E287" s="31" t="n">
        <v>5</v>
      </c>
      <c r="F287" s="7"/>
      <c r="G287" s="35" t="n">
        <v>225655.8244605</v>
      </c>
      <c r="H287" s="7"/>
    </row>
    <row r="288" customFormat="false" ht="23.85" hidden="false" customHeight="false" outlineLevel="1" collapsed="false">
      <c r="A288" s="7"/>
      <c r="B288" s="29" t="s">
        <v>135</v>
      </c>
      <c r="C288" s="30" t="s">
        <v>138</v>
      </c>
      <c r="D288" s="29" t="s">
        <v>90</v>
      </c>
      <c r="E288" s="31" t="n">
        <v>1</v>
      </c>
      <c r="F288" s="7"/>
      <c r="G288" s="35" t="n">
        <v>1927381.8681368</v>
      </c>
      <c r="H288" s="7"/>
    </row>
    <row r="289" customFormat="false" ht="15" hidden="false" customHeight="false" outlineLevel="1" collapsed="false">
      <c r="A289" s="7"/>
      <c r="B289" s="29" t="s">
        <v>267</v>
      </c>
      <c r="C289" s="30" t="s">
        <v>270</v>
      </c>
      <c r="D289" s="29" t="s">
        <v>90</v>
      </c>
      <c r="E289" s="31" t="n">
        <v>5</v>
      </c>
      <c r="F289" s="7"/>
      <c r="G289" s="35" t="n">
        <v>234710.92201725</v>
      </c>
      <c r="H289" s="7"/>
    </row>
    <row r="290" customFormat="false" ht="15" hidden="false" customHeight="false" outlineLevel="1" collapsed="false">
      <c r="A290" s="7"/>
      <c r="B290" s="29" t="s">
        <v>265</v>
      </c>
      <c r="C290" s="30" t="s">
        <v>271</v>
      </c>
      <c r="D290" s="29" t="s">
        <v>90</v>
      </c>
      <c r="E290" s="31" t="n">
        <v>5</v>
      </c>
      <c r="F290" s="7"/>
      <c r="G290" s="35" t="n">
        <v>13203.8617874</v>
      </c>
      <c r="H290" s="7"/>
    </row>
    <row r="291" customFormat="false" ht="23.85" hidden="false" customHeight="false" outlineLevel="1" collapsed="false">
      <c r="A291" s="7"/>
      <c r="B291" s="29" t="s">
        <v>139</v>
      </c>
      <c r="C291" s="30" t="s">
        <v>140</v>
      </c>
      <c r="D291" s="29" t="s">
        <v>90</v>
      </c>
      <c r="E291" s="31" t="n">
        <v>1</v>
      </c>
      <c r="F291" s="7"/>
      <c r="G291" s="35" t="n">
        <v>99069.8891279175</v>
      </c>
      <c r="H291" s="7"/>
    </row>
    <row r="292" customFormat="false" ht="15" hidden="false" customHeight="false" outlineLevel="1" collapsed="false">
      <c r="A292" s="7"/>
      <c r="B292" s="29" t="s">
        <v>154</v>
      </c>
      <c r="C292" s="30" t="s">
        <v>155</v>
      </c>
      <c r="D292" s="29" t="s">
        <v>90</v>
      </c>
      <c r="E292" s="31" t="n">
        <v>1</v>
      </c>
      <c r="F292" s="7"/>
      <c r="G292" s="35" t="n">
        <v>1091742.78253219</v>
      </c>
      <c r="H292" s="7"/>
    </row>
    <row r="293" customFormat="false" ht="15" hidden="false" customHeight="false" outlineLevel="1" collapsed="false">
      <c r="A293" s="7"/>
      <c r="B293" s="29" t="s">
        <v>272</v>
      </c>
      <c r="C293" s="30" t="s">
        <v>273</v>
      </c>
      <c r="D293" s="29" t="s">
        <v>90</v>
      </c>
      <c r="E293" s="31" t="n">
        <v>5</v>
      </c>
      <c r="F293" s="7"/>
      <c r="G293" s="35" t="n">
        <v>14347.3417525</v>
      </c>
      <c r="H293" s="7"/>
    </row>
    <row r="294" customFormat="false" ht="15" hidden="false" customHeight="false" outlineLevel="1" collapsed="false">
      <c r="A294" s="7"/>
      <c r="B294" s="29" t="s">
        <v>141</v>
      </c>
      <c r="C294" s="30" t="s">
        <v>142</v>
      </c>
      <c r="D294" s="29" t="s">
        <v>90</v>
      </c>
      <c r="E294" s="31" t="n">
        <v>5</v>
      </c>
      <c r="F294" s="7"/>
      <c r="G294" s="35" t="n">
        <v>5105683.66923176</v>
      </c>
      <c r="H294" s="7"/>
    </row>
    <row r="295" customFormat="false" ht="15" hidden="false" customHeight="false" outlineLevel="1" collapsed="false">
      <c r="A295" s="7"/>
      <c r="B295" s="29" t="s">
        <v>141</v>
      </c>
      <c r="C295" s="30" t="s">
        <v>142</v>
      </c>
      <c r="D295" s="29" t="s">
        <v>90</v>
      </c>
      <c r="E295" s="31" t="n">
        <v>5</v>
      </c>
      <c r="F295" s="7"/>
      <c r="G295" s="35" t="n">
        <v>6003541.26464966</v>
      </c>
      <c r="H295" s="7"/>
    </row>
    <row r="296" customFormat="false" ht="15" hidden="false" customHeight="false" outlineLevel="1" collapsed="false">
      <c r="A296" s="7"/>
      <c r="B296" s="29" t="s">
        <v>265</v>
      </c>
      <c r="C296" s="30" t="s">
        <v>274</v>
      </c>
      <c r="D296" s="29" t="s">
        <v>90</v>
      </c>
      <c r="E296" s="31" t="n">
        <v>5</v>
      </c>
      <c r="F296" s="7"/>
      <c r="G296" s="35" t="n">
        <v>189558.09737765</v>
      </c>
      <c r="H296" s="7"/>
    </row>
    <row r="297" customFormat="false" ht="23.85" hidden="false" customHeight="false" outlineLevel="1" collapsed="false">
      <c r="A297" s="7"/>
      <c r="B297" s="29" t="s">
        <v>143</v>
      </c>
      <c r="C297" s="30" t="s">
        <v>144</v>
      </c>
      <c r="D297" s="29" t="s">
        <v>90</v>
      </c>
      <c r="E297" s="31" t="n">
        <v>5</v>
      </c>
      <c r="F297" s="7"/>
      <c r="G297" s="35" t="n">
        <v>3837636.09664549</v>
      </c>
      <c r="H297" s="7"/>
    </row>
    <row r="298" customFormat="false" ht="15" hidden="false" customHeight="false" outlineLevel="1" collapsed="false">
      <c r="A298" s="7"/>
      <c r="B298" s="29" t="s">
        <v>265</v>
      </c>
      <c r="C298" s="30" t="s">
        <v>275</v>
      </c>
      <c r="D298" s="29" t="s">
        <v>90</v>
      </c>
      <c r="E298" s="31" t="n">
        <v>5</v>
      </c>
      <c r="F298" s="7"/>
      <c r="G298" s="35" t="n">
        <v>32627.56928395</v>
      </c>
      <c r="H298" s="7"/>
    </row>
    <row r="299" customFormat="false" ht="15" hidden="false" customHeight="false" outlineLevel="1" collapsed="false">
      <c r="A299" s="7"/>
      <c r="B299" s="29" t="s">
        <v>145</v>
      </c>
      <c r="C299" s="30" t="s">
        <v>146</v>
      </c>
      <c r="D299" s="29" t="s">
        <v>90</v>
      </c>
      <c r="E299" s="31" t="n">
        <v>1</v>
      </c>
      <c r="F299" s="7"/>
      <c r="G299" s="35" t="n">
        <v>175105.735232025</v>
      </c>
      <c r="H299" s="7"/>
    </row>
    <row r="300" customFormat="false" ht="15" hidden="false" customHeight="false" outlineLevel="1" collapsed="false">
      <c r="A300" s="7"/>
      <c r="B300" s="29" t="s">
        <v>265</v>
      </c>
      <c r="C300" s="30" t="s">
        <v>276</v>
      </c>
      <c r="D300" s="29" t="s">
        <v>90</v>
      </c>
      <c r="E300" s="31" t="n">
        <v>5</v>
      </c>
      <c r="F300" s="7"/>
      <c r="G300" s="35" t="n">
        <v>285292.35902785</v>
      </c>
      <c r="H300" s="7"/>
    </row>
    <row r="301" customFormat="false" ht="15" hidden="false" customHeight="false" outlineLevel="1" collapsed="false">
      <c r="A301" s="7"/>
      <c r="B301" s="29" t="s">
        <v>267</v>
      </c>
      <c r="C301" s="30" t="s">
        <v>277</v>
      </c>
      <c r="D301" s="29" t="s">
        <v>90</v>
      </c>
      <c r="E301" s="31" t="n">
        <v>5</v>
      </c>
      <c r="F301" s="7"/>
      <c r="G301" s="35" t="n">
        <v>10014.663736</v>
      </c>
      <c r="H301" s="7"/>
    </row>
    <row r="302" customFormat="false" ht="23.85" hidden="false" customHeight="false" outlineLevel="1" collapsed="false">
      <c r="A302" s="7"/>
      <c r="B302" s="29" t="s">
        <v>147</v>
      </c>
      <c r="C302" s="30" t="s">
        <v>148</v>
      </c>
      <c r="D302" s="29" t="s">
        <v>90</v>
      </c>
      <c r="E302" s="31" t="n">
        <v>0.5</v>
      </c>
      <c r="F302" s="7"/>
      <c r="G302" s="35" t="n">
        <v>50882.53791439</v>
      </c>
      <c r="H302" s="7"/>
    </row>
    <row r="303" customFormat="false" ht="15" hidden="false" customHeight="false" outlineLevel="1" collapsed="false">
      <c r="A303" s="7"/>
      <c r="B303" s="29" t="s">
        <v>219</v>
      </c>
      <c r="C303" s="30" t="s">
        <v>220</v>
      </c>
      <c r="D303" s="29" t="s">
        <v>90</v>
      </c>
      <c r="E303" s="31" t="n">
        <v>0.5</v>
      </c>
      <c r="F303" s="7"/>
      <c r="G303" s="35" t="n">
        <v>1836.6926584</v>
      </c>
      <c r="H303" s="7"/>
    </row>
    <row r="304" customFormat="false" ht="15" hidden="false" customHeight="false" outlineLevel="1" collapsed="false">
      <c r="A304" s="7"/>
      <c r="B304" s="29" t="s">
        <v>272</v>
      </c>
      <c r="C304" s="30" t="s">
        <v>273</v>
      </c>
      <c r="D304" s="29" t="s">
        <v>90</v>
      </c>
      <c r="E304" s="31" t="n">
        <v>5</v>
      </c>
      <c r="F304" s="7"/>
      <c r="G304" s="35" t="n">
        <v>7041.3869775</v>
      </c>
      <c r="H304" s="7"/>
    </row>
    <row r="305" customFormat="false" ht="15" hidden="false" customHeight="false" outlineLevel="1" collapsed="false">
      <c r="A305" s="7"/>
      <c r="B305" s="29" t="s">
        <v>251</v>
      </c>
      <c r="C305" s="30" t="s">
        <v>252</v>
      </c>
      <c r="D305" s="29" t="s">
        <v>90</v>
      </c>
      <c r="E305" s="31" t="n">
        <v>0.2</v>
      </c>
      <c r="F305" s="7"/>
      <c r="G305" s="35" t="n">
        <v>519.288</v>
      </c>
      <c r="H305" s="7"/>
    </row>
    <row r="306" customFormat="false" ht="15" hidden="false" customHeight="false" outlineLevel="1" collapsed="false">
      <c r="A306" s="7"/>
      <c r="B306" s="29" t="s">
        <v>251</v>
      </c>
      <c r="C306" s="30" t="s">
        <v>250</v>
      </c>
      <c r="D306" s="29" t="s">
        <v>90</v>
      </c>
      <c r="E306" s="31" t="n">
        <v>0.2</v>
      </c>
      <c r="F306" s="7"/>
      <c r="G306" s="35" t="n">
        <v>27308.82</v>
      </c>
      <c r="H306" s="7"/>
    </row>
    <row r="307" customFormat="false" ht="15" hidden="false" customHeight="false" outlineLevel="1" collapsed="false">
      <c r="A307" s="7"/>
      <c r="B307" s="29" t="s">
        <v>251</v>
      </c>
      <c r="C307" s="30" t="s">
        <v>250</v>
      </c>
      <c r="D307" s="29" t="s">
        <v>90</v>
      </c>
      <c r="E307" s="31" t="n">
        <v>0.2</v>
      </c>
      <c r="F307" s="7"/>
      <c r="G307" s="35" t="n">
        <v>18452.896</v>
      </c>
      <c r="H307" s="7"/>
    </row>
    <row r="308" customFormat="false" ht="23.85" hidden="false" customHeight="false" outlineLevel="1" collapsed="false">
      <c r="A308" s="7"/>
      <c r="B308" s="29" t="s">
        <v>168</v>
      </c>
      <c r="C308" s="30" t="s">
        <v>169</v>
      </c>
      <c r="D308" s="29" t="s">
        <v>90</v>
      </c>
      <c r="E308" s="31" t="n">
        <v>0.01</v>
      </c>
      <c r="F308" s="7"/>
      <c r="G308" s="35" t="n">
        <v>9880.0341933</v>
      </c>
      <c r="H308" s="7"/>
    </row>
    <row r="309" customFormat="false" ht="23.85" hidden="false" customHeight="false" outlineLevel="1" collapsed="false">
      <c r="A309" s="7"/>
      <c r="B309" s="29" t="s">
        <v>166</v>
      </c>
      <c r="C309" s="30" t="s">
        <v>167</v>
      </c>
      <c r="D309" s="29" t="s">
        <v>90</v>
      </c>
      <c r="E309" s="31" t="n">
        <v>0.01</v>
      </c>
      <c r="F309" s="7"/>
      <c r="G309" s="35" t="n">
        <v>229.277706</v>
      </c>
      <c r="H309" s="7"/>
    </row>
    <row r="310" customFormat="false" ht="15" hidden="false" customHeight="false" outlineLevel="1" collapsed="false">
      <c r="A310" s="7"/>
      <c r="B310" s="29" t="s">
        <v>233</v>
      </c>
      <c r="C310" s="30" t="s">
        <v>234</v>
      </c>
      <c r="D310" s="29" t="s">
        <v>90</v>
      </c>
      <c r="E310" s="31" t="n">
        <v>1</v>
      </c>
      <c r="F310" s="7"/>
      <c r="G310" s="35" t="n">
        <v>260055.42051</v>
      </c>
      <c r="H310" s="7"/>
    </row>
    <row r="311" customFormat="false" ht="15" hidden="false" customHeight="false" outlineLevel="1" collapsed="false">
      <c r="A311" s="7"/>
      <c r="B311" s="29" t="s">
        <v>229</v>
      </c>
      <c r="C311" s="30" t="s">
        <v>230</v>
      </c>
      <c r="D311" s="29" t="s">
        <v>90</v>
      </c>
      <c r="E311" s="31" t="n">
        <v>5</v>
      </c>
      <c r="F311" s="7"/>
      <c r="G311" s="35" t="n">
        <v>7085.2834</v>
      </c>
      <c r="H311" s="7"/>
    </row>
    <row r="312" customFormat="false" ht="15" hidden="false" customHeight="false" outlineLevel="1" collapsed="false">
      <c r="A312" s="7"/>
      <c r="B312" s="29" t="s">
        <v>149</v>
      </c>
      <c r="C312" s="30" t="s">
        <v>150</v>
      </c>
      <c r="D312" s="29" t="s">
        <v>90</v>
      </c>
      <c r="E312" s="31" t="n">
        <v>1</v>
      </c>
      <c r="F312" s="7"/>
      <c r="G312" s="35" t="n">
        <v>27258.979689984</v>
      </c>
      <c r="H312" s="7"/>
    </row>
    <row r="313" customFormat="false" ht="15" hidden="false" customHeight="false" outlineLevel="1" collapsed="false">
      <c r="A313" s="7"/>
      <c r="B313" s="29" t="s">
        <v>278</v>
      </c>
      <c r="C313" s="30" t="s">
        <v>279</v>
      </c>
      <c r="D313" s="29" t="s">
        <v>90</v>
      </c>
      <c r="E313" s="31" t="n">
        <v>5</v>
      </c>
      <c r="F313" s="7"/>
      <c r="G313" s="35" t="n">
        <v>8402.478272</v>
      </c>
      <c r="H313" s="7"/>
    </row>
    <row r="314" customFormat="false" ht="15" hidden="false" customHeight="false" outlineLevel="1" collapsed="false">
      <c r="A314" s="7"/>
      <c r="B314" s="29" t="s">
        <v>223</v>
      </c>
      <c r="C314" s="30" t="s">
        <v>224</v>
      </c>
      <c r="D314" s="29" t="s">
        <v>90</v>
      </c>
      <c r="E314" s="31" t="n">
        <v>10</v>
      </c>
      <c r="F314" s="7"/>
      <c r="G314" s="35" t="n">
        <v>54080</v>
      </c>
      <c r="H314" s="7"/>
    </row>
    <row r="315" customFormat="false" ht="15" hidden="false" customHeight="false" outlineLevel="1" collapsed="false">
      <c r="A315" s="7"/>
      <c r="B315" s="29" t="s">
        <v>156</v>
      </c>
      <c r="C315" s="30" t="s">
        <v>155</v>
      </c>
      <c r="D315" s="29" t="s">
        <v>90</v>
      </c>
      <c r="E315" s="31" t="n">
        <v>1</v>
      </c>
      <c r="F315" s="7"/>
      <c r="G315" s="35" t="n">
        <v>609849.045235462</v>
      </c>
      <c r="H315" s="7"/>
    </row>
    <row r="316" customFormat="false" ht="23.85" hidden="false" customHeight="false" outlineLevel="1" collapsed="false">
      <c r="A316" s="7"/>
      <c r="B316" s="29" t="s">
        <v>133</v>
      </c>
      <c r="C316" s="30" t="s">
        <v>151</v>
      </c>
      <c r="D316" s="29" t="s">
        <v>90</v>
      </c>
      <c r="E316" s="31" t="n">
        <v>5</v>
      </c>
      <c r="F316" s="7"/>
      <c r="G316" s="35" t="n">
        <v>4140839.31604054</v>
      </c>
      <c r="H316" s="7"/>
    </row>
    <row r="317" customFormat="false" ht="15" hidden="false" customHeight="false" outlineLevel="1" collapsed="false">
      <c r="A317" s="7"/>
      <c r="B317" s="29" t="s">
        <v>152</v>
      </c>
      <c r="C317" s="30" t="s">
        <v>153</v>
      </c>
      <c r="D317" s="29" t="s">
        <v>90</v>
      </c>
      <c r="E317" s="31" t="n">
        <v>1</v>
      </c>
      <c r="F317" s="7"/>
      <c r="G317" s="35" t="n">
        <v>877037.65638034</v>
      </c>
      <c r="H317" s="7"/>
    </row>
    <row r="318" customFormat="false" ht="15" hidden="false" customHeight="false" outlineLevel="1" collapsed="false">
      <c r="A318" s="7"/>
      <c r="B318" s="29" t="s">
        <v>172</v>
      </c>
      <c r="C318" s="30" t="s">
        <v>173</v>
      </c>
      <c r="D318" s="29" t="s">
        <v>90</v>
      </c>
      <c r="E318" s="31" t="n">
        <v>5</v>
      </c>
      <c r="F318" s="7"/>
      <c r="G318" s="35" t="n">
        <v>341578.7464325</v>
      </c>
      <c r="H318" s="7"/>
    </row>
    <row r="319" customFormat="false" ht="15" hidden="false" customHeight="false" outlineLevel="1" collapsed="false">
      <c r="A319" s="7"/>
      <c r="B319" s="29" t="s">
        <v>172</v>
      </c>
      <c r="C319" s="30" t="s">
        <v>173</v>
      </c>
      <c r="D319" s="29" t="s">
        <v>90</v>
      </c>
      <c r="E319" s="31" t="n">
        <v>5</v>
      </c>
      <c r="F319" s="7"/>
      <c r="G319" s="35" t="n">
        <v>309195.731071</v>
      </c>
      <c r="H319" s="7"/>
    </row>
    <row r="320" customFormat="false" ht="15" hidden="false" customHeight="false" outlineLevel="1" collapsed="false">
      <c r="A320" s="7"/>
      <c r="B320" s="29" t="s">
        <v>123</v>
      </c>
      <c r="C320" s="30" t="s">
        <v>257</v>
      </c>
      <c r="D320" s="29" t="s">
        <v>90</v>
      </c>
      <c r="E320" s="31" t="n">
        <v>1</v>
      </c>
      <c r="F320" s="7"/>
      <c r="G320" s="35" t="n">
        <v>12472128</v>
      </c>
      <c r="H320" s="7"/>
    </row>
    <row r="321" customFormat="false" ht="15" hidden="false" customHeight="false" outlineLevel="1" collapsed="false">
      <c r="A321" s="7"/>
      <c r="B321" s="29" t="s">
        <v>123</v>
      </c>
      <c r="C321" s="30" t="s">
        <v>159</v>
      </c>
      <c r="D321" s="29" t="s">
        <v>90</v>
      </c>
      <c r="E321" s="31" t="n">
        <v>5</v>
      </c>
      <c r="F321" s="7"/>
      <c r="G321" s="35" t="n">
        <v>6065.80416</v>
      </c>
      <c r="H321" s="7"/>
    </row>
    <row r="322" customFormat="false" ht="15" hidden="false" customHeight="true" outlineLevel="0" collapsed="false">
      <c r="A322" s="12" t="s">
        <v>91</v>
      </c>
      <c r="B322" s="12"/>
      <c r="C322" s="12"/>
      <c r="D322" s="12"/>
      <c r="E322" s="12"/>
      <c r="F322" s="12"/>
      <c r="G322" s="13" t="n">
        <f aca="false">SUMIFS(G6:G321,H6:H321,"?*")</f>
        <v>15711160408.6941</v>
      </c>
      <c r="H322" s="14"/>
    </row>
    <row r="323" customFormat="false" ht="30" hidden="false" customHeight="true" outlineLevel="0" collapsed="false">
      <c r="A323" s="22" t="s">
        <v>114</v>
      </c>
      <c r="B323" s="22"/>
      <c r="C323" s="22"/>
      <c r="D323" s="22"/>
      <c r="E323" s="22"/>
      <c r="F323" s="22"/>
      <c r="G323" s="22"/>
      <c r="H323" s="22"/>
    </row>
  </sheetData>
  <mergeCells count="5">
    <mergeCell ref="A1:H1"/>
    <mergeCell ref="A2:H2"/>
    <mergeCell ref="A3:H3"/>
    <mergeCell ref="A322:F322"/>
    <mergeCell ref="A323:H3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62"/>
    <col collapsed="false" customWidth="true" hidden="false" outlineLevel="0" max="4" min="4" style="0" width="10"/>
    <col collapsed="false" customWidth="true" hidden="false" outlineLevel="0" max="5" min="5" style="0" width="15"/>
    <col collapsed="false" customWidth="true" hidden="false" outlineLevel="0" max="6" min="6" style="0" width="14"/>
    <col collapsed="false" customWidth="true" hidden="false" outlineLevel="0" max="7" min="7" style="0" width="18"/>
    <col collapsed="false" customWidth="true" hidden="true" outlineLevel="0" max="8" min="8" style="0" width="30"/>
  </cols>
  <sheetData>
    <row r="1" customFormat="false" ht="17.35" hidden="false" customHeight="true" outlineLevel="0" collapsed="false">
      <c r="A1" s="1" t="s">
        <v>308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true" outlineLevel="0" collapsed="false">
      <c r="A3" s="3" t="s">
        <v>116</v>
      </c>
      <c r="B3" s="3"/>
      <c r="C3" s="3"/>
      <c r="D3" s="3"/>
      <c r="E3" s="3"/>
      <c r="F3" s="3"/>
      <c r="G3" s="3"/>
      <c r="H3" s="3"/>
    </row>
    <row r="5" customFormat="false" ht="31.5" hidden="false" customHeight="true" outlineLevel="0" collapsed="false">
      <c r="A5" s="4" t="s">
        <v>3</v>
      </c>
      <c r="B5" s="4" t="s">
        <v>102</v>
      </c>
      <c r="C5" s="4" t="s">
        <v>103</v>
      </c>
      <c r="D5" s="4" t="s">
        <v>5</v>
      </c>
      <c r="E5" s="4" t="s">
        <v>104</v>
      </c>
      <c r="F5" s="4" t="s">
        <v>105</v>
      </c>
      <c r="G5" s="4" t="s">
        <v>7</v>
      </c>
      <c r="H5" s="4" t="s">
        <v>106</v>
      </c>
    </row>
    <row r="6" customFormat="false" ht="15" hidden="false" customHeight="false" outlineLevel="0" collapsed="false">
      <c r="A6" s="23" t="n">
        <v>1</v>
      </c>
      <c r="B6" s="23" t="s">
        <v>117</v>
      </c>
      <c r="C6" s="24" t="s">
        <v>17</v>
      </c>
      <c r="D6" s="23" t="s">
        <v>18</v>
      </c>
      <c r="E6" s="25" t="n">
        <f aca="false">SUM(E7:E7)</f>
        <v>61.5</v>
      </c>
      <c r="F6" s="26" t="n">
        <v>525000</v>
      </c>
      <c r="G6" s="27" t="n">
        <f aca="false">E6*F6</f>
        <v>32287500</v>
      </c>
      <c r="H6" s="28" t="s">
        <v>118</v>
      </c>
    </row>
    <row r="7" customFormat="false" ht="15" hidden="false" customHeight="false" outlineLevel="1" collapsed="false">
      <c r="A7" s="7"/>
      <c r="B7" s="29" t="s">
        <v>119</v>
      </c>
      <c r="C7" s="30" t="s">
        <v>120</v>
      </c>
      <c r="D7" s="29"/>
      <c r="E7" s="31" t="n">
        <v>61.5</v>
      </c>
      <c r="F7" s="7"/>
      <c r="G7" s="32" t="n">
        <f aca="false">E7*$F$6</f>
        <v>32287500</v>
      </c>
      <c r="H7" s="7"/>
    </row>
    <row r="8" customFormat="false" ht="15" hidden="false" customHeight="false" outlineLevel="0" collapsed="false">
      <c r="A8" s="23" t="n">
        <v>2</v>
      </c>
      <c r="B8" s="23" t="s">
        <v>121</v>
      </c>
      <c r="C8" s="24" t="s">
        <v>19</v>
      </c>
      <c r="D8" s="23" t="s">
        <v>20</v>
      </c>
      <c r="E8" s="25" t="n">
        <f aca="false">SUM(E9:E9)</f>
        <v>1505.041266294</v>
      </c>
      <c r="F8" s="26" t="n">
        <v>721</v>
      </c>
      <c r="G8" s="27" t="n">
        <f aca="false">E8*F8</f>
        <v>1085134.75299797</v>
      </c>
      <c r="H8" s="28" t="s">
        <v>122</v>
      </c>
    </row>
    <row r="9" customFormat="false" ht="15" hidden="false" customHeight="false" outlineLevel="1" collapsed="false">
      <c r="A9" s="7"/>
      <c r="B9" s="29" t="s">
        <v>123</v>
      </c>
      <c r="C9" s="30" t="s">
        <v>124</v>
      </c>
      <c r="D9" s="29"/>
      <c r="E9" s="31" t="n">
        <v>1505.041266294</v>
      </c>
      <c r="F9" s="7"/>
      <c r="G9" s="32" t="n">
        <f aca="false">E9*$F$8</f>
        <v>1085134.75299797</v>
      </c>
      <c r="H9" s="7"/>
    </row>
    <row r="10" customFormat="false" ht="15" hidden="false" customHeight="false" outlineLevel="0" collapsed="false">
      <c r="A10" s="23" t="n">
        <v>3</v>
      </c>
      <c r="B10" s="23" t="s">
        <v>309</v>
      </c>
      <c r="C10" s="24" t="s">
        <v>21</v>
      </c>
      <c r="D10" s="23" t="s">
        <v>22</v>
      </c>
      <c r="E10" s="25" t="n">
        <f aca="false">SUM(E11:E11)</f>
        <v>25.71528</v>
      </c>
      <c r="F10" s="26" t="n">
        <v>2500</v>
      </c>
      <c r="G10" s="27" t="n">
        <f aca="false">E10*F10</f>
        <v>64288.2</v>
      </c>
      <c r="H10" s="28" t="s">
        <v>310</v>
      </c>
    </row>
    <row r="11" customFormat="false" ht="15" hidden="false" customHeight="false" outlineLevel="1" collapsed="false">
      <c r="A11" s="7"/>
      <c r="B11" s="29" t="s">
        <v>311</v>
      </c>
      <c r="C11" s="30" t="s">
        <v>312</v>
      </c>
      <c r="D11" s="29"/>
      <c r="E11" s="31" t="n">
        <v>25.71528</v>
      </c>
      <c r="F11" s="7"/>
      <c r="G11" s="32" t="n">
        <f aca="false">E11*$F$10</f>
        <v>64288.2</v>
      </c>
      <c r="H11" s="7"/>
    </row>
    <row r="12" customFormat="false" ht="15" hidden="false" customHeight="false" outlineLevel="0" collapsed="false">
      <c r="A12" s="23" t="n">
        <v>4</v>
      </c>
      <c r="B12" s="23" t="s">
        <v>313</v>
      </c>
      <c r="C12" s="24" t="s">
        <v>23</v>
      </c>
      <c r="D12" s="23" t="s">
        <v>24</v>
      </c>
      <c r="E12" s="25" t="n">
        <f aca="false">SUM(E13:E13)</f>
        <v>39.0744</v>
      </c>
      <c r="F12" s="26" t="n">
        <v>347961</v>
      </c>
      <c r="G12" s="27" t="n">
        <f aca="false">E12*F12</f>
        <v>13596367.2984</v>
      </c>
      <c r="H12" s="28" t="s">
        <v>314</v>
      </c>
    </row>
    <row r="13" customFormat="false" ht="15" hidden="false" customHeight="false" outlineLevel="1" collapsed="false">
      <c r="A13" s="7"/>
      <c r="B13" s="29" t="s">
        <v>315</v>
      </c>
      <c r="C13" s="30" t="s">
        <v>316</v>
      </c>
      <c r="D13" s="29"/>
      <c r="E13" s="31" t="n">
        <v>39.0744</v>
      </c>
      <c r="F13" s="7"/>
      <c r="G13" s="32" t="n">
        <f aca="false">E13*$F$12</f>
        <v>13596367.2984</v>
      </c>
      <c r="H13" s="7"/>
    </row>
    <row r="14" customFormat="false" ht="15" hidden="false" customHeight="false" outlineLevel="0" collapsed="false">
      <c r="A14" s="23" t="n">
        <v>5</v>
      </c>
      <c r="B14" s="23" t="s">
        <v>313</v>
      </c>
      <c r="C14" s="24" t="s">
        <v>25</v>
      </c>
      <c r="D14" s="23" t="s">
        <v>24</v>
      </c>
      <c r="E14" s="25" t="n">
        <f aca="false">SUM(E15:E15)</f>
        <v>78.1488</v>
      </c>
      <c r="F14" s="26" t="n">
        <v>329780</v>
      </c>
      <c r="G14" s="27" t="n">
        <f aca="false">E14*F14</f>
        <v>25771911.264</v>
      </c>
      <c r="H14" s="28" t="s">
        <v>317</v>
      </c>
    </row>
    <row r="15" customFormat="false" ht="15" hidden="false" customHeight="false" outlineLevel="1" collapsed="false">
      <c r="A15" s="7"/>
      <c r="B15" s="29" t="s">
        <v>318</v>
      </c>
      <c r="C15" s="30" t="s">
        <v>319</v>
      </c>
      <c r="D15" s="29"/>
      <c r="E15" s="31" t="n">
        <v>78.1488</v>
      </c>
      <c r="F15" s="7"/>
      <c r="G15" s="32" t="n">
        <f aca="false">E15*$F$14</f>
        <v>25771911.264</v>
      </c>
      <c r="H15" s="7"/>
    </row>
    <row r="16" customFormat="false" ht="15" hidden="false" customHeight="false" outlineLevel="0" collapsed="false">
      <c r="A16" s="23" t="n">
        <v>6</v>
      </c>
      <c r="B16" s="23" t="s">
        <v>125</v>
      </c>
      <c r="C16" s="24" t="s">
        <v>26</v>
      </c>
      <c r="D16" s="23" t="s">
        <v>24</v>
      </c>
      <c r="E16" s="25" t="n">
        <f aca="false">SUM(E17:E20)</f>
        <v>53.4601825</v>
      </c>
      <c r="F16" s="26" t="n">
        <v>254920</v>
      </c>
      <c r="G16" s="27" t="n">
        <f aca="false">E16*F16</f>
        <v>13628069.7229</v>
      </c>
      <c r="H16" s="28" t="s">
        <v>126</v>
      </c>
    </row>
    <row r="17" customFormat="false" ht="15" hidden="false" customHeight="false" outlineLevel="1" collapsed="false">
      <c r="A17" s="7"/>
      <c r="B17" s="29" t="s">
        <v>127</v>
      </c>
      <c r="C17" s="30" t="s">
        <v>128</v>
      </c>
      <c r="D17" s="29"/>
      <c r="E17" s="31" t="n">
        <v>42.081375</v>
      </c>
      <c r="F17" s="7"/>
      <c r="G17" s="32" t="n">
        <f aca="false">E17*$F$16</f>
        <v>10727384.115</v>
      </c>
      <c r="H17" s="7"/>
    </row>
    <row r="18" customFormat="false" ht="15" hidden="false" customHeight="false" outlineLevel="1" collapsed="false">
      <c r="A18" s="7"/>
      <c r="B18" s="29" t="s">
        <v>129</v>
      </c>
      <c r="C18" s="30" t="s">
        <v>128</v>
      </c>
      <c r="D18" s="29"/>
      <c r="E18" s="31" t="n">
        <v>10.2331075</v>
      </c>
      <c r="F18" s="7"/>
      <c r="G18" s="32" t="n">
        <f aca="false">E18*$F$16</f>
        <v>2608623.7639</v>
      </c>
      <c r="H18" s="7"/>
    </row>
    <row r="19" customFormat="false" ht="15" hidden="false" customHeight="false" outlineLevel="1" collapsed="false">
      <c r="A19" s="7"/>
      <c r="B19" s="29" t="s">
        <v>119</v>
      </c>
      <c r="C19" s="30" t="s">
        <v>120</v>
      </c>
      <c r="D19" s="29"/>
      <c r="E19" s="31" t="n">
        <v>0.3819</v>
      </c>
      <c r="F19" s="7"/>
      <c r="G19" s="32" t="n">
        <f aca="false">E19*$F$16</f>
        <v>97353.948</v>
      </c>
      <c r="H19" s="7"/>
    </row>
    <row r="20" customFormat="false" ht="15" hidden="false" customHeight="false" outlineLevel="1" collapsed="false">
      <c r="A20" s="7"/>
      <c r="B20" s="29" t="s">
        <v>119</v>
      </c>
      <c r="C20" s="30" t="s">
        <v>130</v>
      </c>
      <c r="D20" s="29"/>
      <c r="E20" s="31" t="n">
        <v>0.7638</v>
      </c>
      <c r="F20" s="7"/>
      <c r="G20" s="32" t="n">
        <f aca="false">E20*$F$16</f>
        <v>194707.896</v>
      </c>
      <c r="H20" s="7"/>
    </row>
    <row r="21" customFormat="false" ht="15" hidden="false" customHeight="false" outlineLevel="0" collapsed="false">
      <c r="A21" s="23" t="n">
        <v>7</v>
      </c>
      <c r="B21" s="23" t="s">
        <v>131</v>
      </c>
      <c r="C21" s="24" t="s">
        <v>28</v>
      </c>
      <c r="D21" s="23" t="s">
        <v>24</v>
      </c>
      <c r="E21" s="25" t="n">
        <f aca="false">SUM(E22:E37)</f>
        <v>3281.32213705</v>
      </c>
      <c r="F21" s="26" t="n">
        <v>498275</v>
      </c>
      <c r="G21" s="27" t="n">
        <f aca="false">E21*F21</f>
        <v>1635000787.83859</v>
      </c>
      <c r="H21" s="28" t="s">
        <v>132</v>
      </c>
    </row>
    <row r="22" customFormat="false" ht="23.85" hidden="false" customHeight="false" outlineLevel="1" collapsed="false">
      <c r="A22" s="7"/>
      <c r="B22" s="29" t="s">
        <v>133</v>
      </c>
      <c r="C22" s="30" t="s">
        <v>134</v>
      </c>
      <c r="D22" s="29"/>
      <c r="E22" s="31" t="n">
        <v>139.514595</v>
      </c>
      <c r="F22" s="7"/>
      <c r="G22" s="32" t="n">
        <f aca="false">E22*$F$21</f>
        <v>69516634.823625</v>
      </c>
      <c r="H22" s="7"/>
    </row>
    <row r="23" customFormat="false" ht="23.85" hidden="false" customHeight="false" outlineLevel="1" collapsed="false">
      <c r="A23" s="7"/>
      <c r="B23" s="29" t="s">
        <v>135</v>
      </c>
      <c r="C23" s="30" t="s">
        <v>136</v>
      </c>
      <c r="D23" s="29"/>
      <c r="E23" s="31" t="n">
        <v>1981.4864104</v>
      </c>
      <c r="F23" s="7"/>
      <c r="G23" s="32" t="n">
        <f aca="false">E23*$F$21</f>
        <v>987325141.14206</v>
      </c>
      <c r="H23" s="7"/>
    </row>
    <row r="24" customFormat="false" ht="23.85" hidden="false" customHeight="false" outlineLevel="1" collapsed="false">
      <c r="A24" s="7"/>
      <c r="B24" s="29" t="s">
        <v>135</v>
      </c>
      <c r="C24" s="30" t="s">
        <v>320</v>
      </c>
      <c r="D24" s="29"/>
      <c r="E24" s="31" t="n">
        <v>33.7470245</v>
      </c>
      <c r="F24" s="7"/>
      <c r="G24" s="32" t="n">
        <f aca="false">E24*$F$21</f>
        <v>16815298.6327375</v>
      </c>
      <c r="H24" s="7"/>
    </row>
    <row r="25" customFormat="false" ht="23.85" hidden="false" customHeight="false" outlineLevel="1" collapsed="false">
      <c r="A25" s="7"/>
      <c r="B25" s="29" t="s">
        <v>135</v>
      </c>
      <c r="C25" s="30" t="s">
        <v>321</v>
      </c>
      <c r="D25" s="29"/>
      <c r="E25" s="31" t="n">
        <v>20.80470875</v>
      </c>
      <c r="F25" s="7"/>
      <c r="G25" s="32" t="n">
        <f aca="false">E25*$F$21</f>
        <v>10366466.2524063</v>
      </c>
      <c r="H25" s="7"/>
    </row>
    <row r="26" customFormat="false" ht="23.85" hidden="false" customHeight="false" outlineLevel="1" collapsed="false">
      <c r="A26" s="7"/>
      <c r="B26" s="29" t="s">
        <v>135</v>
      </c>
      <c r="C26" s="30" t="s">
        <v>137</v>
      </c>
      <c r="D26" s="29"/>
      <c r="E26" s="31" t="n">
        <v>436.5363968</v>
      </c>
      <c r="F26" s="7"/>
      <c r="G26" s="32" t="n">
        <f aca="false">E26*$F$21</f>
        <v>217515173.11552</v>
      </c>
      <c r="H26" s="7"/>
    </row>
    <row r="27" customFormat="false" ht="23.85" hidden="false" customHeight="false" outlineLevel="1" collapsed="false">
      <c r="A27" s="7"/>
      <c r="B27" s="29" t="s">
        <v>135</v>
      </c>
      <c r="C27" s="30" t="s">
        <v>138</v>
      </c>
      <c r="D27" s="29"/>
      <c r="E27" s="31" t="n">
        <v>120.19760935</v>
      </c>
      <c r="F27" s="7"/>
      <c r="G27" s="32" t="n">
        <f aca="false">E27*$F$21</f>
        <v>59891463.7988713</v>
      </c>
      <c r="H27" s="7"/>
    </row>
    <row r="28" customFormat="false" ht="23.85" hidden="false" customHeight="false" outlineLevel="1" collapsed="false">
      <c r="A28" s="7"/>
      <c r="B28" s="29" t="s">
        <v>135</v>
      </c>
      <c r="C28" s="30" t="s">
        <v>138</v>
      </c>
      <c r="D28" s="29"/>
      <c r="E28" s="31" t="n">
        <v>117.527459</v>
      </c>
      <c r="F28" s="7"/>
      <c r="G28" s="32" t="n">
        <f aca="false">E28*$F$21</f>
        <v>58560994.633225</v>
      </c>
      <c r="H28" s="7"/>
    </row>
    <row r="29" customFormat="false" ht="15" hidden="false" customHeight="false" outlineLevel="1" collapsed="false">
      <c r="A29" s="7"/>
      <c r="B29" s="29" t="s">
        <v>141</v>
      </c>
      <c r="C29" s="30" t="s">
        <v>142</v>
      </c>
      <c r="D29" s="29"/>
      <c r="E29" s="31" t="n">
        <v>70.6440865</v>
      </c>
      <c r="F29" s="7"/>
      <c r="G29" s="32" t="n">
        <f aca="false">E29*$F$21</f>
        <v>35200182.2007875</v>
      </c>
      <c r="H29" s="7"/>
    </row>
    <row r="30" customFormat="false" ht="15" hidden="false" customHeight="false" outlineLevel="1" collapsed="false">
      <c r="A30" s="7"/>
      <c r="B30" s="29" t="s">
        <v>141</v>
      </c>
      <c r="C30" s="30" t="s">
        <v>142</v>
      </c>
      <c r="D30" s="29"/>
      <c r="E30" s="31" t="n">
        <v>79.9863055</v>
      </c>
      <c r="F30" s="7"/>
      <c r="G30" s="32" t="n">
        <f aca="false">E30*$F$21</f>
        <v>39855176.3730125</v>
      </c>
      <c r="H30" s="7"/>
    </row>
    <row r="31" customFormat="false" ht="23.85" hidden="false" customHeight="false" outlineLevel="1" collapsed="false">
      <c r="A31" s="7"/>
      <c r="B31" s="29" t="s">
        <v>143</v>
      </c>
      <c r="C31" s="30" t="s">
        <v>144</v>
      </c>
      <c r="D31" s="29"/>
      <c r="E31" s="31" t="n">
        <v>89.36461475</v>
      </c>
      <c r="F31" s="7"/>
      <c r="G31" s="32" t="n">
        <f aca="false">E31*$F$21</f>
        <v>44528153.4145563</v>
      </c>
      <c r="H31" s="7"/>
    </row>
    <row r="32" customFormat="false" ht="15" hidden="false" customHeight="false" outlineLevel="1" collapsed="false">
      <c r="A32" s="7"/>
      <c r="B32" s="29" t="s">
        <v>145</v>
      </c>
      <c r="C32" s="30" t="s">
        <v>146</v>
      </c>
      <c r="D32" s="29"/>
      <c r="E32" s="31" t="n">
        <v>16.64791675</v>
      </c>
      <c r="F32" s="7"/>
      <c r="G32" s="32" t="n">
        <f aca="false">E32*$F$21</f>
        <v>8295240.71860625</v>
      </c>
      <c r="H32" s="7"/>
    </row>
    <row r="33" customFormat="false" ht="15" hidden="false" customHeight="false" outlineLevel="1" collapsed="false">
      <c r="A33" s="7"/>
      <c r="B33" s="29" t="s">
        <v>152</v>
      </c>
      <c r="C33" s="30" t="s">
        <v>153</v>
      </c>
      <c r="D33" s="29"/>
      <c r="E33" s="31" t="n">
        <v>54.483875</v>
      </c>
      <c r="F33" s="7"/>
      <c r="G33" s="32" t="n">
        <f aca="false">E33*$F$21</f>
        <v>27147952.815625</v>
      </c>
      <c r="H33" s="7"/>
    </row>
    <row r="34" customFormat="false" ht="23.85" hidden="false" customHeight="false" outlineLevel="1" collapsed="false">
      <c r="A34" s="7"/>
      <c r="B34" s="29" t="s">
        <v>147</v>
      </c>
      <c r="C34" s="30" t="s">
        <v>148</v>
      </c>
      <c r="D34" s="29"/>
      <c r="E34" s="31" t="n">
        <v>6.32345</v>
      </c>
      <c r="F34" s="7"/>
      <c r="G34" s="32" t="n">
        <f aca="false">E34*$F$21</f>
        <v>3150817.04875</v>
      </c>
      <c r="H34" s="7"/>
    </row>
    <row r="35" customFormat="false" ht="15" hidden="false" customHeight="false" outlineLevel="1" collapsed="false">
      <c r="A35" s="7"/>
      <c r="B35" s="29" t="s">
        <v>154</v>
      </c>
      <c r="C35" s="30" t="s">
        <v>155</v>
      </c>
      <c r="D35" s="29"/>
      <c r="E35" s="31" t="n">
        <v>87.7482</v>
      </c>
      <c r="F35" s="7"/>
      <c r="G35" s="32" t="n">
        <f aca="false">E35*$F$21</f>
        <v>43722734.355</v>
      </c>
      <c r="H35" s="7"/>
    </row>
    <row r="36" customFormat="false" ht="15" hidden="false" customHeight="false" outlineLevel="1" collapsed="false">
      <c r="A36" s="7"/>
      <c r="B36" s="29" t="s">
        <v>156</v>
      </c>
      <c r="C36" s="30" t="s">
        <v>155</v>
      </c>
      <c r="D36" s="29"/>
      <c r="E36" s="31" t="n">
        <v>18.40572</v>
      </c>
      <c r="F36" s="7"/>
      <c r="G36" s="32" t="n">
        <f aca="false">E36*$F$21</f>
        <v>9171110.133</v>
      </c>
      <c r="H36" s="7"/>
    </row>
    <row r="37" customFormat="false" ht="23.85" hidden="false" customHeight="false" outlineLevel="1" collapsed="false">
      <c r="A37" s="7"/>
      <c r="B37" s="29" t="s">
        <v>139</v>
      </c>
      <c r="C37" s="30" t="s">
        <v>322</v>
      </c>
      <c r="D37" s="29"/>
      <c r="E37" s="31" t="n">
        <v>7.90376475</v>
      </c>
      <c r="F37" s="7"/>
      <c r="G37" s="32" t="n">
        <f aca="false">E37*$F$21</f>
        <v>3938248.38080625</v>
      </c>
      <c r="H37" s="7"/>
    </row>
    <row r="38" customFormat="false" ht="22.35" hidden="false" customHeight="false" outlineLevel="0" collapsed="false">
      <c r="A38" s="23" t="n">
        <v>8</v>
      </c>
      <c r="B38" s="23" t="s">
        <v>323</v>
      </c>
      <c r="C38" s="24" t="s">
        <v>29</v>
      </c>
      <c r="D38" s="23" t="s">
        <v>18</v>
      </c>
      <c r="E38" s="25" t="n">
        <f aca="false">SUM(E39:E42)</f>
        <v>339.36</v>
      </c>
      <c r="F38" s="26" t="n">
        <v>2600000</v>
      </c>
      <c r="G38" s="27" t="n">
        <f aca="false">E38*F38</f>
        <v>882336000</v>
      </c>
      <c r="H38" s="28" t="s">
        <v>324</v>
      </c>
    </row>
    <row r="39" customFormat="false" ht="23.85" hidden="false" customHeight="false" outlineLevel="1" collapsed="false">
      <c r="A39" s="7"/>
      <c r="B39" s="29" t="s">
        <v>325</v>
      </c>
      <c r="C39" s="30" t="s">
        <v>326</v>
      </c>
      <c r="D39" s="29"/>
      <c r="E39" s="31" t="n">
        <v>171.8414</v>
      </c>
      <c r="F39" s="7"/>
      <c r="G39" s="32" t="n">
        <f aca="false">E39*$F$38</f>
        <v>446787640</v>
      </c>
      <c r="H39" s="7"/>
    </row>
    <row r="40" customFormat="false" ht="23.85" hidden="false" customHeight="false" outlineLevel="1" collapsed="false">
      <c r="A40" s="7"/>
      <c r="B40" s="29" t="s">
        <v>325</v>
      </c>
      <c r="C40" s="30" t="s">
        <v>327</v>
      </c>
      <c r="D40" s="29"/>
      <c r="E40" s="31" t="n">
        <v>70.5586</v>
      </c>
      <c r="F40" s="7"/>
      <c r="G40" s="32" t="n">
        <f aca="false">E40*$F$38</f>
        <v>183452360</v>
      </c>
      <c r="H40" s="7"/>
    </row>
    <row r="41" customFormat="false" ht="23.85" hidden="false" customHeight="false" outlineLevel="1" collapsed="false">
      <c r="A41" s="7"/>
      <c r="B41" s="29" t="s">
        <v>325</v>
      </c>
      <c r="C41" s="30" t="s">
        <v>326</v>
      </c>
      <c r="D41" s="29"/>
      <c r="E41" s="31" t="n">
        <v>66.3671</v>
      </c>
      <c r="F41" s="7"/>
      <c r="G41" s="32" t="n">
        <f aca="false">E41*$F$38</f>
        <v>172554460</v>
      </c>
      <c r="H41" s="7"/>
    </row>
    <row r="42" customFormat="false" ht="23.85" hidden="false" customHeight="false" outlineLevel="1" collapsed="false">
      <c r="A42" s="7"/>
      <c r="B42" s="29" t="s">
        <v>325</v>
      </c>
      <c r="C42" s="30" t="s">
        <v>327</v>
      </c>
      <c r="D42" s="29"/>
      <c r="E42" s="31" t="n">
        <v>30.5929</v>
      </c>
      <c r="F42" s="7"/>
      <c r="G42" s="32" t="n">
        <f aca="false">E42*$F$38</f>
        <v>79541540</v>
      </c>
      <c r="H42" s="7"/>
    </row>
    <row r="43" customFormat="false" ht="15" hidden="false" customHeight="false" outlineLevel="0" collapsed="false">
      <c r="A43" s="23" t="n">
        <v>9</v>
      </c>
      <c r="B43" s="23" t="s">
        <v>157</v>
      </c>
      <c r="C43" s="24" t="s">
        <v>30</v>
      </c>
      <c r="D43" s="23" t="s">
        <v>20</v>
      </c>
      <c r="E43" s="25" t="n">
        <f aca="false">SUM(E44:E44)</f>
        <v>12.805</v>
      </c>
      <c r="F43" s="26" t="n">
        <v>13730</v>
      </c>
      <c r="G43" s="27" t="n">
        <f aca="false">E43*F43</f>
        <v>175812.65</v>
      </c>
      <c r="H43" s="28" t="s">
        <v>158</v>
      </c>
    </row>
    <row r="44" customFormat="false" ht="15" hidden="false" customHeight="false" outlineLevel="1" collapsed="false">
      <c r="A44" s="7"/>
      <c r="B44" s="29" t="s">
        <v>123</v>
      </c>
      <c r="C44" s="30" t="s">
        <v>159</v>
      </c>
      <c r="D44" s="29"/>
      <c r="E44" s="31" t="n">
        <v>12.805</v>
      </c>
      <c r="F44" s="7"/>
      <c r="G44" s="32" t="n">
        <f aca="false">E44*$F$43</f>
        <v>175812.65</v>
      </c>
      <c r="H44" s="7"/>
    </row>
    <row r="45" customFormat="false" ht="15" hidden="false" customHeight="false" outlineLevel="0" collapsed="false">
      <c r="A45" s="23" t="n">
        <v>10</v>
      </c>
      <c r="B45" s="23" t="s">
        <v>164</v>
      </c>
      <c r="C45" s="24" t="s">
        <v>33</v>
      </c>
      <c r="D45" s="23" t="s">
        <v>20</v>
      </c>
      <c r="E45" s="25" t="n">
        <f aca="false">SUM(E46:E47)</f>
        <v>2.704078</v>
      </c>
      <c r="F45" s="26" t="n">
        <v>15000</v>
      </c>
      <c r="G45" s="27" t="n">
        <f aca="false">E45*F45</f>
        <v>40561.17</v>
      </c>
      <c r="H45" s="28" t="s">
        <v>165</v>
      </c>
    </row>
    <row r="46" customFormat="false" ht="23.85" hidden="false" customHeight="false" outlineLevel="1" collapsed="false">
      <c r="A46" s="7"/>
      <c r="B46" s="29" t="s">
        <v>168</v>
      </c>
      <c r="C46" s="30" t="s">
        <v>169</v>
      </c>
      <c r="D46" s="29"/>
      <c r="E46" s="31" t="n">
        <v>2.665</v>
      </c>
      <c r="F46" s="7"/>
      <c r="G46" s="32" t="n">
        <f aca="false">E46*$F$45</f>
        <v>39975</v>
      </c>
      <c r="H46" s="7"/>
    </row>
    <row r="47" customFormat="false" ht="23.85" hidden="false" customHeight="false" outlineLevel="1" collapsed="false">
      <c r="A47" s="7"/>
      <c r="B47" s="29" t="s">
        <v>166</v>
      </c>
      <c r="C47" s="30" t="s">
        <v>167</v>
      </c>
      <c r="D47" s="29"/>
      <c r="E47" s="31" t="n">
        <v>0.039078</v>
      </c>
      <c r="F47" s="7"/>
      <c r="G47" s="32" t="n">
        <f aca="false">E47*$F$45</f>
        <v>586.17</v>
      </c>
      <c r="H47" s="7"/>
    </row>
    <row r="48" customFormat="false" ht="15" hidden="false" customHeight="false" outlineLevel="0" collapsed="false">
      <c r="A48" s="23" t="n">
        <v>11</v>
      </c>
      <c r="B48" s="23" t="s">
        <v>170</v>
      </c>
      <c r="C48" s="24" t="s">
        <v>34</v>
      </c>
      <c r="D48" s="23" t="s">
        <v>20</v>
      </c>
      <c r="E48" s="25" t="n">
        <f aca="false">SUM(E49:E50)</f>
        <v>352.374582</v>
      </c>
      <c r="F48" s="26" t="n">
        <v>16480</v>
      </c>
      <c r="G48" s="27" t="n">
        <f aca="false">E48*F48</f>
        <v>5807133.11136</v>
      </c>
      <c r="H48" s="28" t="s">
        <v>171</v>
      </c>
    </row>
    <row r="49" customFormat="false" ht="15" hidden="false" customHeight="false" outlineLevel="1" collapsed="false">
      <c r="A49" s="7"/>
      <c r="B49" s="29" t="s">
        <v>172</v>
      </c>
      <c r="C49" s="30" t="s">
        <v>173</v>
      </c>
      <c r="D49" s="29"/>
      <c r="E49" s="31" t="n">
        <v>170.738514</v>
      </c>
      <c r="F49" s="7"/>
      <c r="G49" s="32" t="n">
        <f aca="false">E49*$F$48</f>
        <v>2813770.71072</v>
      </c>
      <c r="H49" s="7"/>
    </row>
    <row r="50" customFormat="false" ht="15" hidden="false" customHeight="false" outlineLevel="1" collapsed="false">
      <c r="A50" s="7"/>
      <c r="B50" s="29" t="s">
        <v>172</v>
      </c>
      <c r="C50" s="30" t="s">
        <v>173</v>
      </c>
      <c r="D50" s="29"/>
      <c r="E50" s="31" t="n">
        <v>181.636068</v>
      </c>
      <c r="F50" s="7"/>
      <c r="G50" s="32" t="n">
        <f aca="false">E50*$F$48</f>
        <v>2993362.40064</v>
      </c>
      <c r="H50" s="7"/>
    </row>
    <row r="51" customFormat="false" ht="15" hidden="false" customHeight="false" outlineLevel="0" collapsed="false">
      <c r="A51" s="23" t="n">
        <v>12</v>
      </c>
      <c r="B51" s="23" t="s">
        <v>170</v>
      </c>
      <c r="C51" s="24" t="s">
        <v>34</v>
      </c>
      <c r="D51" s="23" t="s">
        <v>20</v>
      </c>
      <c r="E51" s="25" t="n">
        <f aca="false">SUM(E52:E52)</f>
        <v>20.989339</v>
      </c>
      <c r="F51" s="26" t="n">
        <v>16480</v>
      </c>
      <c r="G51" s="27" t="n">
        <f aca="false">E51*F51</f>
        <v>345904.30672</v>
      </c>
      <c r="H51" s="28" t="s">
        <v>171</v>
      </c>
    </row>
    <row r="52" customFormat="false" ht="23.85" hidden="false" customHeight="false" outlineLevel="1" collapsed="false">
      <c r="A52" s="7"/>
      <c r="B52" s="29" t="s">
        <v>328</v>
      </c>
      <c r="C52" s="30" t="s">
        <v>329</v>
      </c>
      <c r="D52" s="29"/>
      <c r="E52" s="31" t="n">
        <v>20.989339</v>
      </c>
      <c r="F52" s="7"/>
      <c r="G52" s="32" t="n">
        <f aca="false">E52*$F$51</f>
        <v>345904.30672</v>
      </c>
      <c r="H52" s="7"/>
    </row>
    <row r="53" customFormat="false" ht="15" hidden="false" customHeight="false" outlineLevel="0" collapsed="false">
      <c r="A53" s="23" t="n">
        <v>13</v>
      </c>
      <c r="B53" s="23" t="s">
        <v>330</v>
      </c>
      <c r="C53" s="24" t="s">
        <v>35</v>
      </c>
      <c r="D53" s="23" t="s">
        <v>22</v>
      </c>
      <c r="E53" s="25" t="n">
        <f aca="false">SUM(E54:E57)</f>
        <v>1.4784</v>
      </c>
      <c r="F53" s="26" t="n">
        <v>19570</v>
      </c>
      <c r="G53" s="27" t="n">
        <f aca="false">E53*F53</f>
        <v>28932.288</v>
      </c>
      <c r="H53" s="28" t="s">
        <v>331</v>
      </c>
    </row>
    <row r="54" customFormat="false" ht="23.85" hidden="false" customHeight="false" outlineLevel="1" collapsed="false">
      <c r="A54" s="7"/>
      <c r="B54" s="29" t="s">
        <v>325</v>
      </c>
      <c r="C54" s="30" t="s">
        <v>326</v>
      </c>
      <c r="D54" s="29"/>
      <c r="E54" s="31" t="n">
        <v>0.748616</v>
      </c>
      <c r="F54" s="7"/>
      <c r="G54" s="32" t="n">
        <f aca="false">E54*$F$53</f>
        <v>14650.41512</v>
      </c>
      <c r="H54" s="7"/>
    </row>
    <row r="55" customFormat="false" ht="23.85" hidden="false" customHeight="false" outlineLevel="1" collapsed="false">
      <c r="A55" s="7"/>
      <c r="B55" s="29" t="s">
        <v>325</v>
      </c>
      <c r="C55" s="30" t="s">
        <v>327</v>
      </c>
      <c r="D55" s="29"/>
      <c r="E55" s="31" t="n">
        <v>0.307384</v>
      </c>
      <c r="F55" s="7"/>
      <c r="G55" s="32" t="n">
        <f aca="false">E55*$F$53</f>
        <v>6015.50488</v>
      </c>
      <c r="H55" s="7"/>
    </row>
    <row r="56" customFormat="false" ht="23.85" hidden="false" customHeight="false" outlineLevel="1" collapsed="false">
      <c r="A56" s="7"/>
      <c r="B56" s="29" t="s">
        <v>325</v>
      </c>
      <c r="C56" s="30" t="s">
        <v>326</v>
      </c>
      <c r="D56" s="29"/>
      <c r="E56" s="31" t="n">
        <v>0.289124</v>
      </c>
      <c r="F56" s="7"/>
      <c r="G56" s="32" t="n">
        <f aca="false">E56*$F$53</f>
        <v>5658.15668</v>
      </c>
      <c r="H56" s="7"/>
    </row>
    <row r="57" customFormat="false" ht="23.85" hidden="false" customHeight="false" outlineLevel="1" collapsed="false">
      <c r="A57" s="7"/>
      <c r="B57" s="29" t="s">
        <v>325</v>
      </c>
      <c r="C57" s="30" t="s">
        <v>327</v>
      </c>
      <c r="D57" s="29"/>
      <c r="E57" s="31" t="n">
        <v>0.133276</v>
      </c>
      <c r="F57" s="7"/>
      <c r="G57" s="32" t="n">
        <f aca="false">E57*$F$53</f>
        <v>2608.21132</v>
      </c>
      <c r="H57" s="7"/>
    </row>
    <row r="58" customFormat="false" ht="15" hidden="false" customHeight="false" outlineLevel="0" collapsed="false">
      <c r="A58" s="23" t="n">
        <v>14</v>
      </c>
      <c r="B58" s="23" t="s">
        <v>174</v>
      </c>
      <c r="C58" s="24" t="s">
        <v>37</v>
      </c>
      <c r="D58" s="23" t="s">
        <v>24</v>
      </c>
      <c r="E58" s="25" t="n">
        <f aca="false">SUM(E59:E71)</f>
        <v>5138.2521214</v>
      </c>
      <c r="F58" s="26" t="n">
        <v>473574</v>
      </c>
      <c r="G58" s="27" t="n">
        <f aca="false">E58*F58</f>
        <v>2433342610.13988</v>
      </c>
      <c r="H58" s="28" t="s">
        <v>175</v>
      </c>
    </row>
    <row r="59" customFormat="false" ht="23.85" hidden="false" customHeight="false" outlineLevel="1" collapsed="false">
      <c r="A59" s="7"/>
      <c r="B59" s="29" t="s">
        <v>133</v>
      </c>
      <c r="C59" s="30" t="s">
        <v>134</v>
      </c>
      <c r="D59" s="29"/>
      <c r="E59" s="31" t="n">
        <v>226.32984</v>
      </c>
      <c r="F59" s="7"/>
      <c r="G59" s="32" t="n">
        <f aca="false">E59*$F$58</f>
        <v>107183927.64816</v>
      </c>
      <c r="H59" s="7"/>
    </row>
    <row r="60" customFormat="false" ht="23.85" hidden="false" customHeight="false" outlineLevel="1" collapsed="false">
      <c r="A60" s="7"/>
      <c r="B60" s="29" t="s">
        <v>135</v>
      </c>
      <c r="C60" s="30" t="s">
        <v>136</v>
      </c>
      <c r="D60" s="29"/>
      <c r="E60" s="31" t="n">
        <v>3214.4988288</v>
      </c>
      <c r="F60" s="7"/>
      <c r="G60" s="32" t="n">
        <f aca="false">E60*$F$58</f>
        <v>1522303068.35013</v>
      </c>
      <c r="H60" s="7"/>
    </row>
    <row r="61" customFormat="false" ht="23.85" hidden="false" customHeight="false" outlineLevel="1" collapsed="false">
      <c r="A61" s="7"/>
      <c r="B61" s="29" t="s">
        <v>135</v>
      </c>
      <c r="C61" s="30" t="s">
        <v>320</v>
      </c>
      <c r="D61" s="29"/>
      <c r="E61" s="31" t="n">
        <v>54.746664</v>
      </c>
      <c r="F61" s="7"/>
      <c r="G61" s="32" t="n">
        <f aca="false">E61*$F$58</f>
        <v>25926596.657136</v>
      </c>
      <c r="H61" s="7"/>
    </row>
    <row r="62" customFormat="false" ht="23.85" hidden="false" customHeight="false" outlineLevel="1" collapsed="false">
      <c r="A62" s="7"/>
      <c r="B62" s="29" t="s">
        <v>135</v>
      </c>
      <c r="C62" s="30" t="s">
        <v>321</v>
      </c>
      <c r="D62" s="29"/>
      <c r="E62" s="31" t="n">
        <v>33.75078</v>
      </c>
      <c r="F62" s="7"/>
      <c r="G62" s="32" t="n">
        <f aca="false">E62*$F$58</f>
        <v>15983491.88772</v>
      </c>
      <c r="H62" s="7"/>
    </row>
    <row r="63" customFormat="false" ht="23.85" hidden="false" customHeight="false" outlineLevel="1" collapsed="false">
      <c r="A63" s="7"/>
      <c r="B63" s="29" t="s">
        <v>135</v>
      </c>
      <c r="C63" s="30" t="s">
        <v>137</v>
      </c>
      <c r="D63" s="29"/>
      <c r="E63" s="31" t="n">
        <v>708.1783296</v>
      </c>
      <c r="F63" s="7"/>
      <c r="G63" s="32" t="n">
        <f aca="false">E63*$F$58</f>
        <v>335374844.26199</v>
      </c>
      <c r="H63" s="7"/>
    </row>
    <row r="64" customFormat="false" ht="23.85" hidden="false" customHeight="false" outlineLevel="1" collapsed="false">
      <c r="A64" s="7"/>
      <c r="B64" s="29" t="s">
        <v>135</v>
      </c>
      <c r="C64" s="30" t="s">
        <v>138</v>
      </c>
      <c r="D64" s="29"/>
      <c r="E64" s="31" t="n">
        <v>194.9925432</v>
      </c>
      <c r="F64" s="7"/>
      <c r="G64" s="32" t="n">
        <f aca="false">E64*$F$58</f>
        <v>92343398.6533968</v>
      </c>
      <c r="H64" s="7"/>
    </row>
    <row r="65" customFormat="false" ht="23.85" hidden="false" customHeight="false" outlineLevel="1" collapsed="false">
      <c r="A65" s="7"/>
      <c r="B65" s="29" t="s">
        <v>135</v>
      </c>
      <c r="C65" s="30" t="s">
        <v>138</v>
      </c>
      <c r="D65" s="29"/>
      <c r="E65" s="31" t="n">
        <v>190.660848</v>
      </c>
      <c r="F65" s="7"/>
      <c r="G65" s="32" t="n">
        <f aca="false">E65*$F$58</f>
        <v>90292020.430752</v>
      </c>
      <c r="H65" s="7"/>
    </row>
    <row r="66" customFormat="false" ht="15" hidden="false" customHeight="false" outlineLevel="1" collapsed="false">
      <c r="A66" s="7"/>
      <c r="B66" s="29" t="s">
        <v>141</v>
      </c>
      <c r="C66" s="30" t="s">
        <v>142</v>
      </c>
      <c r="D66" s="29"/>
      <c r="E66" s="31" t="n">
        <v>114.603528</v>
      </c>
      <c r="F66" s="7"/>
      <c r="G66" s="32" t="n">
        <f aca="false">E66*$F$58</f>
        <v>54273251.169072</v>
      </c>
      <c r="H66" s="7"/>
    </row>
    <row r="67" customFormat="false" ht="15" hidden="false" customHeight="false" outlineLevel="1" collapsed="false">
      <c r="A67" s="7"/>
      <c r="B67" s="29" t="s">
        <v>141</v>
      </c>
      <c r="C67" s="30" t="s">
        <v>142</v>
      </c>
      <c r="D67" s="29"/>
      <c r="E67" s="31" t="n">
        <v>129.759096</v>
      </c>
      <c r="F67" s="7"/>
      <c r="G67" s="32" t="n">
        <f aca="false">E67*$F$58</f>
        <v>61450534.129104</v>
      </c>
      <c r="H67" s="7"/>
    </row>
    <row r="68" customFormat="false" ht="23.85" hidden="false" customHeight="false" outlineLevel="1" collapsed="false">
      <c r="A68" s="7"/>
      <c r="B68" s="29" t="s">
        <v>143</v>
      </c>
      <c r="C68" s="30" t="s">
        <v>144</v>
      </c>
      <c r="D68" s="29"/>
      <c r="E68" s="31" t="n">
        <v>144.973212</v>
      </c>
      <c r="F68" s="7"/>
      <c r="G68" s="32" t="n">
        <f aca="false">E68*$F$58</f>
        <v>68655543.899688</v>
      </c>
      <c r="H68" s="7"/>
    </row>
    <row r="69" customFormat="false" ht="15" hidden="false" customHeight="false" outlineLevel="1" collapsed="false">
      <c r="A69" s="7"/>
      <c r="B69" s="29" t="s">
        <v>145</v>
      </c>
      <c r="C69" s="30" t="s">
        <v>146</v>
      </c>
      <c r="D69" s="29"/>
      <c r="E69" s="31" t="n">
        <v>27.007356</v>
      </c>
      <c r="F69" s="7"/>
      <c r="G69" s="32" t="n">
        <f aca="false">E69*$F$58</f>
        <v>12789981.610344</v>
      </c>
      <c r="H69" s="7"/>
    </row>
    <row r="70" customFormat="false" ht="15" hidden="false" customHeight="false" outlineLevel="1" collapsed="false">
      <c r="A70" s="7"/>
      <c r="B70" s="29" t="s">
        <v>152</v>
      </c>
      <c r="C70" s="30" t="s">
        <v>153</v>
      </c>
      <c r="D70" s="29"/>
      <c r="E70" s="31" t="n">
        <v>88.481813</v>
      </c>
      <c r="F70" s="7"/>
      <c r="G70" s="32" t="n">
        <f aca="false">E70*$F$58</f>
        <v>41902686.109662</v>
      </c>
      <c r="H70" s="7"/>
    </row>
    <row r="71" customFormat="false" ht="23.85" hidden="false" customHeight="false" outlineLevel="1" collapsed="false">
      <c r="A71" s="7"/>
      <c r="B71" s="29" t="s">
        <v>147</v>
      </c>
      <c r="C71" s="30" t="s">
        <v>148</v>
      </c>
      <c r="D71" s="29"/>
      <c r="E71" s="31" t="n">
        <v>10.2692828</v>
      </c>
      <c r="F71" s="7"/>
      <c r="G71" s="32" t="n">
        <f aca="false">E71*$F$58</f>
        <v>4863265.3327272</v>
      </c>
      <c r="H71" s="7"/>
    </row>
    <row r="72" customFormat="false" ht="15" hidden="false" customHeight="false" outlineLevel="0" collapsed="false">
      <c r="A72" s="23" t="n">
        <v>15</v>
      </c>
      <c r="B72" s="23" t="s">
        <v>174</v>
      </c>
      <c r="C72" s="24" t="s">
        <v>37</v>
      </c>
      <c r="D72" s="23" t="s">
        <v>24</v>
      </c>
      <c r="E72" s="25" t="n">
        <f aca="false">SUM(E73:E73)</f>
        <v>12.822012</v>
      </c>
      <c r="F72" s="26" t="n">
        <v>427665</v>
      </c>
      <c r="G72" s="27" t="n">
        <f aca="false">E72*F72</f>
        <v>5483525.76198</v>
      </c>
      <c r="H72" s="28" t="s">
        <v>175</v>
      </c>
    </row>
    <row r="73" customFormat="false" ht="23.85" hidden="false" customHeight="false" outlineLevel="1" collapsed="false">
      <c r="A73" s="7"/>
      <c r="B73" s="29" t="s">
        <v>139</v>
      </c>
      <c r="C73" s="30" t="s">
        <v>322</v>
      </c>
      <c r="D73" s="29"/>
      <c r="E73" s="31" t="n">
        <v>12.822012</v>
      </c>
      <c r="F73" s="7"/>
      <c r="G73" s="32" t="n">
        <f aca="false">E73*$F$72</f>
        <v>5483525.76198</v>
      </c>
      <c r="H73" s="7"/>
    </row>
    <row r="74" customFormat="false" ht="15" hidden="false" customHeight="false" outlineLevel="0" collapsed="false">
      <c r="A74" s="23" t="n">
        <v>16</v>
      </c>
      <c r="B74" s="23" t="s">
        <v>174</v>
      </c>
      <c r="C74" s="24" t="s">
        <v>37</v>
      </c>
      <c r="D74" s="23" t="s">
        <v>24</v>
      </c>
      <c r="E74" s="25" t="n">
        <f aca="false">SUM(E75:E76)</f>
        <v>172.65264</v>
      </c>
      <c r="F74" s="26" t="n">
        <v>357665</v>
      </c>
      <c r="G74" s="27" t="n">
        <f aca="false">E74*F74</f>
        <v>61751806.4856</v>
      </c>
      <c r="H74" s="28" t="s">
        <v>175</v>
      </c>
    </row>
    <row r="75" customFormat="false" ht="15" hidden="false" customHeight="false" outlineLevel="1" collapsed="false">
      <c r="A75" s="7"/>
      <c r="B75" s="29" t="s">
        <v>154</v>
      </c>
      <c r="C75" s="30" t="s">
        <v>155</v>
      </c>
      <c r="D75" s="29"/>
      <c r="E75" s="31" t="n">
        <v>142.7169</v>
      </c>
      <c r="F75" s="7"/>
      <c r="G75" s="32" t="n">
        <f aca="false">E75*$F$74</f>
        <v>51044840.0385</v>
      </c>
      <c r="H75" s="7"/>
    </row>
    <row r="76" customFormat="false" ht="15" hidden="false" customHeight="false" outlineLevel="1" collapsed="false">
      <c r="A76" s="7"/>
      <c r="B76" s="29" t="s">
        <v>156</v>
      </c>
      <c r="C76" s="30" t="s">
        <v>155</v>
      </c>
      <c r="D76" s="29"/>
      <c r="E76" s="31" t="n">
        <v>29.93574</v>
      </c>
      <c r="F76" s="7"/>
      <c r="G76" s="32" t="n">
        <f aca="false">E76*$F$74</f>
        <v>10706966.4471</v>
      </c>
      <c r="H76" s="7"/>
    </row>
    <row r="77" customFormat="false" ht="15" hidden="false" customHeight="false" outlineLevel="0" collapsed="false">
      <c r="A77" s="23" t="n">
        <v>17</v>
      </c>
      <c r="B77" s="23" t="s">
        <v>176</v>
      </c>
      <c r="C77" s="24" t="s">
        <v>38</v>
      </c>
      <c r="D77" s="23" t="s">
        <v>24</v>
      </c>
      <c r="E77" s="25" t="n">
        <f aca="false">SUM(E78:E79)</f>
        <v>3873.196</v>
      </c>
      <c r="F77" s="26" t="n">
        <v>370419</v>
      </c>
      <c r="G77" s="27" t="n">
        <f aca="false">E77*F77</f>
        <v>1434705389.124</v>
      </c>
      <c r="H77" s="28" t="s">
        <v>177</v>
      </c>
    </row>
    <row r="78" customFormat="false" ht="15" hidden="false" customHeight="false" outlineLevel="1" collapsed="false">
      <c r="A78" s="7"/>
      <c r="B78" s="29" t="s">
        <v>178</v>
      </c>
      <c r="C78" s="30" t="s">
        <v>179</v>
      </c>
      <c r="D78" s="29"/>
      <c r="E78" s="31" t="n">
        <v>3814.888</v>
      </c>
      <c r="F78" s="7"/>
      <c r="G78" s="32" t="n">
        <f aca="false">E78*$F$77</f>
        <v>1413106998.072</v>
      </c>
      <c r="H78" s="7"/>
    </row>
    <row r="79" customFormat="false" ht="15" hidden="false" customHeight="false" outlineLevel="1" collapsed="false">
      <c r="A79" s="7"/>
      <c r="B79" s="29" t="s">
        <v>182</v>
      </c>
      <c r="C79" s="30" t="s">
        <v>183</v>
      </c>
      <c r="D79" s="29"/>
      <c r="E79" s="31" t="n">
        <v>58.308</v>
      </c>
      <c r="F79" s="7"/>
      <c r="G79" s="32" t="n">
        <f aca="false">E79*$F$77</f>
        <v>21598391.052</v>
      </c>
      <c r="H79" s="7"/>
    </row>
    <row r="80" customFormat="false" ht="15" hidden="false" customHeight="false" outlineLevel="0" collapsed="false">
      <c r="A80" s="23" t="n">
        <v>18</v>
      </c>
      <c r="B80" s="23" t="s">
        <v>184</v>
      </c>
      <c r="C80" s="24" t="s">
        <v>39</v>
      </c>
      <c r="D80" s="23" t="s">
        <v>24</v>
      </c>
      <c r="E80" s="25" t="n">
        <f aca="false">SUM(E81:E81)</f>
        <v>6.96991248792</v>
      </c>
      <c r="F80" s="26" t="n">
        <v>350419</v>
      </c>
      <c r="G80" s="27" t="n">
        <f aca="false">E80*F80</f>
        <v>2442389.76410444</v>
      </c>
      <c r="H80" s="28" t="s">
        <v>185</v>
      </c>
    </row>
    <row r="81" customFormat="false" ht="15" hidden="false" customHeight="false" outlineLevel="1" collapsed="false">
      <c r="A81" s="7"/>
      <c r="B81" s="29" t="s">
        <v>123</v>
      </c>
      <c r="C81" s="30" t="s">
        <v>124</v>
      </c>
      <c r="D81" s="29"/>
      <c r="E81" s="31" t="n">
        <v>6.96991248792</v>
      </c>
      <c r="F81" s="7"/>
      <c r="G81" s="32" t="n">
        <f aca="false">E81*$F$80</f>
        <v>2442389.76410444</v>
      </c>
      <c r="H81" s="7"/>
    </row>
    <row r="82" customFormat="false" ht="15" hidden="false" customHeight="false" outlineLevel="0" collapsed="false">
      <c r="A82" s="23" t="n">
        <v>19</v>
      </c>
      <c r="B82" s="23" t="s">
        <v>186</v>
      </c>
      <c r="C82" s="24" t="s">
        <v>40</v>
      </c>
      <c r="D82" s="23" t="s">
        <v>24</v>
      </c>
      <c r="E82" s="25" t="n">
        <f aca="false">SUM(E83:E83)</f>
        <v>7.96168532016</v>
      </c>
      <c r="F82" s="26" t="n">
        <v>402507</v>
      </c>
      <c r="G82" s="27" t="n">
        <f aca="false">E82*F82</f>
        <v>3204634.07316164</v>
      </c>
      <c r="H82" s="28" t="s">
        <v>187</v>
      </c>
    </row>
    <row r="83" customFormat="false" ht="15" hidden="false" customHeight="false" outlineLevel="1" collapsed="false">
      <c r="A83" s="7"/>
      <c r="B83" s="29" t="s">
        <v>123</v>
      </c>
      <c r="C83" s="30" t="s">
        <v>124</v>
      </c>
      <c r="D83" s="29"/>
      <c r="E83" s="31" t="n">
        <v>7.96168532016</v>
      </c>
      <c r="F83" s="7"/>
      <c r="G83" s="32" t="n">
        <f aca="false">E83*$F$82</f>
        <v>3204634.07316164</v>
      </c>
      <c r="H83" s="7"/>
    </row>
    <row r="84" customFormat="false" ht="15" hidden="false" customHeight="false" outlineLevel="0" collapsed="false">
      <c r="A84" s="23" t="n">
        <v>20</v>
      </c>
      <c r="B84" s="23" t="s">
        <v>188</v>
      </c>
      <c r="C84" s="24" t="s">
        <v>41</v>
      </c>
      <c r="D84" s="23" t="s">
        <v>24</v>
      </c>
      <c r="E84" s="25" t="n">
        <f aca="false">SUM(E85:E85)</f>
        <v>806.3002</v>
      </c>
      <c r="F84" s="26" t="n">
        <v>379446</v>
      </c>
      <c r="G84" s="27" t="n">
        <f aca="false">E84*F84</f>
        <v>305947385.6892</v>
      </c>
      <c r="H84" s="28" t="s">
        <v>189</v>
      </c>
    </row>
    <row r="85" customFormat="false" ht="15" hidden="false" customHeight="false" outlineLevel="1" collapsed="false">
      <c r="A85" s="7"/>
      <c r="B85" s="29" t="s">
        <v>190</v>
      </c>
      <c r="C85" s="30" t="s">
        <v>191</v>
      </c>
      <c r="D85" s="29"/>
      <c r="E85" s="31" t="n">
        <v>806.3002</v>
      </c>
      <c r="F85" s="7"/>
      <c r="G85" s="32" t="n">
        <f aca="false">E85*$F$84</f>
        <v>305947385.6892</v>
      </c>
      <c r="H85" s="7"/>
    </row>
    <row r="86" customFormat="false" ht="15" hidden="false" customHeight="false" outlineLevel="0" collapsed="false">
      <c r="A86" s="23" t="n">
        <v>21</v>
      </c>
      <c r="B86" s="23" t="s">
        <v>188</v>
      </c>
      <c r="C86" s="24" t="s">
        <v>42</v>
      </c>
      <c r="D86" s="23" t="s">
        <v>24</v>
      </c>
      <c r="E86" s="25" t="n">
        <f aca="false">SUM(E87:E89)</f>
        <v>22385.2774</v>
      </c>
      <c r="F86" s="26" t="n">
        <v>379446</v>
      </c>
      <c r="G86" s="27" t="n">
        <f aca="false">E86*F86</f>
        <v>8494003968.3204</v>
      </c>
      <c r="H86" s="28" t="s">
        <v>192</v>
      </c>
    </row>
    <row r="87" customFormat="false" ht="15" hidden="false" customHeight="false" outlineLevel="1" collapsed="false">
      <c r="A87" s="7"/>
      <c r="B87" s="29" t="s">
        <v>193</v>
      </c>
      <c r="C87" s="30" t="s">
        <v>194</v>
      </c>
      <c r="D87" s="29"/>
      <c r="E87" s="31" t="n">
        <v>5113.4534</v>
      </c>
      <c r="F87" s="7"/>
      <c r="G87" s="32" t="n">
        <f aca="false">E87*$F$86</f>
        <v>1940279438.8164</v>
      </c>
      <c r="H87" s="7"/>
    </row>
    <row r="88" customFormat="false" ht="15" hidden="false" customHeight="false" outlineLevel="1" collapsed="false">
      <c r="A88" s="7"/>
      <c r="B88" s="29" t="s">
        <v>195</v>
      </c>
      <c r="C88" s="30" t="s">
        <v>196</v>
      </c>
      <c r="D88" s="29"/>
      <c r="E88" s="31" t="n">
        <v>4368.919</v>
      </c>
      <c r="F88" s="7"/>
      <c r="G88" s="32" t="n">
        <f aca="false">E88*$F$86</f>
        <v>1657768838.874</v>
      </c>
      <c r="H88" s="7"/>
    </row>
    <row r="89" customFormat="false" ht="15" hidden="false" customHeight="false" outlineLevel="1" collapsed="false">
      <c r="A89" s="7"/>
      <c r="B89" s="29" t="s">
        <v>195</v>
      </c>
      <c r="C89" s="30" t="s">
        <v>197</v>
      </c>
      <c r="D89" s="29"/>
      <c r="E89" s="31" t="n">
        <v>12902.905</v>
      </c>
      <c r="F89" s="7"/>
      <c r="G89" s="32" t="n">
        <f aca="false">E89*$F$86</f>
        <v>4895955690.63</v>
      </c>
      <c r="H89" s="7"/>
    </row>
    <row r="90" customFormat="false" ht="15" hidden="false" customHeight="false" outlineLevel="0" collapsed="false">
      <c r="A90" s="23" t="n">
        <v>22</v>
      </c>
      <c r="B90" s="23" t="s">
        <v>198</v>
      </c>
      <c r="C90" s="24" t="s">
        <v>43</v>
      </c>
      <c r="D90" s="23" t="s">
        <v>24</v>
      </c>
      <c r="E90" s="25" t="n">
        <f aca="false">SUM(E91:E91)</f>
        <v>5.94392902704</v>
      </c>
      <c r="F90" s="26" t="n">
        <v>290419</v>
      </c>
      <c r="G90" s="27" t="n">
        <f aca="false">E90*F90</f>
        <v>1726229.92410393</v>
      </c>
      <c r="H90" s="28" t="s">
        <v>199</v>
      </c>
    </row>
    <row r="91" customFormat="false" ht="15" hidden="false" customHeight="false" outlineLevel="1" collapsed="false">
      <c r="A91" s="7"/>
      <c r="B91" s="29" t="s">
        <v>123</v>
      </c>
      <c r="C91" s="30" t="s">
        <v>124</v>
      </c>
      <c r="D91" s="29"/>
      <c r="E91" s="31" t="n">
        <v>5.94392902704</v>
      </c>
      <c r="F91" s="7"/>
      <c r="G91" s="32" t="n">
        <f aca="false">E91*$F$90</f>
        <v>1726229.92410393</v>
      </c>
      <c r="H91" s="7"/>
    </row>
    <row r="92" customFormat="false" ht="15" hidden="false" customHeight="false" outlineLevel="0" collapsed="false">
      <c r="A92" s="23" t="n">
        <v>23</v>
      </c>
      <c r="B92" s="23" t="s">
        <v>332</v>
      </c>
      <c r="C92" s="24" t="s">
        <v>44</v>
      </c>
      <c r="D92" s="23" t="s">
        <v>24</v>
      </c>
      <c r="E92" s="25" t="n">
        <f aca="false">SUM(E93:E93)</f>
        <v>4.78691956</v>
      </c>
      <c r="F92" s="26" t="n">
        <v>50000</v>
      </c>
      <c r="G92" s="27" t="n">
        <f aca="false">E92*F92</f>
        <v>239345.978</v>
      </c>
      <c r="H92" s="28" t="s">
        <v>333</v>
      </c>
    </row>
    <row r="93" customFormat="false" ht="23.85" hidden="false" customHeight="false" outlineLevel="1" collapsed="false">
      <c r="A93" s="7"/>
      <c r="B93" s="29" t="s">
        <v>334</v>
      </c>
      <c r="C93" s="30" t="s">
        <v>335</v>
      </c>
      <c r="D93" s="29"/>
      <c r="E93" s="31" t="n">
        <v>4.78691956</v>
      </c>
      <c r="F93" s="7"/>
      <c r="G93" s="32" t="n">
        <f aca="false">E93*$F$92</f>
        <v>239345.978</v>
      </c>
      <c r="H93" s="7"/>
    </row>
    <row r="94" customFormat="false" ht="15" hidden="false" customHeight="false" outlineLevel="0" collapsed="false">
      <c r="A94" s="23" t="n">
        <v>24</v>
      </c>
      <c r="B94" s="23" t="s">
        <v>200</v>
      </c>
      <c r="C94" s="24" t="s">
        <v>45</v>
      </c>
      <c r="D94" s="23" t="s">
        <v>46</v>
      </c>
      <c r="E94" s="25" t="n">
        <f aca="false">SUM(E95:E95)</f>
        <v>14.2544286</v>
      </c>
      <c r="F94" s="26" t="n">
        <v>35000</v>
      </c>
      <c r="G94" s="27" t="n">
        <f aca="false">E94*F94</f>
        <v>498905.001</v>
      </c>
      <c r="H94" s="28" t="s">
        <v>201</v>
      </c>
    </row>
    <row r="95" customFormat="false" ht="15" hidden="false" customHeight="false" outlineLevel="1" collapsed="false">
      <c r="A95" s="7"/>
      <c r="B95" s="29" t="s">
        <v>202</v>
      </c>
      <c r="C95" s="30" t="s">
        <v>203</v>
      </c>
      <c r="D95" s="29"/>
      <c r="E95" s="31" t="n">
        <v>14.2544286</v>
      </c>
      <c r="F95" s="7"/>
      <c r="G95" s="32" t="n">
        <f aca="false">E95*$F$94</f>
        <v>498905.001</v>
      </c>
      <c r="H95" s="7"/>
    </row>
    <row r="96" customFormat="false" ht="15" hidden="false" customHeight="false" outlineLevel="0" collapsed="false">
      <c r="A96" s="23" t="n">
        <v>25</v>
      </c>
      <c r="B96" s="23" t="s">
        <v>204</v>
      </c>
      <c r="C96" s="24" t="s">
        <v>47</v>
      </c>
      <c r="D96" s="23" t="s">
        <v>46</v>
      </c>
      <c r="E96" s="25" t="n">
        <f aca="false">SUM(E97:E97)</f>
        <v>50.309748</v>
      </c>
      <c r="F96" s="26" t="n">
        <v>28090</v>
      </c>
      <c r="G96" s="27" t="n">
        <f aca="false">E96*F96</f>
        <v>1413200.82132</v>
      </c>
      <c r="H96" s="28" t="s">
        <v>205</v>
      </c>
    </row>
    <row r="97" customFormat="false" ht="15" hidden="false" customHeight="false" outlineLevel="1" collapsed="false">
      <c r="A97" s="7"/>
      <c r="B97" s="29" t="s">
        <v>202</v>
      </c>
      <c r="C97" s="30" t="s">
        <v>203</v>
      </c>
      <c r="D97" s="29"/>
      <c r="E97" s="31" t="n">
        <v>50.309748</v>
      </c>
      <c r="F97" s="7"/>
      <c r="G97" s="32" t="n">
        <f aca="false">E97*$F$96</f>
        <v>1413200.82132</v>
      </c>
      <c r="H97" s="7"/>
    </row>
    <row r="98" customFormat="false" ht="15" hidden="false" customHeight="false" outlineLevel="0" collapsed="false">
      <c r="A98" s="23" t="n">
        <v>26</v>
      </c>
      <c r="B98" s="23" t="s">
        <v>206</v>
      </c>
      <c r="C98" s="24" t="s">
        <v>48</v>
      </c>
      <c r="D98" s="23" t="s">
        <v>46</v>
      </c>
      <c r="E98" s="25" t="n">
        <f aca="false">SUM(E99:E99)</f>
        <v>285.088572</v>
      </c>
      <c r="F98" s="26" t="n">
        <v>14538</v>
      </c>
      <c r="G98" s="27" t="n">
        <f aca="false">E98*F98</f>
        <v>4144617.659736</v>
      </c>
      <c r="H98" s="28" t="s">
        <v>207</v>
      </c>
    </row>
    <row r="99" customFormat="false" ht="15" hidden="false" customHeight="false" outlineLevel="1" collapsed="false">
      <c r="A99" s="7"/>
      <c r="B99" s="29" t="s">
        <v>202</v>
      </c>
      <c r="C99" s="30" t="s">
        <v>203</v>
      </c>
      <c r="D99" s="29"/>
      <c r="E99" s="31" t="n">
        <v>285.088572</v>
      </c>
      <c r="F99" s="7"/>
      <c r="G99" s="32" t="n">
        <f aca="false">E99*$F$98</f>
        <v>4144617.659736</v>
      </c>
      <c r="H99" s="7"/>
    </row>
    <row r="100" customFormat="false" ht="15" hidden="false" customHeight="false" outlineLevel="0" collapsed="false">
      <c r="A100" s="23" t="n">
        <v>27</v>
      </c>
      <c r="B100" s="23" t="s">
        <v>208</v>
      </c>
      <c r="C100" s="24" t="s">
        <v>49</v>
      </c>
      <c r="D100" s="23" t="s">
        <v>20</v>
      </c>
      <c r="E100" s="25" t="n">
        <f aca="false">SUM(E101:E109)</f>
        <v>316.0901632</v>
      </c>
      <c r="F100" s="26" t="n">
        <v>21000</v>
      </c>
      <c r="G100" s="27" t="n">
        <f aca="false">E100*F100</f>
        <v>6637893.4272</v>
      </c>
      <c r="H100" s="28" t="s">
        <v>209</v>
      </c>
    </row>
    <row r="101" customFormat="false" ht="15" hidden="false" customHeight="false" outlineLevel="1" collapsed="false">
      <c r="A101" s="7"/>
      <c r="B101" s="29" t="s">
        <v>210</v>
      </c>
      <c r="C101" s="30" t="s">
        <v>211</v>
      </c>
      <c r="D101" s="29"/>
      <c r="E101" s="31" t="n">
        <v>145.292784</v>
      </c>
      <c r="F101" s="7"/>
      <c r="G101" s="32" t="n">
        <f aca="false">E101*$F$100</f>
        <v>3051148.464</v>
      </c>
      <c r="H101" s="7"/>
    </row>
    <row r="102" customFormat="false" ht="15" hidden="false" customHeight="false" outlineLevel="1" collapsed="false">
      <c r="A102" s="7"/>
      <c r="B102" s="29" t="s">
        <v>210</v>
      </c>
      <c r="C102" s="30" t="s">
        <v>212</v>
      </c>
      <c r="D102" s="29"/>
      <c r="E102" s="31" t="n">
        <v>29.0585568</v>
      </c>
      <c r="F102" s="7"/>
      <c r="G102" s="32" t="n">
        <f aca="false">E102*$F$100</f>
        <v>610229.6928</v>
      </c>
      <c r="H102" s="7"/>
    </row>
    <row r="103" customFormat="false" ht="15" hidden="false" customHeight="false" outlineLevel="1" collapsed="false">
      <c r="A103" s="7"/>
      <c r="B103" s="29" t="s">
        <v>210</v>
      </c>
      <c r="C103" s="30" t="s">
        <v>336</v>
      </c>
      <c r="D103" s="29"/>
      <c r="E103" s="31" t="n">
        <v>3.3201056</v>
      </c>
      <c r="F103" s="7"/>
      <c r="G103" s="32" t="n">
        <f aca="false">E103*$F$100</f>
        <v>69722.2176</v>
      </c>
      <c r="H103" s="7"/>
    </row>
    <row r="104" customFormat="false" ht="15" hidden="false" customHeight="false" outlineLevel="1" collapsed="false">
      <c r="A104" s="7"/>
      <c r="B104" s="29" t="s">
        <v>210</v>
      </c>
      <c r="C104" s="30" t="s">
        <v>212</v>
      </c>
      <c r="D104" s="29"/>
      <c r="E104" s="31" t="n">
        <v>0.66402112</v>
      </c>
      <c r="F104" s="7"/>
      <c r="G104" s="32" t="n">
        <f aca="false">E104*$F$100</f>
        <v>13944.44352</v>
      </c>
      <c r="H104" s="7"/>
    </row>
    <row r="105" customFormat="false" ht="15" hidden="false" customHeight="false" outlineLevel="1" collapsed="false">
      <c r="A105" s="7"/>
      <c r="B105" s="29" t="s">
        <v>210</v>
      </c>
      <c r="C105" s="30" t="s">
        <v>337</v>
      </c>
      <c r="D105" s="29"/>
      <c r="E105" s="31" t="n">
        <v>2.0469824</v>
      </c>
      <c r="F105" s="7"/>
      <c r="G105" s="32" t="n">
        <f aca="false">E105*$F$100</f>
        <v>42986.6304</v>
      </c>
      <c r="H105" s="7"/>
    </row>
    <row r="106" customFormat="false" ht="15" hidden="false" customHeight="false" outlineLevel="1" collapsed="false">
      <c r="A106" s="7"/>
      <c r="B106" s="29" t="s">
        <v>210</v>
      </c>
      <c r="C106" s="30" t="s">
        <v>212</v>
      </c>
      <c r="D106" s="29"/>
      <c r="E106" s="31" t="n">
        <v>0.40939648</v>
      </c>
      <c r="F106" s="7"/>
      <c r="G106" s="32" t="n">
        <f aca="false">E106*$F$100</f>
        <v>8597.32608</v>
      </c>
      <c r="H106" s="7"/>
    </row>
    <row r="107" customFormat="false" ht="15" hidden="false" customHeight="false" outlineLevel="1" collapsed="false">
      <c r="A107" s="7"/>
      <c r="B107" s="29" t="s">
        <v>215</v>
      </c>
      <c r="C107" s="30" t="s">
        <v>217</v>
      </c>
      <c r="D107" s="29"/>
      <c r="E107" s="31" t="n">
        <v>96.7380253</v>
      </c>
      <c r="F107" s="7"/>
      <c r="G107" s="32" t="n">
        <f aca="false">E107*$F$100</f>
        <v>2031498.5313</v>
      </c>
      <c r="H107" s="7"/>
    </row>
    <row r="108" customFormat="false" ht="15" hidden="false" customHeight="false" outlineLevel="1" collapsed="false">
      <c r="A108" s="7"/>
      <c r="B108" s="29" t="s">
        <v>215</v>
      </c>
      <c r="C108" s="30" t="s">
        <v>218</v>
      </c>
      <c r="D108" s="29"/>
      <c r="E108" s="31" t="n">
        <v>27.5769235</v>
      </c>
      <c r="F108" s="7"/>
      <c r="G108" s="32" t="n">
        <f aca="false">E108*$F$100</f>
        <v>579115.3935</v>
      </c>
      <c r="H108" s="7"/>
    </row>
    <row r="109" customFormat="false" ht="15" hidden="false" customHeight="false" outlineLevel="1" collapsed="false">
      <c r="A109" s="7"/>
      <c r="B109" s="29" t="s">
        <v>219</v>
      </c>
      <c r="C109" s="30" t="s">
        <v>220</v>
      </c>
      <c r="D109" s="29"/>
      <c r="E109" s="31" t="n">
        <v>10.983368</v>
      </c>
      <c r="F109" s="7"/>
      <c r="G109" s="32" t="n">
        <f aca="false">E109*$F$100</f>
        <v>230650.728</v>
      </c>
      <c r="H109" s="7"/>
    </row>
    <row r="110" customFormat="false" ht="15" hidden="false" customHeight="false" outlineLevel="0" collapsed="false">
      <c r="A110" s="23" t="n">
        <v>28</v>
      </c>
      <c r="B110" s="23" t="s">
        <v>208</v>
      </c>
      <c r="C110" s="24" t="s">
        <v>49</v>
      </c>
      <c r="D110" s="23" t="s">
        <v>20</v>
      </c>
      <c r="E110" s="25" t="n">
        <f aca="false">SUM(E111:E112)</f>
        <v>14.4158571</v>
      </c>
      <c r="F110" s="26" t="n">
        <v>12200</v>
      </c>
      <c r="G110" s="27" t="n">
        <f aca="false">E110*F110</f>
        <v>175873.45662</v>
      </c>
      <c r="H110" s="28" t="s">
        <v>209</v>
      </c>
    </row>
    <row r="111" customFormat="false" ht="15" hidden="false" customHeight="false" outlineLevel="1" collapsed="false">
      <c r="A111" s="7"/>
      <c r="B111" s="29" t="s">
        <v>215</v>
      </c>
      <c r="C111" s="30" t="s">
        <v>338</v>
      </c>
      <c r="D111" s="29"/>
      <c r="E111" s="31" t="n">
        <v>2.4164459</v>
      </c>
      <c r="F111" s="7"/>
      <c r="G111" s="32" t="n">
        <f aca="false">E111*$F$110</f>
        <v>29480.63998</v>
      </c>
      <c r="H111" s="7"/>
    </row>
    <row r="112" customFormat="false" ht="15" hidden="false" customHeight="false" outlineLevel="1" collapsed="false">
      <c r="A112" s="7"/>
      <c r="B112" s="29" t="s">
        <v>213</v>
      </c>
      <c r="C112" s="30" t="s">
        <v>339</v>
      </c>
      <c r="D112" s="29"/>
      <c r="E112" s="31" t="n">
        <v>11.9994112</v>
      </c>
      <c r="F112" s="7"/>
      <c r="G112" s="32" t="n">
        <f aca="false">E112*$F$110</f>
        <v>146392.81664</v>
      </c>
      <c r="H112" s="7"/>
    </row>
    <row r="113" customFormat="false" ht="15" hidden="false" customHeight="false" outlineLevel="0" collapsed="false">
      <c r="A113" s="23" t="n">
        <v>29</v>
      </c>
      <c r="B113" s="23" t="s">
        <v>225</v>
      </c>
      <c r="C113" s="24" t="s">
        <v>51</v>
      </c>
      <c r="D113" s="23" t="s">
        <v>52</v>
      </c>
      <c r="E113" s="25" t="n">
        <f aca="false">SUM(E114:E115)</f>
        <v>1776.0547</v>
      </c>
      <c r="F113" s="26" t="n">
        <v>150000</v>
      </c>
      <c r="G113" s="27" t="n">
        <f aca="false">E113*F113</f>
        <v>266408205</v>
      </c>
      <c r="H113" s="28" t="s">
        <v>226</v>
      </c>
    </row>
    <row r="114" customFormat="false" ht="15" hidden="false" customHeight="false" outlineLevel="1" collapsed="false">
      <c r="A114" s="7"/>
      <c r="B114" s="29" t="s">
        <v>127</v>
      </c>
      <c r="C114" s="30" t="s">
        <v>128</v>
      </c>
      <c r="D114" s="29"/>
      <c r="E114" s="31" t="n">
        <v>1428.645</v>
      </c>
      <c r="F114" s="7"/>
      <c r="G114" s="32" t="n">
        <f aca="false">E114*$F$113</f>
        <v>214296750</v>
      </c>
      <c r="H114" s="7"/>
    </row>
    <row r="115" customFormat="false" ht="15" hidden="false" customHeight="false" outlineLevel="1" collapsed="false">
      <c r="A115" s="7"/>
      <c r="B115" s="29" t="s">
        <v>129</v>
      </c>
      <c r="C115" s="30" t="s">
        <v>128</v>
      </c>
      <c r="D115" s="29"/>
      <c r="E115" s="31" t="n">
        <v>347.4097</v>
      </c>
      <c r="F115" s="7"/>
      <c r="G115" s="32" t="n">
        <f aca="false">E115*$F$113</f>
        <v>52111455</v>
      </c>
      <c r="H115" s="7"/>
    </row>
    <row r="116" customFormat="false" ht="15" hidden="false" customHeight="false" outlineLevel="0" collapsed="false">
      <c r="A116" s="23" t="n">
        <v>30</v>
      </c>
      <c r="B116" s="23" t="s">
        <v>231</v>
      </c>
      <c r="C116" s="24" t="s">
        <v>54</v>
      </c>
      <c r="D116" s="23" t="s">
        <v>20</v>
      </c>
      <c r="E116" s="25" t="n">
        <f aca="false">SUM(E117:E119)</f>
        <v>15.429168</v>
      </c>
      <c r="F116" s="26" t="n">
        <v>17000</v>
      </c>
      <c r="G116" s="27" t="n">
        <f aca="false">E116*F116</f>
        <v>262295.856</v>
      </c>
      <c r="H116" s="28" t="s">
        <v>232</v>
      </c>
    </row>
    <row r="117" customFormat="false" ht="23.85" hidden="false" customHeight="false" outlineLevel="1" collapsed="false">
      <c r="A117" s="7"/>
      <c r="B117" s="29" t="s">
        <v>340</v>
      </c>
      <c r="C117" s="30" t="s">
        <v>341</v>
      </c>
      <c r="D117" s="29"/>
      <c r="E117" s="31" t="n">
        <v>8.810424</v>
      </c>
      <c r="F117" s="7"/>
      <c r="G117" s="32" t="n">
        <f aca="false">E117*$F$116</f>
        <v>149777.208</v>
      </c>
      <c r="H117" s="7"/>
    </row>
    <row r="118" customFormat="false" ht="23.85" hidden="false" customHeight="false" outlineLevel="1" collapsed="false">
      <c r="A118" s="7"/>
      <c r="B118" s="29" t="s">
        <v>340</v>
      </c>
      <c r="C118" s="30" t="s">
        <v>342</v>
      </c>
      <c r="D118" s="29"/>
      <c r="E118" s="31" t="n">
        <v>0.189924</v>
      </c>
      <c r="F118" s="7"/>
      <c r="G118" s="32" t="n">
        <f aca="false">E118*$F$116</f>
        <v>3228.708</v>
      </c>
      <c r="H118" s="7"/>
    </row>
    <row r="119" customFormat="false" ht="15" hidden="false" customHeight="false" outlineLevel="1" collapsed="false">
      <c r="A119" s="7"/>
      <c r="B119" s="29" t="s">
        <v>343</v>
      </c>
      <c r="C119" s="30" t="s">
        <v>344</v>
      </c>
      <c r="D119" s="29"/>
      <c r="E119" s="31" t="n">
        <v>6.42882</v>
      </c>
      <c r="F119" s="7"/>
      <c r="G119" s="32" t="n">
        <f aca="false">E119*$F$116</f>
        <v>109289.94</v>
      </c>
      <c r="H119" s="7"/>
    </row>
    <row r="120" customFormat="false" ht="22.35" hidden="false" customHeight="false" outlineLevel="0" collapsed="false">
      <c r="A120" s="23" t="n">
        <v>31</v>
      </c>
      <c r="B120" s="23" t="s">
        <v>123</v>
      </c>
      <c r="C120" s="24" t="s">
        <v>56</v>
      </c>
      <c r="D120" s="23" t="s">
        <v>57</v>
      </c>
      <c r="E120" s="33" t="n">
        <v>41</v>
      </c>
      <c r="F120" s="26" t="n">
        <v>1265000</v>
      </c>
      <c r="G120" s="27" t="n">
        <f aca="false">E120*F120</f>
        <v>51865000</v>
      </c>
      <c r="H120" s="28" t="s">
        <v>238</v>
      </c>
    </row>
    <row r="121" customFormat="false" ht="15" hidden="false" customHeight="false" outlineLevel="0" collapsed="false">
      <c r="A121" s="23" t="n">
        <v>32</v>
      </c>
      <c r="B121" s="23" t="s">
        <v>239</v>
      </c>
      <c r="C121" s="24" t="s">
        <v>58</v>
      </c>
      <c r="D121" s="23" t="s">
        <v>20</v>
      </c>
      <c r="E121" s="25" t="n">
        <f aca="false">SUM(E122:E123)</f>
        <v>0.915026</v>
      </c>
      <c r="F121" s="26" t="n">
        <v>118000</v>
      </c>
      <c r="G121" s="27" t="n">
        <f aca="false">E121*F121</f>
        <v>107973.068</v>
      </c>
      <c r="H121" s="28" t="s">
        <v>240</v>
      </c>
    </row>
    <row r="122" customFormat="false" ht="23.85" hidden="false" customHeight="false" outlineLevel="1" collapsed="false">
      <c r="A122" s="7"/>
      <c r="B122" s="29" t="s">
        <v>168</v>
      </c>
      <c r="C122" s="30" t="s">
        <v>169</v>
      </c>
      <c r="D122" s="29"/>
      <c r="E122" s="31" t="n">
        <v>0.902</v>
      </c>
      <c r="F122" s="7"/>
      <c r="G122" s="32" t="n">
        <f aca="false">E122*$F$121</f>
        <v>106436</v>
      </c>
      <c r="H122" s="7"/>
    </row>
    <row r="123" customFormat="false" ht="23.85" hidden="false" customHeight="false" outlineLevel="1" collapsed="false">
      <c r="A123" s="7"/>
      <c r="B123" s="29" t="s">
        <v>166</v>
      </c>
      <c r="C123" s="30" t="s">
        <v>167</v>
      </c>
      <c r="D123" s="29"/>
      <c r="E123" s="31" t="n">
        <v>0.013026</v>
      </c>
      <c r="F123" s="7"/>
      <c r="G123" s="32" t="n">
        <f aca="false">E123*$F$121</f>
        <v>1537.068</v>
      </c>
      <c r="H123" s="7"/>
    </row>
    <row r="124" customFormat="false" ht="15" hidden="false" customHeight="false" outlineLevel="0" collapsed="false">
      <c r="A124" s="23" t="n">
        <v>33</v>
      </c>
      <c r="B124" s="23" t="s">
        <v>241</v>
      </c>
      <c r="C124" s="24" t="s">
        <v>59</v>
      </c>
      <c r="D124" s="23" t="s">
        <v>20</v>
      </c>
      <c r="E124" s="25" t="n">
        <f aca="false">SUM(E125:E125)</f>
        <v>1546.756432344</v>
      </c>
      <c r="F124" s="26" t="n">
        <v>20842</v>
      </c>
      <c r="G124" s="27" t="n">
        <f aca="false">E124*F124</f>
        <v>32237497.5629136</v>
      </c>
      <c r="H124" s="28" t="s">
        <v>242</v>
      </c>
    </row>
    <row r="125" customFormat="false" ht="15" hidden="false" customHeight="false" outlineLevel="1" collapsed="false">
      <c r="A125" s="7"/>
      <c r="B125" s="29" t="s">
        <v>123</v>
      </c>
      <c r="C125" s="30" t="s">
        <v>124</v>
      </c>
      <c r="D125" s="29"/>
      <c r="E125" s="31" t="n">
        <v>1546.756432344</v>
      </c>
      <c r="F125" s="7"/>
      <c r="G125" s="32" t="n">
        <f aca="false">E125*$F$124</f>
        <v>32237497.5629136</v>
      </c>
      <c r="H125" s="7"/>
    </row>
    <row r="126" customFormat="false" ht="15" hidden="false" customHeight="false" outlineLevel="0" collapsed="false">
      <c r="A126" s="23" t="n">
        <v>34</v>
      </c>
      <c r="B126" s="23" t="s">
        <v>243</v>
      </c>
      <c r="C126" s="24" t="s">
        <v>60</v>
      </c>
      <c r="D126" s="23" t="s">
        <v>20</v>
      </c>
      <c r="E126" s="25" t="n">
        <f aca="false">SUM(E127:E127)</f>
        <v>199.26</v>
      </c>
      <c r="F126" s="26" t="n">
        <v>15942</v>
      </c>
      <c r="G126" s="27" t="n">
        <f aca="false">E126*F126</f>
        <v>3176602.92</v>
      </c>
      <c r="H126" s="28" t="s">
        <v>244</v>
      </c>
    </row>
    <row r="127" customFormat="false" ht="23.85" hidden="false" customHeight="false" outlineLevel="1" collapsed="false">
      <c r="A127" s="7"/>
      <c r="B127" s="29" t="s">
        <v>245</v>
      </c>
      <c r="C127" s="30" t="s">
        <v>246</v>
      </c>
      <c r="D127" s="29"/>
      <c r="E127" s="31" t="n">
        <v>199.26</v>
      </c>
      <c r="F127" s="7"/>
      <c r="G127" s="32" t="n">
        <f aca="false">E127*$F$126</f>
        <v>3176602.92</v>
      </c>
      <c r="H127" s="7"/>
    </row>
    <row r="128" customFormat="false" ht="15" hidden="false" customHeight="false" outlineLevel="0" collapsed="false">
      <c r="A128" s="23" t="n">
        <v>35</v>
      </c>
      <c r="B128" s="23" t="s">
        <v>247</v>
      </c>
      <c r="C128" s="24" t="s">
        <v>61</v>
      </c>
      <c r="D128" s="23" t="s">
        <v>52</v>
      </c>
      <c r="E128" s="25" t="n">
        <f aca="false">SUM(E129:E131)</f>
        <v>2434.927</v>
      </c>
      <c r="F128" s="26" t="n">
        <v>14000</v>
      </c>
      <c r="G128" s="27" t="n">
        <f aca="false">E128*F128</f>
        <v>34088978</v>
      </c>
      <c r="H128" s="28" t="s">
        <v>248</v>
      </c>
    </row>
    <row r="129" customFormat="false" ht="15" hidden="false" customHeight="false" outlineLevel="1" collapsed="false">
      <c r="A129" s="7"/>
      <c r="B129" s="29" t="s">
        <v>249</v>
      </c>
      <c r="C129" s="30" t="s">
        <v>250</v>
      </c>
      <c r="D129" s="29"/>
      <c r="E129" s="31" t="n">
        <v>500.61</v>
      </c>
      <c r="F129" s="7"/>
      <c r="G129" s="32" t="n">
        <f aca="false">E129*$F$128</f>
        <v>7008540</v>
      </c>
      <c r="H129" s="7"/>
    </row>
    <row r="130" customFormat="false" ht="15" hidden="false" customHeight="false" outlineLevel="1" collapsed="false">
      <c r="A130" s="7"/>
      <c r="B130" s="29" t="s">
        <v>251</v>
      </c>
      <c r="C130" s="30" t="s">
        <v>250</v>
      </c>
      <c r="D130" s="29"/>
      <c r="E130" s="31" t="n">
        <v>1555.95</v>
      </c>
      <c r="F130" s="7"/>
      <c r="G130" s="32" t="n">
        <f aca="false">E130*$F$128</f>
        <v>21783300</v>
      </c>
      <c r="H130" s="7"/>
    </row>
    <row r="131" customFormat="false" ht="15" hidden="false" customHeight="false" outlineLevel="1" collapsed="false">
      <c r="A131" s="7"/>
      <c r="B131" s="29" t="s">
        <v>251</v>
      </c>
      <c r="C131" s="30" t="s">
        <v>250</v>
      </c>
      <c r="D131" s="29"/>
      <c r="E131" s="31" t="n">
        <v>378.367</v>
      </c>
      <c r="F131" s="7"/>
      <c r="G131" s="32" t="n">
        <f aca="false">E131*$F$128</f>
        <v>5297138</v>
      </c>
      <c r="H131" s="7"/>
    </row>
    <row r="132" customFormat="false" ht="15" hidden="false" customHeight="false" outlineLevel="0" collapsed="false">
      <c r="A132" s="23" t="n">
        <v>36</v>
      </c>
      <c r="B132" s="23" t="s">
        <v>253</v>
      </c>
      <c r="C132" s="24" t="s">
        <v>62</v>
      </c>
      <c r="D132" s="23" t="s">
        <v>46</v>
      </c>
      <c r="E132" s="25" t="n">
        <f aca="false">SUM(E133:E149)</f>
        <v>987000.994476</v>
      </c>
      <c r="F132" s="26" t="n">
        <v>10</v>
      </c>
      <c r="G132" s="27" t="n">
        <f aca="false">E132*F132</f>
        <v>9870009.94476</v>
      </c>
      <c r="H132" s="28" t="s">
        <v>254</v>
      </c>
    </row>
    <row r="133" customFormat="false" ht="23.85" hidden="false" customHeight="false" outlineLevel="1" collapsed="false">
      <c r="A133" s="7"/>
      <c r="B133" s="29" t="s">
        <v>133</v>
      </c>
      <c r="C133" s="30" t="s">
        <v>134</v>
      </c>
      <c r="D133" s="29"/>
      <c r="E133" s="31" t="n">
        <v>52421.985</v>
      </c>
      <c r="F133" s="7"/>
      <c r="G133" s="32" t="n">
        <f aca="false">E133*$F$132</f>
        <v>524219.85</v>
      </c>
      <c r="H133" s="7"/>
    </row>
    <row r="134" customFormat="false" ht="23.85" hidden="false" customHeight="false" outlineLevel="1" collapsed="false">
      <c r="A134" s="7"/>
      <c r="B134" s="29" t="s">
        <v>135</v>
      </c>
      <c r="C134" s="30" t="s">
        <v>136</v>
      </c>
      <c r="D134" s="29"/>
      <c r="E134" s="31" t="n">
        <v>588182.377608</v>
      </c>
      <c r="F134" s="7"/>
      <c r="G134" s="32" t="n">
        <f aca="false">E134*$F$132</f>
        <v>5881823.77608</v>
      </c>
      <c r="H134" s="7"/>
    </row>
    <row r="135" customFormat="false" ht="23.85" hidden="false" customHeight="false" outlineLevel="1" collapsed="false">
      <c r="A135" s="7"/>
      <c r="B135" s="29" t="s">
        <v>135</v>
      </c>
      <c r="C135" s="30" t="s">
        <v>320</v>
      </c>
      <c r="D135" s="29"/>
      <c r="E135" s="31" t="n">
        <v>10017.431865</v>
      </c>
      <c r="F135" s="7"/>
      <c r="G135" s="32" t="n">
        <f aca="false">E135*$F$132</f>
        <v>100174.31865</v>
      </c>
      <c r="H135" s="7"/>
    </row>
    <row r="136" customFormat="false" ht="23.85" hidden="false" customHeight="false" outlineLevel="1" collapsed="false">
      <c r="A136" s="7"/>
      <c r="B136" s="29" t="s">
        <v>135</v>
      </c>
      <c r="C136" s="30" t="s">
        <v>321</v>
      </c>
      <c r="D136" s="29"/>
      <c r="E136" s="31" t="n">
        <v>6175.6482375</v>
      </c>
      <c r="F136" s="7"/>
      <c r="G136" s="32" t="n">
        <f aca="false">E136*$F$132</f>
        <v>61756.482375</v>
      </c>
      <c r="H136" s="7"/>
    </row>
    <row r="137" customFormat="false" ht="23.85" hidden="false" customHeight="false" outlineLevel="1" collapsed="false">
      <c r="A137" s="7"/>
      <c r="B137" s="29" t="s">
        <v>135</v>
      </c>
      <c r="C137" s="30" t="s">
        <v>137</v>
      </c>
      <c r="D137" s="29"/>
      <c r="E137" s="31" t="n">
        <v>129581.012736</v>
      </c>
      <c r="F137" s="7"/>
      <c r="G137" s="32" t="n">
        <f aca="false">E137*$F$132</f>
        <v>1295810.12736</v>
      </c>
      <c r="H137" s="7"/>
    </row>
    <row r="138" customFormat="false" ht="23.85" hidden="false" customHeight="false" outlineLevel="1" collapsed="false">
      <c r="A138" s="7"/>
      <c r="B138" s="29" t="s">
        <v>135</v>
      </c>
      <c r="C138" s="30" t="s">
        <v>138</v>
      </c>
      <c r="D138" s="29"/>
      <c r="E138" s="31" t="n">
        <v>35679.3340995</v>
      </c>
      <c r="F138" s="7"/>
      <c r="G138" s="32" t="n">
        <f aca="false">E138*$F$132</f>
        <v>356793.340995</v>
      </c>
      <c r="H138" s="7"/>
    </row>
    <row r="139" customFormat="false" ht="23.85" hidden="false" customHeight="false" outlineLevel="1" collapsed="false">
      <c r="A139" s="7"/>
      <c r="B139" s="29" t="s">
        <v>135</v>
      </c>
      <c r="C139" s="30" t="s">
        <v>138</v>
      </c>
      <c r="D139" s="29"/>
      <c r="E139" s="31" t="n">
        <v>34886.72943</v>
      </c>
      <c r="F139" s="7"/>
      <c r="G139" s="32" t="n">
        <f aca="false">E139*$F$132</f>
        <v>348867.2943</v>
      </c>
      <c r="H139" s="7"/>
    </row>
    <row r="140" customFormat="false" ht="15" hidden="false" customHeight="false" outlineLevel="1" collapsed="false">
      <c r="A140" s="7"/>
      <c r="B140" s="29" t="s">
        <v>141</v>
      </c>
      <c r="C140" s="30" t="s">
        <v>142</v>
      </c>
      <c r="D140" s="29"/>
      <c r="E140" s="31" t="n">
        <v>26544.1995</v>
      </c>
      <c r="F140" s="7"/>
      <c r="G140" s="32" t="n">
        <f aca="false">E140*$F$132</f>
        <v>265441.995</v>
      </c>
      <c r="H140" s="7"/>
    </row>
    <row r="141" customFormat="false" ht="15" hidden="false" customHeight="false" outlineLevel="1" collapsed="false">
      <c r="A141" s="7"/>
      <c r="B141" s="29" t="s">
        <v>141</v>
      </c>
      <c r="C141" s="30" t="s">
        <v>142</v>
      </c>
      <c r="D141" s="29"/>
      <c r="E141" s="31" t="n">
        <v>30054.4965</v>
      </c>
      <c r="F141" s="7"/>
      <c r="G141" s="32" t="n">
        <f aca="false">E141*$F$132</f>
        <v>300544.965</v>
      </c>
      <c r="H141" s="7"/>
    </row>
    <row r="142" customFormat="false" ht="23.85" hidden="false" customHeight="false" outlineLevel="1" collapsed="false">
      <c r="A142" s="7"/>
      <c r="B142" s="29" t="s">
        <v>143</v>
      </c>
      <c r="C142" s="30" t="s">
        <v>144</v>
      </c>
      <c r="D142" s="29"/>
      <c r="E142" s="31" t="n">
        <v>33578.35425</v>
      </c>
      <c r="F142" s="7"/>
      <c r="G142" s="32" t="n">
        <f aca="false">E142*$F$132</f>
        <v>335783.5425</v>
      </c>
      <c r="H142" s="7"/>
    </row>
    <row r="143" customFormat="false" ht="15" hidden="false" customHeight="false" outlineLevel="1" collapsed="false">
      <c r="A143" s="7"/>
      <c r="B143" s="29" t="s">
        <v>145</v>
      </c>
      <c r="C143" s="30" t="s">
        <v>146</v>
      </c>
      <c r="D143" s="29"/>
      <c r="E143" s="31" t="n">
        <v>6255.38025</v>
      </c>
      <c r="F143" s="7"/>
      <c r="G143" s="32" t="n">
        <f aca="false">E143*$F$132</f>
        <v>62553.8025</v>
      </c>
      <c r="H143" s="7"/>
    </row>
    <row r="144" customFormat="false" ht="15" hidden="false" customHeight="false" outlineLevel="1" collapsed="false">
      <c r="A144" s="7"/>
      <c r="B144" s="29" t="s">
        <v>127</v>
      </c>
      <c r="C144" s="30" t="s">
        <v>128</v>
      </c>
      <c r="D144" s="29"/>
      <c r="E144" s="31" t="n">
        <v>9724.6875</v>
      </c>
      <c r="F144" s="7"/>
      <c r="G144" s="32" t="n">
        <f aca="false">E144*$F$132</f>
        <v>97246.875</v>
      </c>
      <c r="H144" s="7"/>
    </row>
    <row r="145" customFormat="false" ht="15" hidden="false" customHeight="false" outlineLevel="1" collapsed="false">
      <c r="A145" s="7"/>
      <c r="B145" s="29" t="s">
        <v>152</v>
      </c>
      <c r="C145" s="30" t="s">
        <v>153</v>
      </c>
      <c r="D145" s="29"/>
      <c r="E145" s="31" t="n">
        <v>19069.35625</v>
      </c>
      <c r="F145" s="7"/>
      <c r="G145" s="32" t="n">
        <f aca="false">E145*$F$132</f>
        <v>190693.5625</v>
      </c>
      <c r="H145" s="7"/>
    </row>
    <row r="146" customFormat="false" ht="23.85" hidden="false" customHeight="false" outlineLevel="1" collapsed="false">
      <c r="A146" s="7"/>
      <c r="B146" s="29" t="s">
        <v>147</v>
      </c>
      <c r="C146" s="30" t="s">
        <v>148</v>
      </c>
      <c r="D146" s="29"/>
      <c r="E146" s="31" t="n">
        <v>2213.2075</v>
      </c>
      <c r="F146" s="7"/>
      <c r="G146" s="32" t="n">
        <f aca="false">E146*$F$132</f>
        <v>22132.075</v>
      </c>
      <c r="H146" s="7"/>
    </row>
    <row r="147" customFormat="false" ht="15" hidden="false" customHeight="false" outlineLevel="1" collapsed="false">
      <c r="A147" s="7"/>
      <c r="B147" s="29" t="s">
        <v>129</v>
      </c>
      <c r="C147" s="30" t="s">
        <v>128</v>
      </c>
      <c r="D147" s="29"/>
      <c r="E147" s="31" t="n">
        <v>2364.79375</v>
      </c>
      <c r="F147" s="7"/>
      <c r="G147" s="32" t="n">
        <f aca="false">E147*$F$132</f>
        <v>23647.9375</v>
      </c>
      <c r="H147" s="7"/>
    </row>
    <row r="148" customFormat="false" ht="15" hidden="false" customHeight="false" outlineLevel="1" collapsed="false">
      <c r="A148" s="7"/>
      <c r="B148" s="29" t="s">
        <v>119</v>
      </c>
      <c r="C148" s="30" t="s">
        <v>120</v>
      </c>
      <c r="D148" s="29"/>
      <c r="E148" s="31" t="n">
        <v>84</v>
      </c>
      <c r="F148" s="7"/>
      <c r="G148" s="32" t="n">
        <f aca="false">E148*$F$132</f>
        <v>840</v>
      </c>
      <c r="H148" s="7"/>
    </row>
    <row r="149" customFormat="false" ht="15" hidden="false" customHeight="false" outlineLevel="1" collapsed="false">
      <c r="A149" s="7"/>
      <c r="B149" s="29" t="s">
        <v>119</v>
      </c>
      <c r="C149" s="30" t="s">
        <v>130</v>
      </c>
      <c r="D149" s="29"/>
      <c r="E149" s="31" t="n">
        <v>168</v>
      </c>
      <c r="F149" s="7"/>
      <c r="G149" s="32" t="n">
        <f aca="false">E149*$F$132</f>
        <v>1680</v>
      </c>
      <c r="H149" s="7"/>
    </row>
    <row r="150" customFormat="false" ht="15" hidden="false" customHeight="false" outlineLevel="0" collapsed="false">
      <c r="A150" s="23" t="n">
        <v>37</v>
      </c>
      <c r="B150" s="23" t="s">
        <v>253</v>
      </c>
      <c r="C150" s="24" t="s">
        <v>62</v>
      </c>
      <c r="D150" s="23" t="s">
        <v>46</v>
      </c>
      <c r="E150" s="25" t="n">
        <f aca="false">SUM(E151:E153)</f>
        <v>41404.84425</v>
      </c>
      <c r="F150" s="26" t="n">
        <v>10</v>
      </c>
      <c r="G150" s="27" t="n">
        <f aca="false">E150*F150</f>
        <v>414048.4425</v>
      </c>
      <c r="H150" s="28" t="s">
        <v>254</v>
      </c>
    </row>
    <row r="151" customFormat="false" ht="15" hidden="false" customHeight="false" outlineLevel="1" collapsed="false">
      <c r="A151" s="7"/>
      <c r="B151" s="29" t="s">
        <v>154</v>
      </c>
      <c r="C151" s="30" t="s">
        <v>155</v>
      </c>
      <c r="D151" s="29"/>
      <c r="E151" s="31" t="n">
        <v>31770.9</v>
      </c>
      <c r="F151" s="7"/>
      <c r="G151" s="32" t="n">
        <f aca="false">E151*$F$150</f>
        <v>317709</v>
      </c>
      <c r="H151" s="7"/>
    </row>
    <row r="152" customFormat="false" ht="15" hidden="false" customHeight="false" outlineLevel="1" collapsed="false">
      <c r="A152" s="7"/>
      <c r="B152" s="29" t="s">
        <v>156</v>
      </c>
      <c r="C152" s="30" t="s">
        <v>155</v>
      </c>
      <c r="D152" s="29"/>
      <c r="E152" s="31" t="n">
        <v>6664.14</v>
      </c>
      <c r="F152" s="7"/>
      <c r="G152" s="32" t="n">
        <f aca="false">E152*$F$150</f>
        <v>66641.4</v>
      </c>
      <c r="H152" s="7"/>
    </row>
    <row r="153" customFormat="false" ht="23.85" hidden="false" customHeight="false" outlineLevel="1" collapsed="false">
      <c r="A153" s="7"/>
      <c r="B153" s="29" t="s">
        <v>139</v>
      </c>
      <c r="C153" s="30" t="s">
        <v>322</v>
      </c>
      <c r="D153" s="29"/>
      <c r="E153" s="31" t="n">
        <v>2969.80425</v>
      </c>
      <c r="F153" s="7"/>
      <c r="G153" s="32" t="n">
        <f aca="false">E153*$F$150</f>
        <v>29698.0425</v>
      </c>
      <c r="H153" s="7"/>
    </row>
    <row r="154" customFormat="false" ht="15" hidden="false" customHeight="false" outlineLevel="0" collapsed="false">
      <c r="A154" s="23" t="n">
        <v>38</v>
      </c>
      <c r="B154" s="23" t="s">
        <v>345</v>
      </c>
      <c r="C154" s="24" t="s">
        <v>63</v>
      </c>
      <c r="D154" s="23" t="s">
        <v>18</v>
      </c>
      <c r="E154" s="25" t="n">
        <f aca="false">SUM(E155:E158)</f>
        <v>29.8704</v>
      </c>
      <c r="F154" s="26" t="n">
        <v>12300</v>
      </c>
      <c r="G154" s="27" t="n">
        <f aca="false">E154*F154</f>
        <v>367405.92</v>
      </c>
      <c r="H154" s="28" t="s">
        <v>346</v>
      </c>
    </row>
    <row r="155" customFormat="false" ht="23.85" hidden="false" customHeight="false" outlineLevel="1" collapsed="false">
      <c r="A155" s="7"/>
      <c r="B155" s="29" t="s">
        <v>325</v>
      </c>
      <c r="C155" s="30" t="s">
        <v>326</v>
      </c>
      <c r="D155" s="29"/>
      <c r="E155" s="31" t="n">
        <v>15.125446</v>
      </c>
      <c r="F155" s="7"/>
      <c r="G155" s="32" t="n">
        <f aca="false">E155*$F$154</f>
        <v>186042.9858</v>
      </c>
      <c r="H155" s="7"/>
    </row>
    <row r="156" customFormat="false" ht="23.85" hidden="false" customHeight="false" outlineLevel="1" collapsed="false">
      <c r="A156" s="7"/>
      <c r="B156" s="29" t="s">
        <v>325</v>
      </c>
      <c r="C156" s="30" t="s">
        <v>327</v>
      </c>
      <c r="D156" s="29"/>
      <c r="E156" s="31" t="n">
        <v>6.210554</v>
      </c>
      <c r="F156" s="7"/>
      <c r="G156" s="32" t="n">
        <f aca="false">E156*$F$154</f>
        <v>76389.8142</v>
      </c>
      <c r="H156" s="7"/>
    </row>
    <row r="157" customFormat="false" ht="23.85" hidden="false" customHeight="false" outlineLevel="1" collapsed="false">
      <c r="A157" s="7"/>
      <c r="B157" s="29" t="s">
        <v>325</v>
      </c>
      <c r="C157" s="30" t="s">
        <v>326</v>
      </c>
      <c r="D157" s="29"/>
      <c r="E157" s="31" t="n">
        <v>5.841619</v>
      </c>
      <c r="F157" s="7"/>
      <c r="G157" s="32" t="n">
        <f aca="false">E157*$F$154</f>
        <v>71851.9137</v>
      </c>
      <c r="H157" s="7"/>
    </row>
    <row r="158" customFormat="false" ht="23.85" hidden="false" customHeight="false" outlineLevel="1" collapsed="false">
      <c r="A158" s="7"/>
      <c r="B158" s="29" t="s">
        <v>325</v>
      </c>
      <c r="C158" s="30" t="s">
        <v>327</v>
      </c>
      <c r="D158" s="29"/>
      <c r="E158" s="31" t="n">
        <v>2.692781</v>
      </c>
      <c r="F158" s="7"/>
      <c r="G158" s="32" t="n">
        <f aca="false">E158*$F$154</f>
        <v>33121.2063</v>
      </c>
      <c r="H158" s="7"/>
    </row>
    <row r="159" customFormat="false" ht="15" hidden="false" customHeight="false" outlineLevel="0" collapsed="false">
      <c r="A159" s="23" t="n">
        <v>39</v>
      </c>
      <c r="B159" s="23" t="s">
        <v>347</v>
      </c>
      <c r="C159" s="24" t="s">
        <v>64</v>
      </c>
      <c r="D159" s="23" t="s">
        <v>18</v>
      </c>
      <c r="E159" s="25" t="n">
        <f aca="false">SUM(E160:E163)</f>
        <v>3.7296</v>
      </c>
      <c r="F159" s="26" t="n">
        <v>26800</v>
      </c>
      <c r="G159" s="27" t="n">
        <f aca="false">E159*F159</f>
        <v>99953.28</v>
      </c>
      <c r="H159" s="28" t="s">
        <v>348</v>
      </c>
    </row>
    <row r="160" customFormat="false" ht="23.85" hidden="false" customHeight="false" outlineLevel="1" collapsed="false">
      <c r="A160" s="7"/>
      <c r="B160" s="29" t="s">
        <v>325</v>
      </c>
      <c r="C160" s="30" t="s">
        <v>326</v>
      </c>
      <c r="D160" s="29"/>
      <c r="E160" s="31" t="n">
        <v>1.888554</v>
      </c>
      <c r="F160" s="7"/>
      <c r="G160" s="32" t="n">
        <f aca="false">E160*$F$159</f>
        <v>50613.2472</v>
      </c>
      <c r="H160" s="7"/>
    </row>
    <row r="161" customFormat="false" ht="23.85" hidden="false" customHeight="false" outlineLevel="1" collapsed="false">
      <c r="A161" s="7"/>
      <c r="B161" s="29" t="s">
        <v>325</v>
      </c>
      <c r="C161" s="30" t="s">
        <v>327</v>
      </c>
      <c r="D161" s="29"/>
      <c r="E161" s="31" t="n">
        <v>0.775446</v>
      </c>
      <c r="F161" s="7"/>
      <c r="G161" s="32" t="n">
        <f aca="false">E161*$F$159</f>
        <v>20781.9528</v>
      </c>
      <c r="H161" s="7"/>
    </row>
    <row r="162" customFormat="false" ht="23.85" hidden="false" customHeight="false" outlineLevel="1" collapsed="false">
      <c r="A162" s="7"/>
      <c r="B162" s="29" t="s">
        <v>325</v>
      </c>
      <c r="C162" s="30" t="s">
        <v>326</v>
      </c>
      <c r="D162" s="29"/>
      <c r="E162" s="31" t="n">
        <v>0.729381</v>
      </c>
      <c r="F162" s="7"/>
      <c r="G162" s="32" t="n">
        <f aca="false">E162*$F$159</f>
        <v>19547.4108</v>
      </c>
      <c r="H162" s="7"/>
    </row>
    <row r="163" customFormat="false" ht="23.85" hidden="false" customHeight="false" outlineLevel="1" collapsed="false">
      <c r="A163" s="7"/>
      <c r="B163" s="29" t="s">
        <v>325</v>
      </c>
      <c r="C163" s="30" t="s">
        <v>327</v>
      </c>
      <c r="D163" s="29"/>
      <c r="E163" s="31" t="n">
        <v>0.336219</v>
      </c>
      <c r="F163" s="7"/>
      <c r="G163" s="32" t="n">
        <f aca="false">E163*$F$159</f>
        <v>9010.6692</v>
      </c>
      <c r="H163" s="7"/>
    </row>
    <row r="164" customFormat="false" ht="15" hidden="false" customHeight="false" outlineLevel="0" collapsed="false">
      <c r="A164" s="23" t="n">
        <v>40</v>
      </c>
      <c r="B164" s="23" t="s">
        <v>255</v>
      </c>
      <c r="C164" s="24" t="s">
        <v>65</v>
      </c>
      <c r="D164" s="23" t="s">
        <v>18</v>
      </c>
      <c r="E164" s="25" t="n">
        <f aca="false">SUM(E165:E165)</f>
        <v>492.5</v>
      </c>
      <c r="F164" s="26" t="n">
        <v>3670000</v>
      </c>
      <c r="G164" s="27" t="n">
        <f aca="false">E164*F164</f>
        <v>1807475000</v>
      </c>
      <c r="H164" s="28" t="s">
        <v>256</v>
      </c>
    </row>
    <row r="165" customFormat="false" ht="15" hidden="false" customHeight="false" outlineLevel="1" collapsed="false">
      <c r="A165" s="7"/>
      <c r="B165" s="29" t="s">
        <v>123</v>
      </c>
      <c r="C165" s="30" t="s">
        <v>257</v>
      </c>
      <c r="D165" s="29"/>
      <c r="E165" s="31" t="n">
        <v>492.5</v>
      </c>
      <c r="F165" s="7"/>
      <c r="G165" s="32" t="n">
        <f aca="false">E165*$F$164</f>
        <v>1807475000</v>
      </c>
      <c r="H165" s="7"/>
    </row>
    <row r="166" customFormat="false" ht="15" hidden="false" customHeight="false" outlineLevel="0" collapsed="false">
      <c r="A166" s="23" t="n">
        <v>41</v>
      </c>
      <c r="B166" s="23" t="s">
        <v>258</v>
      </c>
      <c r="C166" s="24" t="s">
        <v>66</v>
      </c>
      <c r="D166" s="23" t="s">
        <v>18</v>
      </c>
      <c r="E166" s="25" t="n">
        <f aca="false">SUM(E167:E167)</f>
        <v>10.1202</v>
      </c>
      <c r="F166" s="26" t="n">
        <v>64910</v>
      </c>
      <c r="G166" s="27" t="n">
        <f aca="false">E166*F166</f>
        <v>656902.182</v>
      </c>
      <c r="H166" s="28" t="s">
        <v>259</v>
      </c>
    </row>
    <row r="167" customFormat="false" ht="23.85" hidden="false" customHeight="false" outlineLevel="1" collapsed="false">
      <c r="A167" s="7"/>
      <c r="B167" s="29" t="s">
        <v>166</v>
      </c>
      <c r="C167" s="30" t="s">
        <v>167</v>
      </c>
      <c r="D167" s="29"/>
      <c r="E167" s="31" t="n">
        <v>10.1202</v>
      </c>
      <c r="F167" s="7"/>
      <c r="G167" s="32" t="n">
        <f aca="false">E167*$F$166</f>
        <v>656902.182</v>
      </c>
      <c r="H167" s="7"/>
    </row>
    <row r="168" customFormat="false" ht="15" hidden="false" customHeight="false" outlineLevel="0" collapsed="false">
      <c r="A168" s="23" t="n">
        <v>42</v>
      </c>
      <c r="B168" s="23" t="s">
        <v>260</v>
      </c>
      <c r="C168" s="24" t="s">
        <v>67</v>
      </c>
      <c r="D168" s="23" t="s">
        <v>18</v>
      </c>
      <c r="E168" s="25" t="n">
        <f aca="false">SUM(E169:E169)</f>
        <v>414.1</v>
      </c>
      <c r="F168" s="26" t="n">
        <v>592400</v>
      </c>
      <c r="G168" s="27" t="n">
        <f aca="false">E168*F168</f>
        <v>245312840</v>
      </c>
      <c r="H168" s="28" t="s">
        <v>261</v>
      </c>
    </row>
    <row r="169" customFormat="false" ht="23.85" hidden="false" customHeight="false" outlineLevel="1" collapsed="false">
      <c r="A169" s="7"/>
      <c r="B169" s="29" t="s">
        <v>168</v>
      </c>
      <c r="C169" s="30" t="s">
        <v>169</v>
      </c>
      <c r="D169" s="29"/>
      <c r="E169" s="31" t="n">
        <v>414.1</v>
      </c>
      <c r="F169" s="7"/>
      <c r="G169" s="32" t="n">
        <f aca="false">E169*$F$168</f>
        <v>245312840</v>
      </c>
      <c r="H169" s="7"/>
    </row>
    <row r="170" customFormat="false" ht="15" hidden="false" customHeight="false" outlineLevel="0" collapsed="false">
      <c r="A170" s="23" t="n">
        <v>43</v>
      </c>
      <c r="B170" s="23" t="s">
        <v>349</v>
      </c>
      <c r="C170" s="24" t="s">
        <v>68</v>
      </c>
      <c r="D170" s="23" t="s">
        <v>69</v>
      </c>
      <c r="E170" s="25" t="n">
        <f aca="false">SUM(E171:E173)</f>
        <v>7.714584</v>
      </c>
      <c r="F170" s="26" t="n">
        <v>70000</v>
      </c>
      <c r="G170" s="27" t="n">
        <f aca="false">E170*F170</f>
        <v>540020.88</v>
      </c>
      <c r="H170" s="28" t="s">
        <v>350</v>
      </c>
    </row>
    <row r="171" customFormat="false" ht="23.85" hidden="false" customHeight="false" outlineLevel="1" collapsed="false">
      <c r="A171" s="7"/>
      <c r="B171" s="29" t="s">
        <v>340</v>
      </c>
      <c r="C171" s="30" t="s">
        <v>341</v>
      </c>
      <c r="D171" s="29"/>
      <c r="E171" s="31" t="n">
        <v>4.405212</v>
      </c>
      <c r="F171" s="7"/>
      <c r="G171" s="32" t="n">
        <f aca="false">E171*$F$170</f>
        <v>308364.84</v>
      </c>
      <c r="H171" s="7"/>
    </row>
    <row r="172" customFormat="false" ht="23.85" hidden="false" customHeight="false" outlineLevel="1" collapsed="false">
      <c r="A172" s="7"/>
      <c r="B172" s="29" t="s">
        <v>340</v>
      </c>
      <c r="C172" s="30" t="s">
        <v>342</v>
      </c>
      <c r="D172" s="29"/>
      <c r="E172" s="31" t="n">
        <v>0.094962</v>
      </c>
      <c r="F172" s="7"/>
      <c r="G172" s="32" t="n">
        <f aca="false">E172*$F$170</f>
        <v>6647.34</v>
      </c>
      <c r="H172" s="7"/>
    </row>
    <row r="173" customFormat="false" ht="15" hidden="false" customHeight="false" outlineLevel="1" collapsed="false">
      <c r="A173" s="7"/>
      <c r="B173" s="29" t="s">
        <v>343</v>
      </c>
      <c r="C173" s="30" t="s">
        <v>344</v>
      </c>
      <c r="D173" s="29"/>
      <c r="E173" s="31" t="n">
        <v>3.21441</v>
      </c>
      <c r="F173" s="7"/>
      <c r="G173" s="32" t="n">
        <f aca="false">E173*$F$170</f>
        <v>225008.7</v>
      </c>
      <c r="H173" s="7"/>
    </row>
    <row r="174" customFormat="false" ht="15" hidden="false" customHeight="false" outlineLevel="0" collapsed="false">
      <c r="A174" s="23" t="n">
        <v>44</v>
      </c>
      <c r="B174" s="23" t="s">
        <v>235</v>
      </c>
      <c r="C174" s="24" t="s">
        <v>71</v>
      </c>
      <c r="D174" s="23" t="s">
        <v>20</v>
      </c>
      <c r="E174" s="25" t="n">
        <f aca="false">SUM(E175:E180)</f>
        <v>9483.354496</v>
      </c>
      <c r="F174" s="26" t="n">
        <v>60000</v>
      </c>
      <c r="G174" s="27" t="n">
        <f aca="false">E174*F174</f>
        <v>569001269.76</v>
      </c>
      <c r="H174" s="28" t="s">
        <v>262</v>
      </c>
    </row>
    <row r="175" customFormat="false" ht="23.85" hidden="false" customHeight="false" outlineLevel="1" collapsed="false">
      <c r="A175" s="7"/>
      <c r="B175" s="29" t="s">
        <v>135</v>
      </c>
      <c r="C175" s="30" t="s">
        <v>136</v>
      </c>
      <c r="D175" s="29"/>
      <c r="E175" s="31" t="n">
        <v>6933.232768</v>
      </c>
      <c r="F175" s="7"/>
      <c r="G175" s="32" t="n">
        <f aca="false">E175*$F$174</f>
        <v>415993966.08</v>
      </c>
      <c r="H175" s="7"/>
    </row>
    <row r="176" customFormat="false" ht="23.85" hidden="false" customHeight="false" outlineLevel="1" collapsed="false">
      <c r="A176" s="7"/>
      <c r="B176" s="29" t="s">
        <v>135</v>
      </c>
      <c r="C176" s="30" t="s">
        <v>320</v>
      </c>
      <c r="D176" s="29"/>
      <c r="E176" s="31" t="n">
        <v>118.08104</v>
      </c>
      <c r="F176" s="7"/>
      <c r="G176" s="32" t="n">
        <f aca="false">E176*$F$174</f>
        <v>7084862.4</v>
      </c>
      <c r="H176" s="7"/>
    </row>
    <row r="177" customFormat="false" ht="23.85" hidden="false" customHeight="false" outlineLevel="1" collapsed="false">
      <c r="A177" s="7"/>
      <c r="B177" s="29" t="s">
        <v>135</v>
      </c>
      <c r="C177" s="30" t="s">
        <v>321</v>
      </c>
      <c r="D177" s="29"/>
      <c r="E177" s="31" t="n">
        <v>72.7958</v>
      </c>
      <c r="F177" s="7"/>
      <c r="G177" s="32" t="n">
        <f aca="false">E177*$F$174</f>
        <v>4367748</v>
      </c>
      <c r="H177" s="7"/>
    </row>
    <row r="178" customFormat="false" ht="23.85" hidden="false" customHeight="false" outlineLevel="1" collapsed="false">
      <c r="A178" s="7"/>
      <c r="B178" s="29" t="s">
        <v>135</v>
      </c>
      <c r="C178" s="30" t="s">
        <v>137</v>
      </c>
      <c r="D178" s="29"/>
      <c r="E178" s="31" t="n">
        <v>1527.443456</v>
      </c>
      <c r="F178" s="7"/>
      <c r="G178" s="32" t="n">
        <f aca="false">E178*$F$174</f>
        <v>91646607.36</v>
      </c>
      <c r="H178" s="7"/>
    </row>
    <row r="179" customFormat="false" ht="23.85" hidden="false" customHeight="false" outlineLevel="1" collapsed="false">
      <c r="A179" s="7"/>
      <c r="B179" s="29" t="s">
        <v>135</v>
      </c>
      <c r="C179" s="30" t="s">
        <v>138</v>
      </c>
      <c r="D179" s="29"/>
      <c r="E179" s="31" t="n">
        <v>420.572152</v>
      </c>
      <c r="F179" s="7"/>
      <c r="G179" s="32" t="n">
        <f aca="false">E179*$F$174</f>
        <v>25234329.12</v>
      </c>
      <c r="H179" s="7"/>
    </row>
    <row r="180" customFormat="false" ht="23.85" hidden="false" customHeight="false" outlineLevel="1" collapsed="false">
      <c r="A180" s="7"/>
      <c r="B180" s="29" t="s">
        <v>135</v>
      </c>
      <c r="C180" s="30" t="s">
        <v>138</v>
      </c>
      <c r="D180" s="29"/>
      <c r="E180" s="31" t="n">
        <v>411.22928</v>
      </c>
      <c r="F180" s="7"/>
      <c r="G180" s="32" t="n">
        <f aca="false">E180*$F$174</f>
        <v>24673756.8</v>
      </c>
      <c r="H180" s="7"/>
    </row>
    <row r="181" customFormat="false" ht="15" hidden="false" customHeight="false" outlineLevel="0" collapsed="false">
      <c r="A181" s="23" t="n">
        <v>45</v>
      </c>
      <c r="B181" s="23" t="s">
        <v>263</v>
      </c>
      <c r="C181" s="24" t="s">
        <v>72</v>
      </c>
      <c r="D181" s="23" t="s">
        <v>20</v>
      </c>
      <c r="E181" s="25" t="n">
        <f aca="false">SUM(E182:E183)</f>
        <v>247.48581275</v>
      </c>
      <c r="F181" s="26" t="n">
        <v>23000</v>
      </c>
      <c r="G181" s="27" t="n">
        <f aca="false">E181*F181</f>
        <v>5692173.69325</v>
      </c>
      <c r="H181" s="28" t="s">
        <v>264</v>
      </c>
    </row>
    <row r="182" customFormat="false" ht="15" hidden="false" customHeight="false" outlineLevel="1" collapsed="false">
      <c r="A182" s="7"/>
      <c r="B182" s="29" t="s">
        <v>152</v>
      </c>
      <c r="C182" s="30" t="s">
        <v>153</v>
      </c>
      <c r="D182" s="29"/>
      <c r="E182" s="31" t="n">
        <v>221.74937125</v>
      </c>
      <c r="F182" s="7"/>
      <c r="G182" s="32" t="n">
        <f aca="false">E182*$F$181</f>
        <v>5100235.53875</v>
      </c>
      <c r="H182" s="7"/>
    </row>
    <row r="183" customFormat="false" ht="23.85" hidden="false" customHeight="false" outlineLevel="1" collapsed="false">
      <c r="A183" s="7"/>
      <c r="B183" s="29" t="s">
        <v>147</v>
      </c>
      <c r="C183" s="30" t="s">
        <v>148</v>
      </c>
      <c r="D183" s="29"/>
      <c r="E183" s="31" t="n">
        <v>25.7364415</v>
      </c>
      <c r="F183" s="7"/>
      <c r="G183" s="32" t="n">
        <f aca="false">E183*$F$181</f>
        <v>591938.1545</v>
      </c>
      <c r="H183" s="7"/>
    </row>
    <row r="184" customFormat="false" ht="15" hidden="false" customHeight="false" outlineLevel="0" collapsed="false">
      <c r="A184" s="23" t="n">
        <v>46</v>
      </c>
      <c r="B184" s="23" t="s">
        <v>107</v>
      </c>
      <c r="C184" s="24" t="s">
        <v>73</v>
      </c>
      <c r="D184" s="23" t="s">
        <v>20</v>
      </c>
      <c r="E184" s="25" t="n">
        <f aca="false">SUM(E185:E189)</f>
        <v>76.1616088</v>
      </c>
      <c r="F184" s="26" t="n">
        <v>20220</v>
      </c>
      <c r="G184" s="27" t="n">
        <f aca="false">E184*F184</f>
        <v>1539987.729936</v>
      </c>
      <c r="H184" s="28" t="s">
        <v>108</v>
      </c>
    </row>
    <row r="185" customFormat="false" ht="15" hidden="false" customHeight="false" outlineLevel="1" collapsed="false">
      <c r="A185" s="7"/>
      <c r="B185" s="29" t="s">
        <v>213</v>
      </c>
      <c r="C185" s="30" t="s">
        <v>339</v>
      </c>
      <c r="D185" s="29"/>
      <c r="E185" s="31" t="n">
        <v>6.077288</v>
      </c>
      <c r="F185" s="7"/>
      <c r="G185" s="32" t="n">
        <f aca="false">E185*$F$184</f>
        <v>122882.76336</v>
      </c>
      <c r="H185" s="7"/>
    </row>
    <row r="186" customFormat="false" ht="23.85" hidden="false" customHeight="false" outlineLevel="1" collapsed="false">
      <c r="A186" s="7"/>
      <c r="B186" s="29" t="s">
        <v>328</v>
      </c>
      <c r="C186" s="30" t="s">
        <v>329</v>
      </c>
      <c r="D186" s="29"/>
      <c r="E186" s="31" t="n">
        <v>2.96744</v>
      </c>
      <c r="F186" s="7"/>
      <c r="G186" s="32" t="n">
        <f aca="false">E186*$F$184</f>
        <v>60001.6368</v>
      </c>
      <c r="H186" s="7"/>
    </row>
    <row r="187" customFormat="false" ht="23.85" hidden="false" customHeight="false" outlineLevel="1" collapsed="false">
      <c r="A187" s="7"/>
      <c r="B187" s="29" t="s">
        <v>340</v>
      </c>
      <c r="C187" s="30" t="s">
        <v>341</v>
      </c>
      <c r="D187" s="29"/>
      <c r="E187" s="31" t="n">
        <v>40.5279504</v>
      </c>
      <c r="F187" s="7"/>
      <c r="G187" s="32" t="n">
        <f aca="false">E187*$F$184</f>
        <v>819475.157088</v>
      </c>
      <c r="H187" s="7"/>
    </row>
    <row r="188" customFormat="false" ht="23.85" hidden="false" customHeight="false" outlineLevel="1" collapsed="false">
      <c r="A188" s="7"/>
      <c r="B188" s="29" t="s">
        <v>340</v>
      </c>
      <c r="C188" s="30" t="s">
        <v>342</v>
      </c>
      <c r="D188" s="29"/>
      <c r="E188" s="31" t="n">
        <v>0.8736504</v>
      </c>
      <c r="F188" s="7"/>
      <c r="G188" s="32" t="n">
        <f aca="false">E188*$F$184</f>
        <v>17665.211088</v>
      </c>
      <c r="H188" s="7"/>
    </row>
    <row r="189" customFormat="false" ht="15" hidden="false" customHeight="false" outlineLevel="1" collapsed="false">
      <c r="A189" s="7"/>
      <c r="B189" s="29" t="s">
        <v>311</v>
      </c>
      <c r="C189" s="30" t="s">
        <v>312</v>
      </c>
      <c r="D189" s="29"/>
      <c r="E189" s="31" t="n">
        <v>25.71528</v>
      </c>
      <c r="F189" s="7"/>
      <c r="G189" s="32" t="n">
        <f aca="false">E189*$F$184</f>
        <v>519962.9616</v>
      </c>
      <c r="H189" s="7"/>
    </row>
    <row r="190" customFormat="false" ht="15" hidden="false" customHeight="false" outlineLevel="0" collapsed="false">
      <c r="A190" s="23" t="n">
        <v>47</v>
      </c>
      <c r="B190" s="23" t="s">
        <v>107</v>
      </c>
      <c r="C190" s="24" t="s">
        <v>73</v>
      </c>
      <c r="D190" s="23" t="s">
        <v>20</v>
      </c>
      <c r="E190" s="25" t="n">
        <f aca="false">SUM(E191:E212)</f>
        <v>760.681415</v>
      </c>
      <c r="F190" s="26" t="n">
        <v>25000</v>
      </c>
      <c r="G190" s="27" t="n">
        <f aca="false">E190*F190</f>
        <v>19017035.375</v>
      </c>
      <c r="H190" s="28" t="s">
        <v>108</v>
      </c>
    </row>
    <row r="191" customFormat="false" ht="15" hidden="false" customHeight="false" outlineLevel="1" collapsed="false">
      <c r="A191" s="7"/>
      <c r="B191" s="29" t="s">
        <v>265</v>
      </c>
      <c r="C191" s="30" t="s">
        <v>266</v>
      </c>
      <c r="D191" s="29"/>
      <c r="E191" s="31" t="n">
        <v>12.189792</v>
      </c>
      <c r="F191" s="7"/>
      <c r="G191" s="32" t="n">
        <f aca="false">E191*$F$190</f>
        <v>304744.8</v>
      </c>
      <c r="H191" s="7"/>
    </row>
    <row r="192" customFormat="false" ht="15" hidden="false" customHeight="false" outlineLevel="1" collapsed="false">
      <c r="A192" s="7"/>
      <c r="B192" s="29" t="s">
        <v>267</v>
      </c>
      <c r="C192" s="30" t="s">
        <v>268</v>
      </c>
      <c r="D192" s="29"/>
      <c r="E192" s="31" t="n">
        <v>407.08982</v>
      </c>
      <c r="F192" s="7"/>
      <c r="G192" s="32" t="n">
        <f aca="false">E192*$F$190</f>
        <v>10177245.5</v>
      </c>
      <c r="H192" s="7"/>
    </row>
    <row r="193" customFormat="false" ht="15" hidden="false" customHeight="false" outlineLevel="1" collapsed="false">
      <c r="A193" s="7"/>
      <c r="B193" s="29" t="s">
        <v>210</v>
      </c>
      <c r="C193" s="30" t="s">
        <v>211</v>
      </c>
      <c r="D193" s="29"/>
      <c r="E193" s="31" t="n">
        <v>75.464571</v>
      </c>
      <c r="F193" s="7"/>
      <c r="G193" s="32" t="n">
        <f aca="false">E193*$F$190</f>
        <v>1886614.275</v>
      </c>
      <c r="H193" s="7"/>
    </row>
    <row r="194" customFormat="false" ht="15" hidden="false" customHeight="false" outlineLevel="1" collapsed="false">
      <c r="A194" s="7"/>
      <c r="B194" s="29" t="s">
        <v>210</v>
      </c>
      <c r="C194" s="30" t="s">
        <v>212</v>
      </c>
      <c r="D194" s="29"/>
      <c r="E194" s="31" t="n">
        <v>15.0929142</v>
      </c>
      <c r="F194" s="7"/>
      <c r="G194" s="32" t="n">
        <f aca="false">E194*$F$190</f>
        <v>377322.855</v>
      </c>
      <c r="H194" s="7"/>
    </row>
    <row r="195" customFormat="false" ht="15" hidden="false" customHeight="false" outlineLevel="1" collapsed="false">
      <c r="A195" s="7"/>
      <c r="B195" s="29" t="s">
        <v>267</v>
      </c>
      <c r="C195" s="30" t="s">
        <v>351</v>
      </c>
      <c r="D195" s="29"/>
      <c r="E195" s="31" t="n">
        <v>8.06873</v>
      </c>
      <c r="F195" s="7"/>
      <c r="G195" s="32" t="n">
        <f aca="false">E195*$F$190</f>
        <v>201718.25</v>
      </c>
      <c r="H195" s="7"/>
    </row>
    <row r="196" customFormat="false" ht="15" hidden="false" customHeight="false" outlineLevel="1" collapsed="false">
      <c r="A196" s="7"/>
      <c r="B196" s="29" t="s">
        <v>210</v>
      </c>
      <c r="C196" s="30" t="s">
        <v>336</v>
      </c>
      <c r="D196" s="29"/>
      <c r="E196" s="31" t="n">
        <v>1.7244514</v>
      </c>
      <c r="F196" s="7"/>
      <c r="G196" s="32" t="n">
        <f aca="false">E196*$F$190</f>
        <v>43111.285</v>
      </c>
      <c r="H196" s="7"/>
    </row>
    <row r="197" customFormat="false" ht="15" hidden="false" customHeight="false" outlineLevel="1" collapsed="false">
      <c r="A197" s="7"/>
      <c r="B197" s="29" t="s">
        <v>210</v>
      </c>
      <c r="C197" s="30" t="s">
        <v>212</v>
      </c>
      <c r="D197" s="29"/>
      <c r="E197" s="31" t="n">
        <v>0.34489028</v>
      </c>
      <c r="F197" s="7"/>
      <c r="G197" s="32" t="n">
        <f aca="false">E197*$F$190</f>
        <v>8622.257</v>
      </c>
      <c r="H197" s="7"/>
    </row>
    <row r="198" customFormat="false" ht="15" hidden="false" customHeight="false" outlineLevel="1" collapsed="false">
      <c r="A198" s="7"/>
      <c r="B198" s="29" t="s">
        <v>267</v>
      </c>
      <c r="C198" s="30" t="s">
        <v>352</v>
      </c>
      <c r="D198" s="29"/>
      <c r="E198" s="31" t="n">
        <v>4.97477</v>
      </c>
      <c r="F198" s="7"/>
      <c r="G198" s="32" t="n">
        <f aca="false">E198*$F$190</f>
        <v>124369.25</v>
      </c>
      <c r="H198" s="7"/>
    </row>
    <row r="199" customFormat="false" ht="15" hidden="false" customHeight="false" outlineLevel="1" collapsed="false">
      <c r="A199" s="7"/>
      <c r="B199" s="29" t="s">
        <v>210</v>
      </c>
      <c r="C199" s="30" t="s">
        <v>337</v>
      </c>
      <c r="D199" s="29"/>
      <c r="E199" s="31" t="n">
        <v>1.0631956</v>
      </c>
      <c r="F199" s="7"/>
      <c r="G199" s="32" t="n">
        <f aca="false">E199*$F$190</f>
        <v>26579.89</v>
      </c>
      <c r="H199" s="7"/>
    </row>
    <row r="200" customFormat="false" ht="15" hidden="false" customHeight="false" outlineLevel="1" collapsed="false">
      <c r="A200" s="7"/>
      <c r="B200" s="29" t="s">
        <v>210</v>
      </c>
      <c r="C200" s="30" t="s">
        <v>212</v>
      </c>
      <c r="D200" s="29"/>
      <c r="E200" s="31" t="n">
        <v>0.21263912</v>
      </c>
      <c r="F200" s="7"/>
      <c r="G200" s="32" t="n">
        <f aca="false">E200*$F$190</f>
        <v>5315.978</v>
      </c>
      <c r="H200" s="7"/>
    </row>
    <row r="201" customFormat="false" ht="15" hidden="false" customHeight="false" outlineLevel="1" collapsed="false">
      <c r="A201" s="7"/>
      <c r="B201" s="29" t="s">
        <v>267</v>
      </c>
      <c r="C201" s="30" t="s">
        <v>269</v>
      </c>
      <c r="D201" s="29"/>
      <c r="E201" s="31" t="n">
        <v>69.83773</v>
      </c>
      <c r="F201" s="7"/>
      <c r="G201" s="32" t="n">
        <f aca="false">E201*$F$190</f>
        <v>1745943.25</v>
      </c>
      <c r="H201" s="7"/>
    </row>
    <row r="202" customFormat="false" ht="15" hidden="false" customHeight="false" outlineLevel="1" collapsed="false">
      <c r="A202" s="7"/>
      <c r="B202" s="29" t="s">
        <v>267</v>
      </c>
      <c r="C202" s="30" t="s">
        <v>270</v>
      </c>
      <c r="D202" s="29"/>
      <c r="E202" s="31" t="n">
        <v>26.66688</v>
      </c>
      <c r="F202" s="7"/>
      <c r="G202" s="32" t="n">
        <f aca="false">E202*$F$190</f>
        <v>666672</v>
      </c>
      <c r="H202" s="7"/>
    </row>
    <row r="203" customFormat="false" ht="15" hidden="false" customHeight="false" outlineLevel="1" collapsed="false">
      <c r="A203" s="7"/>
      <c r="B203" s="29" t="s">
        <v>267</v>
      </c>
      <c r="C203" s="30" t="s">
        <v>270</v>
      </c>
      <c r="D203" s="29"/>
      <c r="E203" s="31" t="n">
        <v>26.16376</v>
      </c>
      <c r="F203" s="7"/>
      <c r="G203" s="32" t="n">
        <f aca="false">E203*$F$190</f>
        <v>654094</v>
      </c>
      <c r="H203" s="7"/>
    </row>
    <row r="204" customFormat="false" ht="15" hidden="false" customHeight="false" outlineLevel="1" collapsed="false">
      <c r="A204" s="7"/>
      <c r="B204" s="29" t="s">
        <v>272</v>
      </c>
      <c r="C204" s="30" t="s">
        <v>273</v>
      </c>
      <c r="D204" s="29"/>
      <c r="E204" s="31" t="n">
        <v>1.48994</v>
      </c>
      <c r="F204" s="7"/>
      <c r="G204" s="32" t="n">
        <f aca="false">E204*$F$190</f>
        <v>37248.5</v>
      </c>
      <c r="H204" s="7"/>
    </row>
    <row r="205" customFormat="false" ht="15" hidden="false" customHeight="false" outlineLevel="1" collapsed="false">
      <c r="A205" s="7"/>
      <c r="B205" s="29" t="s">
        <v>172</v>
      </c>
      <c r="C205" s="30" t="s">
        <v>173</v>
      </c>
      <c r="D205" s="29"/>
      <c r="E205" s="31" t="n">
        <v>25.07568</v>
      </c>
      <c r="F205" s="7"/>
      <c r="G205" s="32" t="n">
        <f aca="false">E205*$F$190</f>
        <v>626892</v>
      </c>
      <c r="H205" s="7"/>
    </row>
    <row r="206" customFormat="false" ht="15" hidden="false" customHeight="false" outlineLevel="1" collapsed="false">
      <c r="A206" s="7"/>
      <c r="B206" s="29" t="s">
        <v>172</v>
      </c>
      <c r="C206" s="30" t="s">
        <v>173</v>
      </c>
      <c r="D206" s="29"/>
      <c r="E206" s="31" t="n">
        <v>26.67616</v>
      </c>
      <c r="F206" s="7"/>
      <c r="G206" s="32" t="n">
        <f aca="false">E206*$F$190</f>
        <v>666904</v>
      </c>
      <c r="H206" s="7"/>
    </row>
    <row r="207" customFormat="false" ht="15" hidden="false" customHeight="false" outlineLevel="1" collapsed="false">
      <c r="A207" s="7"/>
      <c r="B207" s="29" t="s">
        <v>265</v>
      </c>
      <c r="C207" s="30" t="s">
        <v>274</v>
      </c>
      <c r="D207" s="29"/>
      <c r="E207" s="31" t="n">
        <v>26.18269</v>
      </c>
      <c r="F207" s="7"/>
      <c r="G207" s="32" t="n">
        <f aca="false">E207*$F$190</f>
        <v>654567.25</v>
      </c>
      <c r="H207" s="7"/>
    </row>
    <row r="208" customFormat="false" ht="15" hidden="false" customHeight="false" outlineLevel="1" collapsed="false">
      <c r="A208" s="7"/>
      <c r="B208" s="29" t="s">
        <v>265</v>
      </c>
      <c r="C208" s="30" t="s">
        <v>275</v>
      </c>
      <c r="D208" s="29"/>
      <c r="E208" s="31" t="n">
        <v>3.679236</v>
      </c>
      <c r="F208" s="7"/>
      <c r="G208" s="32" t="n">
        <f aca="false">E208*$F$190</f>
        <v>91980.9</v>
      </c>
      <c r="H208" s="7"/>
    </row>
    <row r="209" customFormat="false" ht="15" hidden="false" customHeight="false" outlineLevel="1" collapsed="false">
      <c r="A209" s="7"/>
      <c r="B209" s="29" t="s">
        <v>265</v>
      </c>
      <c r="C209" s="30" t="s">
        <v>276</v>
      </c>
      <c r="D209" s="29"/>
      <c r="E209" s="31" t="n">
        <v>23.41495</v>
      </c>
      <c r="F209" s="7"/>
      <c r="G209" s="32" t="n">
        <f aca="false">E209*$F$190</f>
        <v>585373.75</v>
      </c>
      <c r="H209" s="7"/>
    </row>
    <row r="210" customFormat="false" ht="15" hidden="false" customHeight="false" outlineLevel="1" collapsed="false">
      <c r="A210" s="7"/>
      <c r="B210" s="29" t="s">
        <v>267</v>
      </c>
      <c r="C210" s="30" t="s">
        <v>277</v>
      </c>
      <c r="D210" s="29"/>
      <c r="E210" s="31" t="n">
        <v>1.15995</v>
      </c>
      <c r="F210" s="7"/>
      <c r="G210" s="32" t="n">
        <f aca="false">E210*$F$190</f>
        <v>28998.75</v>
      </c>
      <c r="H210" s="7"/>
    </row>
    <row r="211" customFormat="false" ht="15" hidden="false" customHeight="false" outlineLevel="1" collapsed="false">
      <c r="A211" s="7"/>
      <c r="B211" s="29" t="s">
        <v>219</v>
      </c>
      <c r="C211" s="30" t="s">
        <v>220</v>
      </c>
      <c r="D211" s="29"/>
      <c r="E211" s="31" t="n">
        <v>3.9190654</v>
      </c>
      <c r="F211" s="7"/>
      <c r="G211" s="32" t="n">
        <f aca="false">E211*$F$190</f>
        <v>97976.635</v>
      </c>
      <c r="H211" s="7"/>
    </row>
    <row r="212" customFormat="false" ht="15" hidden="false" customHeight="false" outlineLevel="1" collapsed="false">
      <c r="A212" s="7"/>
      <c r="B212" s="29" t="s">
        <v>272</v>
      </c>
      <c r="C212" s="30" t="s">
        <v>273</v>
      </c>
      <c r="D212" s="29"/>
      <c r="E212" s="31" t="n">
        <v>0.1896</v>
      </c>
      <c r="F212" s="7"/>
      <c r="G212" s="32" t="n">
        <f aca="false">E212*$F$190</f>
        <v>4740</v>
      </c>
      <c r="H212" s="7"/>
    </row>
    <row r="213" customFormat="false" ht="15" hidden="false" customHeight="false" outlineLevel="0" collapsed="false">
      <c r="A213" s="23" t="n">
        <v>48</v>
      </c>
      <c r="B213" s="23" t="s">
        <v>117</v>
      </c>
      <c r="C213" s="24" t="s">
        <v>76</v>
      </c>
      <c r="D213" s="23" t="s">
        <v>18</v>
      </c>
      <c r="E213" s="25" t="n">
        <f aca="false">SUM(E214:E214)</f>
        <v>123</v>
      </c>
      <c r="F213" s="26" t="n">
        <v>82500</v>
      </c>
      <c r="G213" s="27" t="n">
        <f aca="false">E213*F213</f>
        <v>10147500</v>
      </c>
      <c r="H213" s="28" t="s">
        <v>284</v>
      </c>
    </row>
    <row r="214" customFormat="false" ht="15" hidden="false" customHeight="false" outlineLevel="1" collapsed="false">
      <c r="A214" s="7"/>
      <c r="B214" s="29" t="s">
        <v>119</v>
      </c>
      <c r="C214" s="30" t="s">
        <v>130</v>
      </c>
      <c r="D214" s="29"/>
      <c r="E214" s="31" t="n">
        <v>123</v>
      </c>
      <c r="F214" s="7"/>
      <c r="G214" s="32" t="n">
        <f aca="false">E214*$F$213</f>
        <v>10147500</v>
      </c>
      <c r="H214" s="7"/>
    </row>
    <row r="215" customFormat="false" ht="15" hidden="false" customHeight="false" outlineLevel="0" collapsed="false">
      <c r="A215" s="23" t="n">
        <v>49</v>
      </c>
      <c r="B215" s="23" t="s">
        <v>287</v>
      </c>
      <c r="C215" s="24" t="s">
        <v>78</v>
      </c>
      <c r="D215" s="23" t="s">
        <v>20</v>
      </c>
      <c r="E215" s="25" t="n">
        <f aca="false">SUM(E216:E228)</f>
        <v>5755.26158</v>
      </c>
      <c r="F215" s="26" t="n">
        <v>14157</v>
      </c>
      <c r="G215" s="27" t="n">
        <f aca="false">E215*F215</f>
        <v>81477238.18806</v>
      </c>
      <c r="H215" s="28" t="s">
        <v>288</v>
      </c>
    </row>
    <row r="216" customFormat="false" ht="15" hidden="false" customHeight="false" outlineLevel="1" collapsed="false">
      <c r="A216" s="7"/>
      <c r="B216" s="29" t="s">
        <v>265</v>
      </c>
      <c r="C216" s="30" t="s">
        <v>266</v>
      </c>
      <c r="D216" s="29"/>
      <c r="E216" s="31" t="n">
        <v>119.729184</v>
      </c>
      <c r="F216" s="7"/>
      <c r="G216" s="32" t="n">
        <f aca="false">E216*$F$215</f>
        <v>1695006.057888</v>
      </c>
      <c r="H216" s="7"/>
    </row>
    <row r="217" customFormat="false" ht="15" hidden="false" customHeight="false" outlineLevel="1" collapsed="false">
      <c r="A217" s="7"/>
      <c r="B217" s="29" t="s">
        <v>267</v>
      </c>
      <c r="C217" s="30" t="s">
        <v>268</v>
      </c>
      <c r="D217" s="29"/>
      <c r="E217" s="31" t="n">
        <v>3488.116984</v>
      </c>
      <c r="F217" s="7"/>
      <c r="G217" s="32" t="n">
        <f aca="false">E217*$F$215</f>
        <v>49381272.142488</v>
      </c>
      <c r="H217" s="7"/>
    </row>
    <row r="218" customFormat="false" ht="15" hidden="false" customHeight="false" outlineLevel="1" collapsed="false">
      <c r="A218" s="7"/>
      <c r="B218" s="29" t="s">
        <v>267</v>
      </c>
      <c r="C218" s="30" t="s">
        <v>351</v>
      </c>
      <c r="D218" s="29"/>
      <c r="E218" s="31" t="n">
        <v>69.136276</v>
      </c>
      <c r="F218" s="7"/>
      <c r="G218" s="32" t="n">
        <f aca="false">E218*$F$215</f>
        <v>978762.259332</v>
      </c>
      <c r="H218" s="7"/>
    </row>
    <row r="219" customFormat="false" ht="15" hidden="false" customHeight="false" outlineLevel="1" collapsed="false">
      <c r="A219" s="7"/>
      <c r="B219" s="29" t="s">
        <v>267</v>
      </c>
      <c r="C219" s="30" t="s">
        <v>352</v>
      </c>
      <c r="D219" s="29"/>
      <c r="E219" s="31" t="n">
        <v>42.625924</v>
      </c>
      <c r="F219" s="7"/>
      <c r="G219" s="32" t="n">
        <f aca="false">E219*$F$215</f>
        <v>603455.206068</v>
      </c>
      <c r="H219" s="7"/>
    </row>
    <row r="220" customFormat="false" ht="15" hidden="false" customHeight="false" outlineLevel="1" collapsed="false">
      <c r="A220" s="7"/>
      <c r="B220" s="29" t="s">
        <v>267</v>
      </c>
      <c r="C220" s="30" t="s">
        <v>269</v>
      </c>
      <c r="D220" s="29"/>
      <c r="E220" s="31" t="n">
        <v>598.399076</v>
      </c>
      <c r="F220" s="7"/>
      <c r="G220" s="32" t="n">
        <f aca="false">E220*$F$215</f>
        <v>8471535.718932</v>
      </c>
      <c r="H220" s="7"/>
    </row>
    <row r="221" customFormat="false" ht="15" hidden="false" customHeight="false" outlineLevel="1" collapsed="false">
      <c r="A221" s="7"/>
      <c r="B221" s="29" t="s">
        <v>267</v>
      </c>
      <c r="C221" s="30" t="s">
        <v>270</v>
      </c>
      <c r="D221" s="29"/>
      <c r="E221" s="31" t="n">
        <v>228.493056</v>
      </c>
      <c r="F221" s="7"/>
      <c r="G221" s="32" t="n">
        <f aca="false">E221*$F$215</f>
        <v>3234776.193792</v>
      </c>
      <c r="H221" s="7"/>
    </row>
    <row r="222" customFormat="false" ht="15" hidden="false" customHeight="false" outlineLevel="1" collapsed="false">
      <c r="A222" s="7"/>
      <c r="B222" s="29" t="s">
        <v>267</v>
      </c>
      <c r="C222" s="30" t="s">
        <v>270</v>
      </c>
      <c r="D222" s="29"/>
      <c r="E222" s="31" t="n">
        <v>224.182112</v>
      </c>
      <c r="F222" s="7"/>
      <c r="G222" s="32" t="n">
        <f aca="false">E222*$F$215</f>
        <v>3173746.159584</v>
      </c>
      <c r="H222" s="7"/>
    </row>
    <row r="223" customFormat="false" ht="15" hidden="false" customHeight="false" outlineLevel="1" collapsed="false">
      <c r="A223" s="7"/>
      <c r="B223" s="29" t="s">
        <v>172</v>
      </c>
      <c r="C223" s="30" t="s">
        <v>173</v>
      </c>
      <c r="D223" s="29"/>
      <c r="E223" s="31" t="n">
        <v>218.695752</v>
      </c>
      <c r="F223" s="7"/>
      <c r="G223" s="32" t="n">
        <f aca="false">E223*$F$215</f>
        <v>3096075.761064</v>
      </c>
      <c r="H223" s="7"/>
    </row>
    <row r="224" customFormat="false" ht="15" hidden="false" customHeight="false" outlineLevel="1" collapsed="false">
      <c r="A224" s="7"/>
      <c r="B224" s="29" t="s">
        <v>172</v>
      </c>
      <c r="C224" s="30" t="s">
        <v>173</v>
      </c>
      <c r="D224" s="29"/>
      <c r="E224" s="31" t="n">
        <v>232.654224</v>
      </c>
      <c r="F224" s="7"/>
      <c r="G224" s="32" t="n">
        <f aca="false">E224*$F$215</f>
        <v>3293685.849168</v>
      </c>
      <c r="H224" s="7"/>
    </row>
    <row r="225" customFormat="false" ht="15" hidden="false" customHeight="false" outlineLevel="1" collapsed="false">
      <c r="A225" s="7"/>
      <c r="B225" s="29" t="s">
        <v>265</v>
      </c>
      <c r="C225" s="30" t="s">
        <v>274</v>
      </c>
      <c r="D225" s="29"/>
      <c r="E225" s="31" t="n">
        <v>257.16863</v>
      </c>
      <c r="F225" s="7"/>
      <c r="G225" s="32" t="n">
        <f aca="false">E225*$F$215</f>
        <v>3640736.29491</v>
      </c>
      <c r="H225" s="7"/>
    </row>
    <row r="226" customFormat="false" ht="15" hidden="false" customHeight="false" outlineLevel="1" collapsed="false">
      <c r="A226" s="7"/>
      <c r="B226" s="29" t="s">
        <v>265</v>
      </c>
      <c r="C226" s="30" t="s">
        <v>275</v>
      </c>
      <c r="D226" s="29"/>
      <c r="E226" s="31" t="n">
        <v>36.137772</v>
      </c>
      <c r="F226" s="7"/>
      <c r="G226" s="32" t="n">
        <f aca="false">E226*$F$215</f>
        <v>511602.438204</v>
      </c>
      <c r="H226" s="7"/>
    </row>
    <row r="227" customFormat="false" ht="15" hidden="false" customHeight="false" outlineLevel="1" collapsed="false">
      <c r="A227" s="7"/>
      <c r="B227" s="29" t="s">
        <v>265</v>
      </c>
      <c r="C227" s="30" t="s">
        <v>276</v>
      </c>
      <c r="D227" s="29"/>
      <c r="E227" s="31" t="n">
        <v>229.98365</v>
      </c>
      <c r="F227" s="7"/>
      <c r="G227" s="32" t="n">
        <f aca="false">E227*$F$215</f>
        <v>3255878.53305</v>
      </c>
      <c r="H227" s="7"/>
    </row>
    <row r="228" customFormat="false" ht="15" hidden="false" customHeight="false" outlineLevel="1" collapsed="false">
      <c r="A228" s="7"/>
      <c r="B228" s="29" t="s">
        <v>267</v>
      </c>
      <c r="C228" s="30" t="s">
        <v>277</v>
      </c>
      <c r="D228" s="29"/>
      <c r="E228" s="31" t="n">
        <v>9.93894</v>
      </c>
      <c r="F228" s="7"/>
      <c r="G228" s="32" t="n">
        <f aca="false">E228*$F$215</f>
        <v>140705.57358</v>
      </c>
      <c r="H228" s="7"/>
    </row>
    <row r="229" customFormat="false" ht="15" hidden="false" customHeight="false" outlineLevel="0" collapsed="false">
      <c r="A229" s="23" t="n">
        <v>50</v>
      </c>
      <c r="B229" s="23" t="s">
        <v>287</v>
      </c>
      <c r="C229" s="24" t="s">
        <v>78</v>
      </c>
      <c r="D229" s="23" t="s">
        <v>20</v>
      </c>
      <c r="E229" s="25" t="n">
        <f aca="false">SUM(E230:E231)</f>
        <v>26.844639</v>
      </c>
      <c r="F229" s="26" t="n">
        <v>13857</v>
      </c>
      <c r="G229" s="27" t="n">
        <f aca="false">E229*F229</f>
        <v>371986.162623</v>
      </c>
      <c r="H229" s="28" t="s">
        <v>288</v>
      </c>
    </row>
    <row r="230" customFormat="false" ht="23.85" hidden="false" customHeight="false" outlineLevel="1" collapsed="false">
      <c r="A230" s="7"/>
      <c r="B230" s="29" t="s">
        <v>328</v>
      </c>
      <c r="C230" s="30" t="s">
        <v>329</v>
      </c>
      <c r="D230" s="29"/>
      <c r="E230" s="31" t="n">
        <v>25.880316</v>
      </c>
      <c r="F230" s="7"/>
      <c r="G230" s="32" t="n">
        <f aca="false">E230*$F$229</f>
        <v>358623.538812</v>
      </c>
      <c r="H230" s="7"/>
    </row>
    <row r="231" customFormat="false" ht="15" hidden="false" customHeight="false" outlineLevel="1" collapsed="false">
      <c r="A231" s="7"/>
      <c r="B231" s="29" t="s">
        <v>311</v>
      </c>
      <c r="C231" s="30" t="s">
        <v>312</v>
      </c>
      <c r="D231" s="29"/>
      <c r="E231" s="31" t="n">
        <v>0.964323</v>
      </c>
      <c r="F231" s="7"/>
      <c r="G231" s="32" t="n">
        <f aca="false">E231*$F$229</f>
        <v>13362.623811</v>
      </c>
      <c r="H231" s="7"/>
    </row>
    <row r="232" customFormat="false" ht="15" hidden="false" customHeight="false" outlineLevel="0" collapsed="false">
      <c r="A232" s="23" t="n">
        <v>51</v>
      </c>
      <c r="B232" s="23" t="s">
        <v>287</v>
      </c>
      <c r="C232" s="24" t="s">
        <v>78</v>
      </c>
      <c r="D232" s="23" t="s">
        <v>20</v>
      </c>
      <c r="E232" s="25" t="n">
        <f aca="false">SUM(E233:E233)</f>
        <v>115.6263264</v>
      </c>
      <c r="F232" s="26" t="n">
        <v>13857</v>
      </c>
      <c r="G232" s="27" t="n">
        <f aca="false">E232*F232</f>
        <v>1602234.0049248</v>
      </c>
      <c r="H232" s="28" t="s">
        <v>288</v>
      </c>
    </row>
    <row r="233" customFormat="false" ht="23.85" hidden="false" customHeight="false" outlineLevel="1" collapsed="false">
      <c r="A233" s="7"/>
      <c r="B233" s="29" t="s">
        <v>340</v>
      </c>
      <c r="C233" s="30" t="s">
        <v>341</v>
      </c>
      <c r="D233" s="29"/>
      <c r="E233" s="31" t="n">
        <v>115.6263264</v>
      </c>
      <c r="F233" s="7"/>
      <c r="G233" s="32" t="n">
        <f aca="false">E233*$F$232</f>
        <v>1602234.0049248</v>
      </c>
      <c r="H233" s="7"/>
    </row>
    <row r="234" customFormat="false" ht="15" hidden="false" customHeight="false" outlineLevel="0" collapsed="false">
      <c r="A234" s="23" t="n">
        <v>52</v>
      </c>
      <c r="B234" s="23" t="s">
        <v>157</v>
      </c>
      <c r="C234" s="24" t="s">
        <v>79</v>
      </c>
      <c r="D234" s="23" t="s">
        <v>20</v>
      </c>
      <c r="E234" s="25" t="n">
        <f aca="false">SUM(E235:E238)</f>
        <v>156.6096</v>
      </c>
      <c r="F234" s="26" t="n">
        <v>13430</v>
      </c>
      <c r="G234" s="27" t="n">
        <f aca="false">E234*F234</f>
        <v>2103266.928</v>
      </c>
      <c r="H234" s="28" t="s">
        <v>353</v>
      </c>
    </row>
    <row r="235" customFormat="false" ht="23.85" hidden="false" customHeight="false" outlineLevel="1" collapsed="false">
      <c r="A235" s="7"/>
      <c r="B235" s="29" t="s">
        <v>325</v>
      </c>
      <c r="C235" s="30" t="s">
        <v>326</v>
      </c>
      <c r="D235" s="29"/>
      <c r="E235" s="31" t="n">
        <v>79.302254</v>
      </c>
      <c r="F235" s="7"/>
      <c r="G235" s="32" t="n">
        <f aca="false">E235*$F$234</f>
        <v>1065029.27122</v>
      </c>
      <c r="H235" s="7"/>
    </row>
    <row r="236" customFormat="false" ht="23.85" hidden="false" customHeight="false" outlineLevel="1" collapsed="false">
      <c r="A236" s="7"/>
      <c r="B236" s="29" t="s">
        <v>325</v>
      </c>
      <c r="C236" s="30" t="s">
        <v>327</v>
      </c>
      <c r="D236" s="29"/>
      <c r="E236" s="31" t="n">
        <v>32.561746</v>
      </c>
      <c r="F236" s="7"/>
      <c r="G236" s="32" t="n">
        <f aca="false">E236*$F$234</f>
        <v>437304.24878</v>
      </c>
      <c r="H236" s="7"/>
    </row>
    <row r="237" customFormat="false" ht="23.85" hidden="false" customHeight="false" outlineLevel="1" collapsed="false">
      <c r="A237" s="7"/>
      <c r="B237" s="29" t="s">
        <v>325</v>
      </c>
      <c r="C237" s="30" t="s">
        <v>326</v>
      </c>
      <c r="D237" s="29"/>
      <c r="E237" s="31" t="n">
        <v>30.627431</v>
      </c>
      <c r="F237" s="7"/>
      <c r="G237" s="32" t="n">
        <f aca="false">E237*$F$234</f>
        <v>411326.39833</v>
      </c>
      <c r="H237" s="7"/>
    </row>
    <row r="238" customFormat="false" ht="23.85" hidden="false" customHeight="false" outlineLevel="1" collapsed="false">
      <c r="A238" s="7"/>
      <c r="B238" s="29" t="s">
        <v>325</v>
      </c>
      <c r="C238" s="30" t="s">
        <v>327</v>
      </c>
      <c r="D238" s="29"/>
      <c r="E238" s="31" t="n">
        <v>14.118169</v>
      </c>
      <c r="F238" s="7"/>
      <c r="G238" s="32" t="n">
        <f aca="false">E238*$F$234</f>
        <v>189607.00967</v>
      </c>
      <c r="H238" s="7"/>
    </row>
    <row r="239" customFormat="false" ht="15" hidden="false" customHeight="false" outlineLevel="0" collapsed="false">
      <c r="A239" s="23" t="n">
        <v>53</v>
      </c>
      <c r="B239" s="23" t="s">
        <v>289</v>
      </c>
      <c r="C239" s="24" t="s">
        <v>80</v>
      </c>
      <c r="D239" s="23" t="s">
        <v>20</v>
      </c>
      <c r="E239" s="25" t="n">
        <f aca="false">SUM(E240:E241)</f>
        <v>33.4845</v>
      </c>
      <c r="F239" s="26" t="n">
        <v>14157</v>
      </c>
      <c r="G239" s="27" t="n">
        <f aca="false">E239*F239</f>
        <v>474040.0665</v>
      </c>
      <c r="H239" s="28" t="s">
        <v>290</v>
      </c>
    </row>
    <row r="240" customFormat="false" ht="15" hidden="false" customHeight="false" outlineLevel="1" collapsed="false">
      <c r="A240" s="7"/>
      <c r="B240" s="29" t="s">
        <v>272</v>
      </c>
      <c r="C240" s="30" t="s">
        <v>273</v>
      </c>
      <c r="D240" s="29"/>
      <c r="E240" s="31" t="n">
        <v>29.7045</v>
      </c>
      <c r="F240" s="7"/>
      <c r="G240" s="32" t="n">
        <f aca="false">E240*$F$239</f>
        <v>420526.6065</v>
      </c>
      <c r="H240" s="7"/>
    </row>
    <row r="241" customFormat="false" ht="15" hidden="false" customHeight="false" outlineLevel="1" collapsed="false">
      <c r="A241" s="7"/>
      <c r="B241" s="29" t="s">
        <v>272</v>
      </c>
      <c r="C241" s="30" t="s">
        <v>273</v>
      </c>
      <c r="D241" s="29"/>
      <c r="E241" s="31" t="n">
        <v>3.78</v>
      </c>
      <c r="F241" s="7"/>
      <c r="G241" s="32" t="n">
        <f aca="false">E241*$F$239</f>
        <v>53513.46</v>
      </c>
      <c r="H241" s="7"/>
    </row>
    <row r="242" customFormat="false" ht="15" hidden="false" customHeight="false" outlineLevel="0" collapsed="false">
      <c r="A242" s="23" t="n">
        <v>54</v>
      </c>
      <c r="B242" s="23" t="s">
        <v>291</v>
      </c>
      <c r="C242" s="24" t="s">
        <v>81</v>
      </c>
      <c r="D242" s="23" t="s">
        <v>20</v>
      </c>
      <c r="E242" s="25" t="n">
        <f aca="false">SUM(E243:E256)</f>
        <v>6491.014123</v>
      </c>
      <c r="F242" s="26" t="n">
        <v>13857</v>
      </c>
      <c r="G242" s="27" t="n">
        <f aca="false">E242*F242</f>
        <v>89945982.702411</v>
      </c>
      <c r="H242" s="28" t="s">
        <v>292</v>
      </c>
    </row>
    <row r="243" customFormat="false" ht="15" hidden="false" customHeight="false" outlineLevel="1" collapsed="false">
      <c r="A243" s="7"/>
      <c r="B243" s="29" t="s">
        <v>265</v>
      </c>
      <c r="C243" s="30" t="s">
        <v>266</v>
      </c>
      <c r="D243" s="29"/>
      <c r="E243" s="31" t="n">
        <v>193.727952</v>
      </c>
      <c r="F243" s="7"/>
      <c r="G243" s="32" t="n">
        <f aca="false">E243*$F$242</f>
        <v>2684488.230864</v>
      </c>
      <c r="H243" s="7"/>
    </row>
    <row r="244" customFormat="false" ht="15" hidden="false" customHeight="false" outlineLevel="1" collapsed="false">
      <c r="A244" s="7"/>
      <c r="B244" s="29" t="s">
        <v>267</v>
      </c>
      <c r="C244" s="30" t="s">
        <v>268</v>
      </c>
      <c r="D244" s="29"/>
      <c r="E244" s="31" t="n">
        <v>3700.232206</v>
      </c>
      <c r="F244" s="7"/>
      <c r="G244" s="32" t="n">
        <f aca="false">E244*$F$242</f>
        <v>51274117.678542</v>
      </c>
      <c r="H244" s="7"/>
    </row>
    <row r="245" customFormat="false" ht="15" hidden="false" customHeight="false" outlineLevel="1" collapsed="false">
      <c r="A245" s="7"/>
      <c r="B245" s="29" t="s">
        <v>267</v>
      </c>
      <c r="C245" s="30" t="s">
        <v>351</v>
      </c>
      <c r="D245" s="29"/>
      <c r="E245" s="31" t="n">
        <v>73.340509</v>
      </c>
      <c r="F245" s="7"/>
      <c r="G245" s="32" t="n">
        <f aca="false">E245*$F$242</f>
        <v>1016279.433213</v>
      </c>
      <c r="H245" s="7"/>
    </row>
    <row r="246" customFormat="false" ht="15" hidden="false" customHeight="false" outlineLevel="1" collapsed="false">
      <c r="A246" s="7"/>
      <c r="B246" s="29" t="s">
        <v>267</v>
      </c>
      <c r="C246" s="30" t="s">
        <v>352</v>
      </c>
      <c r="D246" s="29"/>
      <c r="E246" s="31" t="n">
        <v>45.218041</v>
      </c>
      <c r="F246" s="7"/>
      <c r="G246" s="32" t="n">
        <f aca="false">E246*$F$242</f>
        <v>626586.394137</v>
      </c>
      <c r="H246" s="7"/>
    </row>
    <row r="247" customFormat="false" ht="15" hidden="false" customHeight="false" outlineLevel="1" collapsed="false">
      <c r="A247" s="7"/>
      <c r="B247" s="29" t="s">
        <v>267</v>
      </c>
      <c r="C247" s="30" t="s">
        <v>269</v>
      </c>
      <c r="D247" s="29"/>
      <c r="E247" s="31" t="n">
        <v>634.788209</v>
      </c>
      <c r="F247" s="7"/>
      <c r="G247" s="32" t="n">
        <f aca="false">E247*$F$242</f>
        <v>8796260.212113</v>
      </c>
      <c r="H247" s="7"/>
    </row>
    <row r="248" customFormat="false" ht="15" hidden="false" customHeight="false" outlineLevel="1" collapsed="false">
      <c r="A248" s="7"/>
      <c r="B248" s="29" t="s">
        <v>267</v>
      </c>
      <c r="C248" s="30" t="s">
        <v>270</v>
      </c>
      <c r="D248" s="29"/>
      <c r="E248" s="31" t="n">
        <v>242.387904</v>
      </c>
      <c r="F248" s="7"/>
      <c r="G248" s="32" t="n">
        <f aca="false">E248*$F$242</f>
        <v>3358769.185728</v>
      </c>
      <c r="H248" s="7"/>
    </row>
    <row r="249" customFormat="false" ht="15" hidden="false" customHeight="false" outlineLevel="1" collapsed="false">
      <c r="A249" s="7"/>
      <c r="B249" s="29" t="s">
        <v>267</v>
      </c>
      <c r="C249" s="30" t="s">
        <v>270</v>
      </c>
      <c r="D249" s="29"/>
      <c r="E249" s="31" t="n">
        <v>237.814808</v>
      </c>
      <c r="F249" s="7"/>
      <c r="G249" s="32" t="n">
        <f aca="false">E249*$F$242</f>
        <v>3295399.794456</v>
      </c>
      <c r="H249" s="7"/>
    </row>
    <row r="250" customFormat="false" ht="15" hidden="false" customHeight="false" outlineLevel="1" collapsed="false">
      <c r="A250" s="7"/>
      <c r="B250" s="29" t="s">
        <v>172</v>
      </c>
      <c r="C250" s="30" t="s">
        <v>173</v>
      </c>
      <c r="D250" s="29"/>
      <c r="E250" s="31" t="n">
        <v>231.994818</v>
      </c>
      <c r="F250" s="7"/>
      <c r="G250" s="32" t="n">
        <f aca="false">E250*$F$242</f>
        <v>3214752.193026</v>
      </c>
      <c r="H250" s="7"/>
    </row>
    <row r="251" customFormat="false" ht="15" hidden="false" customHeight="false" outlineLevel="1" collapsed="false">
      <c r="A251" s="7"/>
      <c r="B251" s="29" t="s">
        <v>172</v>
      </c>
      <c r="C251" s="30" t="s">
        <v>173</v>
      </c>
      <c r="D251" s="29"/>
      <c r="E251" s="31" t="n">
        <v>246.802116</v>
      </c>
      <c r="F251" s="7"/>
      <c r="G251" s="32" t="n">
        <f aca="false">E251*$F$242</f>
        <v>3419936.921412</v>
      </c>
      <c r="H251" s="7"/>
    </row>
    <row r="252" customFormat="false" ht="15" hidden="false" customHeight="false" outlineLevel="1" collapsed="false">
      <c r="A252" s="7"/>
      <c r="B252" s="29" t="s">
        <v>265</v>
      </c>
      <c r="C252" s="30" t="s">
        <v>274</v>
      </c>
      <c r="D252" s="29"/>
      <c r="E252" s="31" t="n">
        <v>416.112015</v>
      </c>
      <c r="F252" s="7"/>
      <c r="G252" s="32" t="n">
        <f aca="false">E252*$F$242</f>
        <v>5766064.191855</v>
      </c>
      <c r="H252" s="7"/>
    </row>
    <row r="253" customFormat="false" ht="15" hidden="false" customHeight="false" outlineLevel="1" collapsed="false">
      <c r="A253" s="7"/>
      <c r="B253" s="29" t="s">
        <v>265</v>
      </c>
      <c r="C253" s="30" t="s">
        <v>275</v>
      </c>
      <c r="D253" s="29"/>
      <c r="E253" s="31" t="n">
        <v>58.472766</v>
      </c>
      <c r="F253" s="7"/>
      <c r="G253" s="32" t="n">
        <f aca="false">E253*$F$242</f>
        <v>810257.118462</v>
      </c>
      <c r="H253" s="7"/>
    </row>
    <row r="254" customFormat="false" ht="15" hidden="false" customHeight="false" outlineLevel="1" collapsed="false">
      <c r="A254" s="7"/>
      <c r="B254" s="29" t="s">
        <v>265</v>
      </c>
      <c r="C254" s="30" t="s">
        <v>276</v>
      </c>
      <c r="D254" s="29"/>
      <c r="E254" s="31" t="n">
        <v>372.125325</v>
      </c>
      <c r="F254" s="7"/>
      <c r="G254" s="32" t="n">
        <f aca="false">E254*$F$242</f>
        <v>5156540.628525</v>
      </c>
      <c r="H254" s="7"/>
    </row>
    <row r="255" customFormat="false" ht="15" hidden="false" customHeight="false" outlineLevel="1" collapsed="false">
      <c r="A255" s="7"/>
      <c r="B255" s="29" t="s">
        <v>267</v>
      </c>
      <c r="C255" s="30" t="s">
        <v>277</v>
      </c>
      <c r="D255" s="29"/>
      <c r="E255" s="31" t="n">
        <v>10.543335</v>
      </c>
      <c r="F255" s="7"/>
      <c r="G255" s="32" t="n">
        <f aca="false">E255*$F$242</f>
        <v>146098.993095</v>
      </c>
      <c r="H255" s="7"/>
    </row>
    <row r="256" customFormat="false" ht="23.85" hidden="false" customHeight="false" outlineLevel="1" collapsed="false">
      <c r="A256" s="7"/>
      <c r="B256" s="29" t="s">
        <v>328</v>
      </c>
      <c r="C256" s="30" t="s">
        <v>329</v>
      </c>
      <c r="D256" s="29"/>
      <c r="E256" s="31" t="n">
        <v>27.454119</v>
      </c>
      <c r="F256" s="7"/>
      <c r="G256" s="32" t="n">
        <f aca="false">E256*$F$242</f>
        <v>380431.726983</v>
      </c>
      <c r="H256" s="7"/>
    </row>
    <row r="257" customFormat="false" ht="15" hidden="false" customHeight="false" outlineLevel="0" collapsed="false">
      <c r="A257" s="23" t="n">
        <v>55</v>
      </c>
      <c r="B257" s="23" t="s">
        <v>291</v>
      </c>
      <c r="C257" s="24" t="s">
        <v>81</v>
      </c>
      <c r="D257" s="23" t="s">
        <v>20</v>
      </c>
      <c r="E257" s="25" t="n">
        <f aca="false">SUM(E258:E258)</f>
        <v>2.4925264</v>
      </c>
      <c r="F257" s="26" t="n">
        <v>13857</v>
      </c>
      <c r="G257" s="27" t="n">
        <f aca="false">E257*F257</f>
        <v>34538.9383248</v>
      </c>
      <c r="H257" s="28" t="s">
        <v>292</v>
      </c>
    </row>
    <row r="258" customFormat="false" ht="23.85" hidden="false" customHeight="false" outlineLevel="1" collapsed="false">
      <c r="A258" s="7"/>
      <c r="B258" s="29" t="s">
        <v>340</v>
      </c>
      <c r="C258" s="30" t="s">
        <v>342</v>
      </c>
      <c r="D258" s="29"/>
      <c r="E258" s="31" t="n">
        <v>2.4925264</v>
      </c>
      <c r="F258" s="7"/>
      <c r="G258" s="32" t="n">
        <f aca="false">E258*$F$257</f>
        <v>34538.9383248</v>
      </c>
      <c r="H258" s="7"/>
    </row>
    <row r="259" customFormat="false" ht="15" hidden="false" customHeight="false" outlineLevel="0" collapsed="false">
      <c r="A259" s="23" t="n">
        <v>56</v>
      </c>
      <c r="B259" s="23" t="s">
        <v>293</v>
      </c>
      <c r="C259" s="24" t="s">
        <v>82</v>
      </c>
      <c r="D259" s="23" t="s">
        <v>20</v>
      </c>
      <c r="E259" s="25" t="n">
        <f aca="false">SUM(E260:E260)</f>
        <v>17.47354</v>
      </c>
      <c r="F259" s="26" t="n">
        <v>14344</v>
      </c>
      <c r="G259" s="27" t="n">
        <f aca="false">E259*F259</f>
        <v>250640.45776</v>
      </c>
      <c r="H259" s="28" t="s">
        <v>294</v>
      </c>
    </row>
    <row r="260" customFormat="false" ht="15" hidden="false" customHeight="false" outlineLevel="1" collapsed="false">
      <c r="A260" s="7"/>
      <c r="B260" s="29" t="s">
        <v>219</v>
      </c>
      <c r="C260" s="30" t="s">
        <v>220</v>
      </c>
      <c r="D260" s="29"/>
      <c r="E260" s="31" t="n">
        <v>17.47354</v>
      </c>
      <c r="F260" s="7"/>
      <c r="G260" s="32" t="n">
        <f aca="false">E260*$F$259</f>
        <v>250640.45776</v>
      </c>
      <c r="H260" s="7"/>
    </row>
    <row r="261" customFormat="false" ht="15" hidden="false" customHeight="false" outlineLevel="0" collapsed="false">
      <c r="A261" s="23" t="n">
        <v>57</v>
      </c>
      <c r="B261" s="23" t="s">
        <v>295</v>
      </c>
      <c r="C261" s="24" t="s">
        <v>83</v>
      </c>
      <c r="D261" s="23" t="s">
        <v>20</v>
      </c>
      <c r="E261" s="25" t="n">
        <f aca="false">SUM(E262:E263)</f>
        <v>7774.5192</v>
      </c>
      <c r="F261" s="26" t="n">
        <v>14594</v>
      </c>
      <c r="G261" s="27" t="n">
        <f aca="false">E261*F261</f>
        <v>113461333.2048</v>
      </c>
      <c r="H261" s="28" t="s">
        <v>296</v>
      </c>
    </row>
    <row r="262" customFormat="false" ht="15" hidden="false" customHeight="false" outlineLevel="1" collapsed="false">
      <c r="A262" s="7"/>
      <c r="B262" s="29" t="s">
        <v>215</v>
      </c>
      <c r="C262" s="30" t="s">
        <v>217</v>
      </c>
      <c r="D262" s="29"/>
      <c r="E262" s="31" t="n">
        <v>6049.88895</v>
      </c>
      <c r="F262" s="7"/>
      <c r="G262" s="32" t="n">
        <f aca="false">E262*$F$261</f>
        <v>88292079.3363</v>
      </c>
      <c r="H262" s="7"/>
    </row>
    <row r="263" customFormat="false" ht="15" hidden="false" customHeight="false" outlineLevel="1" collapsed="false">
      <c r="A263" s="7"/>
      <c r="B263" s="29" t="s">
        <v>215</v>
      </c>
      <c r="C263" s="30" t="s">
        <v>218</v>
      </c>
      <c r="D263" s="29"/>
      <c r="E263" s="31" t="n">
        <v>1724.63025</v>
      </c>
      <c r="F263" s="7"/>
      <c r="G263" s="32" t="n">
        <f aca="false">E263*$F$261</f>
        <v>25169253.8685</v>
      </c>
      <c r="H263" s="7"/>
    </row>
    <row r="264" customFormat="false" ht="15" hidden="false" customHeight="false" outlineLevel="0" collapsed="false">
      <c r="A264" s="23" t="n">
        <v>58</v>
      </c>
      <c r="B264" s="23" t="s">
        <v>295</v>
      </c>
      <c r="C264" s="24" t="s">
        <v>83</v>
      </c>
      <c r="D264" s="23" t="s">
        <v>20</v>
      </c>
      <c r="E264" s="25" t="n">
        <f aca="false">SUM(E265:E265)</f>
        <v>151.12185</v>
      </c>
      <c r="F264" s="26" t="n">
        <v>14174</v>
      </c>
      <c r="G264" s="27" t="n">
        <f aca="false">E264*F264</f>
        <v>2142001.1019</v>
      </c>
      <c r="H264" s="28" t="s">
        <v>296</v>
      </c>
    </row>
    <row r="265" customFormat="false" ht="15" hidden="false" customHeight="false" outlineLevel="1" collapsed="false">
      <c r="A265" s="7"/>
      <c r="B265" s="29" t="s">
        <v>215</v>
      </c>
      <c r="C265" s="30" t="s">
        <v>338</v>
      </c>
      <c r="D265" s="29"/>
      <c r="E265" s="31" t="n">
        <v>151.12185</v>
      </c>
      <c r="F265" s="7"/>
      <c r="G265" s="32" t="n">
        <f aca="false">E265*$F$264</f>
        <v>2142001.1019</v>
      </c>
      <c r="H265" s="7"/>
    </row>
    <row r="266" customFormat="false" ht="15" hidden="false" customHeight="false" outlineLevel="0" collapsed="false">
      <c r="A266" s="23" t="n">
        <v>59</v>
      </c>
      <c r="B266" s="23" t="s">
        <v>297</v>
      </c>
      <c r="C266" s="24" t="s">
        <v>84</v>
      </c>
      <c r="D266" s="23" t="s">
        <v>20</v>
      </c>
      <c r="E266" s="25" t="n">
        <f aca="false">SUM(E267:E272)</f>
        <v>19871.5176</v>
      </c>
      <c r="F266" s="26" t="n">
        <v>14394</v>
      </c>
      <c r="G266" s="27" t="n">
        <f aca="false">E266*F266</f>
        <v>286030624.3344</v>
      </c>
      <c r="H266" s="28" t="s">
        <v>298</v>
      </c>
    </row>
    <row r="267" customFormat="false" ht="15" hidden="false" customHeight="false" outlineLevel="1" collapsed="false">
      <c r="A267" s="7"/>
      <c r="B267" s="29" t="s">
        <v>210</v>
      </c>
      <c r="C267" s="30" t="s">
        <v>211</v>
      </c>
      <c r="D267" s="29"/>
      <c r="E267" s="31" t="n">
        <v>15969.681</v>
      </c>
      <c r="F267" s="7"/>
      <c r="G267" s="32" t="n">
        <f aca="false">E267*$F$266</f>
        <v>229867588.314</v>
      </c>
      <c r="H267" s="7"/>
    </row>
    <row r="268" customFormat="false" ht="15" hidden="false" customHeight="false" outlineLevel="1" collapsed="false">
      <c r="A268" s="7"/>
      <c r="B268" s="29" t="s">
        <v>210</v>
      </c>
      <c r="C268" s="30" t="s">
        <v>212</v>
      </c>
      <c r="D268" s="29"/>
      <c r="E268" s="31" t="n">
        <v>3193.9362</v>
      </c>
      <c r="F268" s="7"/>
      <c r="G268" s="32" t="n">
        <f aca="false">E268*$F$266</f>
        <v>45973517.6628</v>
      </c>
      <c r="H268" s="7"/>
    </row>
    <row r="269" customFormat="false" ht="15" hidden="false" customHeight="false" outlineLevel="1" collapsed="false">
      <c r="A269" s="7"/>
      <c r="B269" s="29" t="s">
        <v>210</v>
      </c>
      <c r="C269" s="30" t="s">
        <v>336</v>
      </c>
      <c r="D269" s="29"/>
      <c r="E269" s="31" t="n">
        <v>364.9254</v>
      </c>
      <c r="F269" s="7"/>
      <c r="G269" s="32" t="n">
        <f aca="false">E269*$F$266</f>
        <v>5252736.2076</v>
      </c>
      <c r="H269" s="7"/>
    </row>
    <row r="270" customFormat="false" ht="15" hidden="false" customHeight="false" outlineLevel="1" collapsed="false">
      <c r="A270" s="7"/>
      <c r="B270" s="29" t="s">
        <v>210</v>
      </c>
      <c r="C270" s="30" t="s">
        <v>212</v>
      </c>
      <c r="D270" s="29"/>
      <c r="E270" s="31" t="n">
        <v>72.98508</v>
      </c>
      <c r="F270" s="7"/>
      <c r="G270" s="32" t="n">
        <f aca="false">E270*$F$266</f>
        <v>1050547.24152</v>
      </c>
      <c r="H270" s="7"/>
    </row>
    <row r="271" customFormat="false" ht="15" hidden="false" customHeight="false" outlineLevel="1" collapsed="false">
      <c r="A271" s="7"/>
      <c r="B271" s="29" t="s">
        <v>210</v>
      </c>
      <c r="C271" s="30" t="s">
        <v>337</v>
      </c>
      <c r="D271" s="29"/>
      <c r="E271" s="31" t="n">
        <v>224.9916</v>
      </c>
      <c r="F271" s="7"/>
      <c r="G271" s="32" t="n">
        <f aca="false">E271*$F$266</f>
        <v>3238529.0904</v>
      </c>
      <c r="H271" s="7"/>
    </row>
    <row r="272" customFormat="false" ht="15" hidden="false" customHeight="false" outlineLevel="1" collapsed="false">
      <c r="A272" s="7"/>
      <c r="B272" s="29" t="s">
        <v>210</v>
      </c>
      <c r="C272" s="30" t="s">
        <v>212</v>
      </c>
      <c r="D272" s="29"/>
      <c r="E272" s="31" t="n">
        <v>44.99832</v>
      </c>
      <c r="F272" s="7"/>
      <c r="G272" s="32" t="n">
        <f aca="false">E272*$F$266</f>
        <v>647705.81808</v>
      </c>
      <c r="H272" s="7"/>
    </row>
    <row r="273" customFormat="false" ht="15" hidden="false" customHeight="false" outlineLevel="0" collapsed="false">
      <c r="A273" s="23" t="n">
        <v>60</v>
      </c>
      <c r="B273" s="23" t="s">
        <v>297</v>
      </c>
      <c r="C273" s="24" t="s">
        <v>84</v>
      </c>
      <c r="D273" s="23" t="s">
        <v>20</v>
      </c>
      <c r="E273" s="25" t="n">
        <f aca="false">SUM(E274:E274)</f>
        <v>1318.9008</v>
      </c>
      <c r="F273" s="26" t="n">
        <v>14034</v>
      </c>
      <c r="G273" s="27" t="n">
        <f aca="false">E273*F273</f>
        <v>18509453.8272</v>
      </c>
      <c r="H273" s="28" t="s">
        <v>298</v>
      </c>
    </row>
    <row r="274" customFormat="false" ht="15" hidden="false" customHeight="false" outlineLevel="1" collapsed="false">
      <c r="A274" s="7"/>
      <c r="B274" s="29" t="s">
        <v>213</v>
      </c>
      <c r="C274" s="30" t="s">
        <v>339</v>
      </c>
      <c r="D274" s="29"/>
      <c r="E274" s="31" t="n">
        <v>1318.9008</v>
      </c>
      <c r="F274" s="7"/>
      <c r="G274" s="32" t="n">
        <f aca="false">E274*$F$273</f>
        <v>18509453.8272</v>
      </c>
      <c r="H274" s="7"/>
    </row>
    <row r="275" customFormat="false" ht="15" hidden="false" customHeight="false" outlineLevel="0" collapsed="false">
      <c r="A275" s="23" t="n">
        <v>61</v>
      </c>
      <c r="B275" s="23" t="s">
        <v>299</v>
      </c>
      <c r="C275" s="24" t="s">
        <v>85</v>
      </c>
      <c r="D275" s="23" t="s">
        <v>52</v>
      </c>
      <c r="E275" s="25" t="n">
        <f aca="false">SUM(E276:E276)</f>
        <v>21723.4815</v>
      </c>
      <c r="F275" s="26" t="n">
        <v>24000</v>
      </c>
      <c r="G275" s="27" t="n">
        <f aca="false">E275*F275</f>
        <v>521363556</v>
      </c>
      <c r="H275" s="28" t="s">
        <v>300</v>
      </c>
    </row>
    <row r="276" customFormat="false" ht="15" hidden="false" customHeight="false" outlineLevel="1" collapsed="false">
      <c r="A276" s="7"/>
      <c r="B276" s="29" t="s">
        <v>301</v>
      </c>
      <c r="C276" s="30" t="s">
        <v>302</v>
      </c>
      <c r="D276" s="29"/>
      <c r="E276" s="31" t="n">
        <v>21723.4815</v>
      </c>
      <c r="F276" s="7"/>
      <c r="G276" s="32" t="n">
        <f aca="false">E276*$F$275</f>
        <v>521363556</v>
      </c>
      <c r="H276" s="7"/>
    </row>
    <row r="277" customFormat="false" ht="15" hidden="false" customHeight="false" outlineLevel="0" collapsed="false">
      <c r="A277" s="23" t="n">
        <v>62</v>
      </c>
      <c r="B277" s="23" t="s">
        <v>303</v>
      </c>
      <c r="C277" s="24" t="s">
        <v>87</v>
      </c>
      <c r="D277" s="23" t="s">
        <v>20</v>
      </c>
      <c r="E277" s="25" t="n">
        <f aca="false">SUM(E278:E279)</f>
        <v>54297.12</v>
      </c>
      <c r="F277" s="26" t="n">
        <v>1601</v>
      </c>
      <c r="G277" s="27" t="n">
        <f aca="false">E277*F277</f>
        <v>86929689.12</v>
      </c>
      <c r="H277" s="28" t="s">
        <v>304</v>
      </c>
    </row>
    <row r="278" customFormat="false" ht="15" hidden="false" customHeight="false" outlineLevel="1" collapsed="false">
      <c r="A278" s="7"/>
      <c r="B278" s="29" t="s">
        <v>154</v>
      </c>
      <c r="C278" s="30" t="s">
        <v>155</v>
      </c>
      <c r="D278" s="29"/>
      <c r="E278" s="31" t="n">
        <v>44882.7</v>
      </c>
      <c r="F278" s="7"/>
      <c r="G278" s="32" t="n">
        <f aca="false">E278*$F$277</f>
        <v>71857202.7</v>
      </c>
      <c r="H278" s="7"/>
    </row>
    <row r="279" customFormat="false" ht="15" hidden="false" customHeight="false" outlineLevel="1" collapsed="false">
      <c r="A279" s="7"/>
      <c r="B279" s="29" t="s">
        <v>156</v>
      </c>
      <c r="C279" s="30" t="s">
        <v>155</v>
      </c>
      <c r="D279" s="29"/>
      <c r="E279" s="31" t="n">
        <v>9414.42</v>
      </c>
      <c r="F279" s="7"/>
      <c r="G279" s="32" t="n">
        <f aca="false">E279*$F$277</f>
        <v>15072486.42</v>
      </c>
      <c r="H279" s="7"/>
    </row>
    <row r="280" customFormat="false" ht="15" hidden="false" customHeight="false" outlineLevel="0" collapsed="false">
      <c r="A280" s="23" t="n">
        <v>63</v>
      </c>
      <c r="B280" s="23" t="s">
        <v>303</v>
      </c>
      <c r="C280" s="24" t="s">
        <v>87</v>
      </c>
      <c r="D280" s="23" t="s">
        <v>20</v>
      </c>
      <c r="E280" s="25" t="n">
        <f aca="false">SUM(E281:E281)</f>
        <v>5531.064</v>
      </c>
      <c r="F280" s="26" t="n">
        <v>1213</v>
      </c>
      <c r="G280" s="27" t="n">
        <f aca="false">E280*F280</f>
        <v>6709180.632</v>
      </c>
      <c r="H280" s="28" t="s">
        <v>304</v>
      </c>
    </row>
    <row r="281" customFormat="false" ht="23.85" hidden="false" customHeight="false" outlineLevel="1" collapsed="false">
      <c r="A281" s="7"/>
      <c r="B281" s="29" t="s">
        <v>139</v>
      </c>
      <c r="C281" s="30" t="s">
        <v>322</v>
      </c>
      <c r="D281" s="29"/>
      <c r="E281" s="31" t="n">
        <v>5531.064</v>
      </c>
      <c r="F281" s="7"/>
      <c r="G281" s="32" t="n">
        <f aca="false">E281*$F$280</f>
        <v>6709180.632</v>
      </c>
      <c r="H281" s="7"/>
    </row>
    <row r="282" customFormat="false" ht="15" hidden="false" customHeight="false" outlineLevel="0" collapsed="false">
      <c r="A282" s="23" t="n">
        <v>64</v>
      </c>
      <c r="B282" s="23" t="s">
        <v>303</v>
      </c>
      <c r="C282" s="24" t="s">
        <v>88</v>
      </c>
      <c r="D282" s="23" t="s">
        <v>20</v>
      </c>
      <c r="E282" s="25" t="n">
        <f aca="false">SUM(E283:E299)</f>
        <v>2235239.74535</v>
      </c>
      <c r="F282" s="26" t="n">
        <v>1442</v>
      </c>
      <c r="G282" s="27" t="n">
        <f aca="false">E282*F282</f>
        <v>3223215712.7947</v>
      </c>
      <c r="H282" s="28" t="s">
        <v>305</v>
      </c>
    </row>
    <row r="283" customFormat="false" ht="23.85" hidden="false" customHeight="false" outlineLevel="1" collapsed="false">
      <c r="A283" s="7"/>
      <c r="B283" s="29" t="s">
        <v>133</v>
      </c>
      <c r="C283" s="30" t="s">
        <v>134</v>
      </c>
      <c r="D283" s="29"/>
      <c r="E283" s="31" t="n">
        <v>97632.48</v>
      </c>
      <c r="F283" s="7"/>
      <c r="G283" s="32" t="n">
        <f aca="false">E283*$F$282</f>
        <v>140786036.16</v>
      </c>
      <c r="H283" s="7"/>
    </row>
    <row r="284" customFormat="false" ht="23.85" hidden="false" customHeight="false" outlineLevel="1" collapsed="false">
      <c r="A284" s="7"/>
      <c r="B284" s="29" t="s">
        <v>135</v>
      </c>
      <c r="C284" s="30" t="s">
        <v>136</v>
      </c>
      <c r="D284" s="29"/>
      <c r="E284" s="31" t="n">
        <v>1386646.5536</v>
      </c>
      <c r="F284" s="7"/>
      <c r="G284" s="32" t="n">
        <f aca="false">E284*$F$282</f>
        <v>1999544330.2912</v>
      </c>
      <c r="H284" s="7"/>
    </row>
    <row r="285" customFormat="false" ht="23.85" hidden="false" customHeight="false" outlineLevel="1" collapsed="false">
      <c r="A285" s="7"/>
      <c r="B285" s="29" t="s">
        <v>135</v>
      </c>
      <c r="C285" s="30" t="s">
        <v>320</v>
      </c>
      <c r="D285" s="29"/>
      <c r="E285" s="31" t="n">
        <v>23616.208</v>
      </c>
      <c r="F285" s="7"/>
      <c r="G285" s="32" t="n">
        <f aca="false">E285*$F$282</f>
        <v>34054571.936</v>
      </c>
      <c r="H285" s="7"/>
    </row>
    <row r="286" customFormat="false" ht="23.85" hidden="false" customHeight="false" outlineLevel="1" collapsed="false">
      <c r="A286" s="7"/>
      <c r="B286" s="29" t="s">
        <v>135</v>
      </c>
      <c r="C286" s="30" t="s">
        <v>321</v>
      </c>
      <c r="D286" s="29"/>
      <c r="E286" s="31" t="n">
        <v>14559.16</v>
      </c>
      <c r="F286" s="7"/>
      <c r="G286" s="32" t="n">
        <f aca="false">E286*$F$282</f>
        <v>20994308.72</v>
      </c>
      <c r="H286" s="7"/>
    </row>
    <row r="287" customFormat="false" ht="23.85" hidden="false" customHeight="false" outlineLevel="1" collapsed="false">
      <c r="A287" s="7"/>
      <c r="B287" s="29" t="s">
        <v>135</v>
      </c>
      <c r="C287" s="30" t="s">
        <v>137</v>
      </c>
      <c r="D287" s="29"/>
      <c r="E287" s="31" t="n">
        <v>305488.6912</v>
      </c>
      <c r="F287" s="7"/>
      <c r="G287" s="32" t="n">
        <f aca="false">E287*$F$282</f>
        <v>440514692.7104</v>
      </c>
      <c r="H287" s="7"/>
    </row>
    <row r="288" customFormat="false" ht="23.85" hidden="false" customHeight="false" outlineLevel="1" collapsed="false">
      <c r="A288" s="7"/>
      <c r="B288" s="29" t="s">
        <v>135</v>
      </c>
      <c r="C288" s="30" t="s">
        <v>138</v>
      </c>
      <c r="D288" s="29"/>
      <c r="E288" s="31" t="n">
        <v>84114.4304</v>
      </c>
      <c r="F288" s="7"/>
      <c r="G288" s="32" t="n">
        <f aca="false">E288*$F$282</f>
        <v>121293008.6368</v>
      </c>
      <c r="H288" s="7"/>
    </row>
    <row r="289" customFormat="false" ht="23.85" hidden="false" customHeight="false" outlineLevel="1" collapsed="false">
      <c r="A289" s="7"/>
      <c r="B289" s="29" t="s">
        <v>135</v>
      </c>
      <c r="C289" s="30" t="s">
        <v>138</v>
      </c>
      <c r="D289" s="29"/>
      <c r="E289" s="31" t="n">
        <v>82245.856</v>
      </c>
      <c r="F289" s="7"/>
      <c r="G289" s="32" t="n">
        <f aca="false">E289*$F$282</f>
        <v>118598524.352</v>
      </c>
      <c r="H289" s="7"/>
    </row>
    <row r="290" customFormat="false" ht="15" hidden="false" customHeight="false" outlineLevel="1" collapsed="false">
      <c r="A290" s="7"/>
      <c r="B290" s="29" t="s">
        <v>141</v>
      </c>
      <c r="C290" s="30" t="s">
        <v>142</v>
      </c>
      <c r="D290" s="29"/>
      <c r="E290" s="31" t="n">
        <v>49436.816</v>
      </c>
      <c r="F290" s="7"/>
      <c r="G290" s="32" t="n">
        <f aca="false">E290*$F$282</f>
        <v>71287888.672</v>
      </c>
      <c r="H290" s="7"/>
    </row>
    <row r="291" customFormat="false" ht="15" hidden="false" customHeight="false" outlineLevel="1" collapsed="false">
      <c r="A291" s="7"/>
      <c r="B291" s="29" t="s">
        <v>141</v>
      </c>
      <c r="C291" s="30" t="s">
        <v>142</v>
      </c>
      <c r="D291" s="29"/>
      <c r="E291" s="31" t="n">
        <v>55974.512</v>
      </c>
      <c r="F291" s="7"/>
      <c r="G291" s="32" t="n">
        <f aca="false">E291*$F$282</f>
        <v>80715246.304</v>
      </c>
      <c r="H291" s="7"/>
    </row>
    <row r="292" customFormat="false" ht="23.85" hidden="false" customHeight="false" outlineLevel="1" collapsed="false">
      <c r="A292" s="7"/>
      <c r="B292" s="29" t="s">
        <v>143</v>
      </c>
      <c r="C292" s="30" t="s">
        <v>144</v>
      </c>
      <c r="D292" s="29"/>
      <c r="E292" s="31" t="n">
        <v>62537.464</v>
      </c>
      <c r="F292" s="7"/>
      <c r="G292" s="32" t="n">
        <f aca="false">E292*$F$282</f>
        <v>90179023.088</v>
      </c>
      <c r="H292" s="7"/>
    </row>
    <row r="293" customFormat="false" ht="15" hidden="false" customHeight="false" outlineLevel="1" collapsed="false">
      <c r="A293" s="7"/>
      <c r="B293" s="29" t="s">
        <v>145</v>
      </c>
      <c r="C293" s="30" t="s">
        <v>146</v>
      </c>
      <c r="D293" s="29"/>
      <c r="E293" s="31" t="n">
        <v>11650.232</v>
      </c>
      <c r="F293" s="7"/>
      <c r="G293" s="32" t="n">
        <f aca="false">E293*$F$282</f>
        <v>16799634.544</v>
      </c>
      <c r="H293" s="7"/>
    </row>
    <row r="294" customFormat="false" ht="15" hidden="false" customHeight="false" outlineLevel="1" collapsed="false">
      <c r="A294" s="7"/>
      <c r="B294" s="29" t="s">
        <v>127</v>
      </c>
      <c r="C294" s="30" t="s">
        <v>128</v>
      </c>
      <c r="D294" s="29"/>
      <c r="E294" s="31" t="n">
        <v>9448.86</v>
      </c>
      <c r="F294" s="7"/>
      <c r="G294" s="32" t="n">
        <f aca="false">E294*$F$282</f>
        <v>13625256.12</v>
      </c>
      <c r="H294" s="7"/>
    </row>
    <row r="295" customFormat="false" ht="15" hidden="false" customHeight="false" outlineLevel="1" collapsed="false">
      <c r="A295" s="7"/>
      <c r="B295" s="29" t="s">
        <v>152</v>
      </c>
      <c r="C295" s="30" t="s">
        <v>153</v>
      </c>
      <c r="D295" s="29"/>
      <c r="E295" s="31" t="n">
        <v>44349.87425</v>
      </c>
      <c r="F295" s="7"/>
      <c r="G295" s="32" t="n">
        <f aca="false">E295*$F$282</f>
        <v>63952518.6685</v>
      </c>
      <c r="H295" s="7"/>
    </row>
    <row r="296" customFormat="false" ht="23.85" hidden="false" customHeight="false" outlineLevel="1" collapsed="false">
      <c r="A296" s="7"/>
      <c r="B296" s="29" t="s">
        <v>147</v>
      </c>
      <c r="C296" s="30" t="s">
        <v>148</v>
      </c>
      <c r="D296" s="29"/>
      <c r="E296" s="31" t="n">
        <v>5147.2883</v>
      </c>
      <c r="F296" s="7"/>
      <c r="G296" s="32" t="n">
        <f aca="false">E296*$F$282</f>
        <v>7422389.7286</v>
      </c>
      <c r="H296" s="7"/>
    </row>
    <row r="297" customFormat="false" ht="15" hidden="false" customHeight="false" outlineLevel="1" collapsed="false">
      <c r="A297" s="7"/>
      <c r="B297" s="29" t="s">
        <v>129</v>
      </c>
      <c r="C297" s="30" t="s">
        <v>128</v>
      </c>
      <c r="D297" s="29"/>
      <c r="E297" s="31" t="n">
        <v>2297.7196</v>
      </c>
      <c r="F297" s="7"/>
      <c r="G297" s="32" t="n">
        <f aca="false">E297*$F$282</f>
        <v>3313311.6632</v>
      </c>
      <c r="H297" s="7"/>
    </row>
    <row r="298" customFormat="false" ht="15" hidden="false" customHeight="false" outlineLevel="1" collapsed="false">
      <c r="A298" s="7"/>
      <c r="B298" s="29" t="s">
        <v>119</v>
      </c>
      <c r="C298" s="30" t="s">
        <v>120</v>
      </c>
      <c r="D298" s="29"/>
      <c r="E298" s="31" t="n">
        <v>31.2</v>
      </c>
      <c r="F298" s="7"/>
      <c r="G298" s="32" t="n">
        <f aca="false">E298*$F$282</f>
        <v>44990.4</v>
      </c>
      <c r="H298" s="7"/>
    </row>
    <row r="299" customFormat="false" ht="15" hidden="false" customHeight="false" outlineLevel="1" collapsed="false">
      <c r="A299" s="7"/>
      <c r="B299" s="29" t="s">
        <v>119</v>
      </c>
      <c r="C299" s="30" t="s">
        <v>130</v>
      </c>
      <c r="D299" s="29"/>
      <c r="E299" s="31" t="n">
        <v>62.4</v>
      </c>
      <c r="F299" s="7"/>
      <c r="G299" s="32" t="n">
        <f aca="false">E299*$F$282</f>
        <v>89980.8</v>
      </c>
      <c r="H299" s="7"/>
    </row>
    <row r="300" customFormat="false" ht="15" hidden="false" customHeight="false" outlineLevel="0" collapsed="false">
      <c r="A300" s="23" t="n">
        <v>65</v>
      </c>
      <c r="B300" s="23" t="s">
        <v>306</v>
      </c>
      <c r="C300" s="24" t="s">
        <v>89</v>
      </c>
      <c r="D300" s="23" t="s">
        <v>90</v>
      </c>
      <c r="E300" s="34"/>
      <c r="F300" s="34"/>
      <c r="G300" s="27" t="n">
        <f aca="false">SUM(G301:G347)</f>
        <v>187967633.071291</v>
      </c>
      <c r="H300" s="28" t="s">
        <v>307</v>
      </c>
    </row>
    <row r="301" customFormat="false" ht="15" hidden="false" customHeight="false" outlineLevel="1" collapsed="false">
      <c r="A301" s="7"/>
      <c r="B301" s="29" t="s">
        <v>301</v>
      </c>
      <c r="C301" s="30" t="s">
        <v>302</v>
      </c>
      <c r="D301" s="29" t="s">
        <v>90</v>
      </c>
      <c r="E301" s="31" t="n">
        <v>0.2</v>
      </c>
      <c r="F301" s="7"/>
      <c r="G301" s="35" t="n">
        <v>1042727.112</v>
      </c>
      <c r="H301" s="7"/>
    </row>
    <row r="302" customFormat="false" ht="15" hidden="false" customHeight="false" outlineLevel="1" collapsed="false">
      <c r="A302" s="7"/>
      <c r="B302" s="29" t="s">
        <v>249</v>
      </c>
      <c r="C302" s="30" t="s">
        <v>250</v>
      </c>
      <c r="D302" s="29" t="s">
        <v>90</v>
      </c>
      <c r="E302" s="31" t="n">
        <v>0.2</v>
      </c>
      <c r="F302" s="7"/>
      <c r="G302" s="35" t="n">
        <v>14017.08</v>
      </c>
      <c r="H302" s="7"/>
    </row>
    <row r="303" customFormat="false" ht="15" hidden="false" customHeight="false" outlineLevel="1" collapsed="false">
      <c r="A303" s="7"/>
      <c r="B303" s="29" t="s">
        <v>265</v>
      </c>
      <c r="C303" s="30" t="s">
        <v>266</v>
      </c>
      <c r="D303" s="29" t="s">
        <v>90</v>
      </c>
      <c r="E303" s="31" t="n">
        <v>5</v>
      </c>
      <c r="F303" s="7"/>
      <c r="G303" s="35" t="n">
        <v>234211.9544376</v>
      </c>
      <c r="H303" s="7"/>
    </row>
    <row r="304" customFormat="false" ht="23.85" hidden="false" customHeight="false" outlineLevel="1" collapsed="false">
      <c r="A304" s="7"/>
      <c r="B304" s="29" t="s">
        <v>133</v>
      </c>
      <c r="C304" s="30" t="s">
        <v>134</v>
      </c>
      <c r="D304" s="29" t="s">
        <v>90</v>
      </c>
      <c r="E304" s="31" t="n">
        <v>5</v>
      </c>
      <c r="F304" s="7"/>
      <c r="G304" s="35" t="n">
        <v>15900540.9240893</v>
      </c>
      <c r="H304" s="7"/>
    </row>
    <row r="305" customFormat="false" ht="23.85" hidden="false" customHeight="false" outlineLevel="1" collapsed="false">
      <c r="A305" s="7"/>
      <c r="B305" s="29" t="s">
        <v>135</v>
      </c>
      <c r="C305" s="30" t="s">
        <v>136</v>
      </c>
      <c r="D305" s="29" t="s">
        <v>90</v>
      </c>
      <c r="E305" s="31" t="n">
        <v>1</v>
      </c>
      <c r="F305" s="7"/>
      <c r="G305" s="35" t="n">
        <v>49310483.2963947</v>
      </c>
      <c r="H305" s="7"/>
    </row>
    <row r="306" customFormat="false" ht="15" hidden="false" customHeight="false" outlineLevel="1" collapsed="false">
      <c r="A306" s="7"/>
      <c r="B306" s="29" t="s">
        <v>267</v>
      </c>
      <c r="C306" s="30" t="s">
        <v>268</v>
      </c>
      <c r="D306" s="29" t="s">
        <v>90</v>
      </c>
      <c r="E306" s="31" t="n">
        <v>5</v>
      </c>
      <c r="F306" s="7"/>
      <c r="G306" s="35" t="n">
        <v>5541631.7660515</v>
      </c>
      <c r="H306" s="7"/>
    </row>
    <row r="307" customFormat="false" ht="23.85" hidden="false" customHeight="false" outlineLevel="1" collapsed="false">
      <c r="A307" s="7"/>
      <c r="B307" s="29" t="s">
        <v>135</v>
      </c>
      <c r="C307" s="30" t="s">
        <v>320</v>
      </c>
      <c r="D307" s="29" t="s">
        <v>90</v>
      </c>
      <c r="E307" s="31" t="n">
        <v>1</v>
      </c>
      <c r="F307" s="7"/>
      <c r="G307" s="35" t="n">
        <v>839815.039445235</v>
      </c>
      <c r="H307" s="7"/>
    </row>
    <row r="308" customFormat="false" ht="15" hidden="false" customHeight="false" outlineLevel="1" collapsed="false">
      <c r="A308" s="7"/>
      <c r="B308" s="29" t="s">
        <v>267</v>
      </c>
      <c r="C308" s="30" t="s">
        <v>351</v>
      </c>
      <c r="D308" s="29" t="s">
        <v>90</v>
      </c>
      <c r="E308" s="31" t="n">
        <v>5</v>
      </c>
      <c r="F308" s="7"/>
      <c r="G308" s="35" t="n">
        <v>109837.99712725</v>
      </c>
      <c r="H308" s="7"/>
    </row>
    <row r="309" customFormat="false" ht="23.85" hidden="false" customHeight="false" outlineLevel="1" collapsed="false">
      <c r="A309" s="7"/>
      <c r="B309" s="29" t="s">
        <v>135</v>
      </c>
      <c r="C309" s="30" t="s">
        <v>321</v>
      </c>
      <c r="D309" s="29" t="s">
        <v>90</v>
      </c>
      <c r="E309" s="31" t="n">
        <v>1</v>
      </c>
      <c r="F309" s="7"/>
      <c r="G309" s="35" t="n">
        <v>517737.713425012</v>
      </c>
      <c r="H309" s="7"/>
    </row>
    <row r="310" customFormat="false" ht="15" hidden="false" customHeight="false" outlineLevel="1" collapsed="false">
      <c r="A310" s="7"/>
      <c r="B310" s="29" t="s">
        <v>267</v>
      </c>
      <c r="C310" s="30" t="s">
        <v>352</v>
      </c>
      <c r="D310" s="29" t="s">
        <v>90</v>
      </c>
      <c r="E310" s="31" t="n">
        <v>5</v>
      </c>
      <c r="F310" s="7"/>
      <c r="G310" s="35" t="n">
        <v>67720.54251025</v>
      </c>
      <c r="H310" s="7"/>
    </row>
    <row r="311" customFormat="false" ht="23.85" hidden="false" customHeight="false" outlineLevel="1" collapsed="false">
      <c r="A311" s="7"/>
      <c r="B311" s="29" t="s">
        <v>135</v>
      </c>
      <c r="C311" s="30" t="s">
        <v>137</v>
      </c>
      <c r="D311" s="29" t="s">
        <v>90</v>
      </c>
      <c r="E311" s="31" t="n">
        <v>1</v>
      </c>
      <c r="F311" s="7"/>
      <c r="G311" s="35" t="n">
        <v>10863471.2757527</v>
      </c>
      <c r="H311" s="7"/>
    </row>
    <row r="312" customFormat="false" ht="15" hidden="false" customHeight="false" outlineLevel="1" collapsed="false">
      <c r="A312" s="7"/>
      <c r="B312" s="29" t="s">
        <v>267</v>
      </c>
      <c r="C312" s="30" t="s">
        <v>269</v>
      </c>
      <c r="D312" s="29" t="s">
        <v>90</v>
      </c>
      <c r="E312" s="31" t="n">
        <v>5</v>
      </c>
      <c r="F312" s="7"/>
      <c r="G312" s="35" t="n">
        <v>950686.95905225</v>
      </c>
      <c r="H312" s="7"/>
    </row>
    <row r="313" customFormat="false" ht="23.85" hidden="false" customHeight="false" outlineLevel="1" collapsed="false">
      <c r="A313" s="7"/>
      <c r="B313" s="29" t="s">
        <v>135</v>
      </c>
      <c r="C313" s="30" t="s">
        <v>138</v>
      </c>
      <c r="D313" s="29" t="s">
        <v>90</v>
      </c>
      <c r="E313" s="31" t="n">
        <v>1</v>
      </c>
      <c r="F313" s="7"/>
      <c r="G313" s="35" t="n">
        <v>2991189.93550063</v>
      </c>
      <c r="H313" s="7"/>
    </row>
    <row r="314" customFormat="false" ht="15" hidden="false" customHeight="false" outlineLevel="1" collapsed="false">
      <c r="A314" s="7"/>
      <c r="B314" s="29" t="s">
        <v>267</v>
      </c>
      <c r="C314" s="30" t="s">
        <v>270</v>
      </c>
      <c r="D314" s="29" t="s">
        <v>90</v>
      </c>
      <c r="E314" s="31" t="n">
        <v>5</v>
      </c>
      <c r="F314" s="7"/>
      <c r="G314" s="35" t="n">
        <v>363010.868976</v>
      </c>
      <c r="H314" s="7"/>
    </row>
    <row r="315" customFormat="false" ht="23.85" hidden="false" customHeight="false" outlineLevel="1" collapsed="false">
      <c r="A315" s="7"/>
      <c r="B315" s="29" t="s">
        <v>135</v>
      </c>
      <c r="C315" s="30" t="s">
        <v>138</v>
      </c>
      <c r="D315" s="29" t="s">
        <v>90</v>
      </c>
      <c r="E315" s="31" t="n">
        <v>1</v>
      </c>
      <c r="F315" s="7"/>
      <c r="G315" s="35" t="n">
        <v>2924741.63510277</v>
      </c>
      <c r="H315" s="7"/>
    </row>
    <row r="316" customFormat="false" ht="15" hidden="false" customHeight="false" outlineLevel="1" collapsed="false">
      <c r="A316" s="7"/>
      <c r="B316" s="29" t="s">
        <v>267</v>
      </c>
      <c r="C316" s="30" t="s">
        <v>270</v>
      </c>
      <c r="D316" s="29" t="s">
        <v>90</v>
      </c>
      <c r="E316" s="31" t="n">
        <v>5</v>
      </c>
      <c r="F316" s="7"/>
      <c r="G316" s="35" t="n">
        <v>356161.997702</v>
      </c>
      <c r="H316" s="7"/>
    </row>
    <row r="317" customFormat="false" ht="15" hidden="false" customHeight="false" outlineLevel="1" collapsed="false">
      <c r="A317" s="7"/>
      <c r="B317" s="29" t="s">
        <v>154</v>
      </c>
      <c r="C317" s="30" t="s">
        <v>155</v>
      </c>
      <c r="D317" s="29" t="s">
        <v>90</v>
      </c>
      <c r="E317" s="31" t="n">
        <v>1</v>
      </c>
      <c r="F317" s="7"/>
      <c r="G317" s="35" t="n">
        <v>1669424.860935</v>
      </c>
      <c r="H317" s="7"/>
    </row>
    <row r="318" customFormat="false" ht="15" hidden="false" customHeight="false" outlineLevel="1" collapsed="false">
      <c r="A318" s="7"/>
      <c r="B318" s="29" t="s">
        <v>272</v>
      </c>
      <c r="C318" s="30" t="s">
        <v>273</v>
      </c>
      <c r="D318" s="29" t="s">
        <v>90</v>
      </c>
      <c r="E318" s="31" t="n">
        <v>5</v>
      </c>
      <c r="F318" s="7"/>
      <c r="G318" s="35" t="n">
        <v>22888.755325</v>
      </c>
      <c r="H318" s="7"/>
    </row>
    <row r="319" customFormat="false" ht="15" hidden="false" customHeight="false" outlineLevel="1" collapsed="false">
      <c r="A319" s="7"/>
      <c r="B319" s="29" t="s">
        <v>141</v>
      </c>
      <c r="C319" s="30" t="s">
        <v>142</v>
      </c>
      <c r="D319" s="29" t="s">
        <v>90</v>
      </c>
      <c r="E319" s="31" t="n">
        <v>5</v>
      </c>
      <c r="F319" s="7"/>
      <c r="G319" s="35" t="n">
        <v>8051338.20184298</v>
      </c>
      <c r="H319" s="7"/>
    </row>
    <row r="320" customFormat="false" ht="15" hidden="false" customHeight="false" outlineLevel="1" collapsed="false">
      <c r="A320" s="7"/>
      <c r="B320" s="29" t="s">
        <v>141</v>
      </c>
      <c r="C320" s="30" t="s">
        <v>142</v>
      </c>
      <c r="D320" s="29" t="s">
        <v>90</v>
      </c>
      <c r="E320" s="31" t="n">
        <v>5</v>
      </c>
      <c r="F320" s="7"/>
      <c r="G320" s="35" t="n">
        <v>9116075.08855582</v>
      </c>
      <c r="H320" s="7"/>
    </row>
    <row r="321" customFormat="false" ht="15" hidden="false" customHeight="false" outlineLevel="1" collapsed="false">
      <c r="A321" s="7"/>
      <c r="B321" s="29" t="s">
        <v>265</v>
      </c>
      <c r="C321" s="30" t="s">
        <v>274</v>
      </c>
      <c r="D321" s="29" t="s">
        <v>90</v>
      </c>
      <c r="E321" s="31" t="n">
        <v>5</v>
      </c>
      <c r="F321" s="7"/>
      <c r="G321" s="35" t="n">
        <v>503068.38683825</v>
      </c>
      <c r="H321" s="7"/>
    </row>
    <row r="322" customFormat="false" ht="23.85" hidden="false" customHeight="false" outlineLevel="1" collapsed="false">
      <c r="A322" s="7"/>
      <c r="B322" s="29" t="s">
        <v>143</v>
      </c>
      <c r="C322" s="30" t="s">
        <v>144</v>
      </c>
      <c r="D322" s="29" t="s">
        <v>90</v>
      </c>
      <c r="E322" s="31" t="n">
        <v>5</v>
      </c>
      <c r="F322" s="7"/>
      <c r="G322" s="35" t="n">
        <v>10184925.1972372</v>
      </c>
      <c r="H322" s="7"/>
    </row>
    <row r="323" customFormat="false" ht="15" hidden="false" customHeight="false" outlineLevel="1" collapsed="false">
      <c r="A323" s="7"/>
      <c r="B323" s="29" t="s">
        <v>265</v>
      </c>
      <c r="C323" s="30" t="s">
        <v>275</v>
      </c>
      <c r="D323" s="29" t="s">
        <v>90</v>
      </c>
      <c r="E323" s="31" t="n">
        <v>5</v>
      </c>
      <c r="F323" s="7"/>
      <c r="G323" s="35" t="n">
        <v>70692.0228333</v>
      </c>
      <c r="H323" s="7"/>
    </row>
    <row r="324" customFormat="false" ht="15" hidden="false" customHeight="false" outlineLevel="1" collapsed="false">
      <c r="A324" s="7"/>
      <c r="B324" s="29" t="s">
        <v>145</v>
      </c>
      <c r="C324" s="30" t="s">
        <v>146</v>
      </c>
      <c r="D324" s="29" t="s">
        <v>90</v>
      </c>
      <c r="E324" s="31" t="n">
        <v>1</v>
      </c>
      <c r="F324" s="7"/>
      <c r="G324" s="35" t="n">
        <v>379474.106754503</v>
      </c>
      <c r="H324" s="7"/>
    </row>
    <row r="325" customFormat="false" ht="15" hidden="false" customHeight="false" outlineLevel="1" collapsed="false">
      <c r="A325" s="7"/>
      <c r="B325" s="29" t="s">
        <v>265</v>
      </c>
      <c r="C325" s="30" t="s">
        <v>276</v>
      </c>
      <c r="D325" s="29" t="s">
        <v>90</v>
      </c>
      <c r="E325" s="31" t="n">
        <v>5</v>
      </c>
      <c r="F325" s="7"/>
      <c r="G325" s="35" t="n">
        <v>449889.64557875</v>
      </c>
      <c r="H325" s="7"/>
    </row>
    <row r="326" customFormat="false" ht="15" hidden="false" customHeight="false" outlineLevel="1" collapsed="false">
      <c r="A326" s="7"/>
      <c r="B326" s="29" t="s">
        <v>267</v>
      </c>
      <c r="C326" s="30" t="s">
        <v>277</v>
      </c>
      <c r="D326" s="29" t="s">
        <v>90</v>
      </c>
      <c r="E326" s="31" t="n">
        <v>5</v>
      </c>
      <c r="F326" s="7"/>
      <c r="G326" s="35" t="n">
        <v>15790.16583375</v>
      </c>
      <c r="H326" s="7"/>
    </row>
    <row r="327" customFormat="false" ht="23.85" hidden="false" customHeight="false" outlineLevel="1" collapsed="false">
      <c r="A327" s="7"/>
      <c r="B327" s="29" t="s">
        <v>147</v>
      </c>
      <c r="C327" s="30" t="s">
        <v>148</v>
      </c>
      <c r="D327" s="29" t="s">
        <v>90</v>
      </c>
      <c r="E327" s="31" t="n">
        <v>0.5</v>
      </c>
      <c r="F327" s="7"/>
      <c r="G327" s="35" t="n">
        <v>80252.711697886</v>
      </c>
      <c r="H327" s="7"/>
    </row>
    <row r="328" customFormat="false" ht="15" hidden="false" customHeight="false" outlineLevel="1" collapsed="false">
      <c r="A328" s="7"/>
      <c r="B328" s="29" t="s">
        <v>219</v>
      </c>
      <c r="C328" s="30" t="s">
        <v>220</v>
      </c>
      <c r="D328" s="29" t="s">
        <v>90</v>
      </c>
      <c r="E328" s="31" t="n">
        <v>0.5</v>
      </c>
      <c r="F328" s="7"/>
      <c r="G328" s="35" t="n">
        <v>2896.3391038</v>
      </c>
      <c r="H328" s="7"/>
    </row>
    <row r="329" customFormat="false" ht="15" hidden="false" customHeight="false" outlineLevel="1" collapsed="false">
      <c r="A329" s="7"/>
      <c r="B329" s="29" t="s">
        <v>272</v>
      </c>
      <c r="C329" s="30" t="s">
        <v>273</v>
      </c>
      <c r="D329" s="29" t="s">
        <v>90</v>
      </c>
      <c r="E329" s="31" t="n">
        <v>5</v>
      </c>
      <c r="F329" s="7"/>
      <c r="G329" s="35" t="n">
        <v>2912.673</v>
      </c>
      <c r="H329" s="7"/>
    </row>
    <row r="330" customFormat="false" ht="15" hidden="false" customHeight="false" outlineLevel="1" collapsed="false">
      <c r="A330" s="7"/>
      <c r="B330" s="29" t="s">
        <v>251</v>
      </c>
      <c r="C330" s="30" t="s">
        <v>250</v>
      </c>
      <c r="D330" s="29" t="s">
        <v>90</v>
      </c>
      <c r="E330" s="31" t="n">
        <v>0.2</v>
      </c>
      <c r="F330" s="7"/>
      <c r="G330" s="35" t="n">
        <v>43566.6</v>
      </c>
      <c r="H330" s="7"/>
    </row>
    <row r="331" customFormat="false" ht="15" hidden="false" customHeight="false" outlineLevel="1" collapsed="false">
      <c r="A331" s="7"/>
      <c r="B331" s="29" t="s">
        <v>251</v>
      </c>
      <c r="C331" s="30" t="s">
        <v>250</v>
      </c>
      <c r="D331" s="29" t="s">
        <v>90</v>
      </c>
      <c r="E331" s="31" t="n">
        <v>0.2</v>
      </c>
      <c r="F331" s="7"/>
      <c r="G331" s="35" t="n">
        <v>10594.276</v>
      </c>
      <c r="H331" s="7"/>
    </row>
    <row r="332" customFormat="false" ht="23.85" hidden="false" customHeight="false" outlineLevel="1" collapsed="false">
      <c r="A332" s="7"/>
      <c r="B332" s="29" t="s">
        <v>168</v>
      </c>
      <c r="C332" s="30" t="s">
        <v>169</v>
      </c>
      <c r="D332" s="29" t="s">
        <v>90</v>
      </c>
      <c r="E332" s="31" t="n">
        <v>0.01</v>
      </c>
      <c r="F332" s="7"/>
      <c r="G332" s="35" t="n">
        <v>24545.9251</v>
      </c>
      <c r="H332" s="7"/>
    </row>
    <row r="333" customFormat="false" ht="23.85" hidden="false" customHeight="false" outlineLevel="1" collapsed="false">
      <c r="A333" s="7"/>
      <c r="B333" s="29" t="s">
        <v>166</v>
      </c>
      <c r="C333" s="30" t="s">
        <v>167</v>
      </c>
      <c r="D333" s="29" t="s">
        <v>90</v>
      </c>
      <c r="E333" s="31" t="n">
        <v>0.01</v>
      </c>
      <c r="F333" s="7"/>
      <c r="G333" s="35" t="n">
        <v>65.902542</v>
      </c>
      <c r="H333" s="7"/>
    </row>
    <row r="334" customFormat="false" ht="15" hidden="false" customHeight="false" outlineLevel="1" collapsed="false">
      <c r="A334" s="7"/>
      <c r="B334" s="29" t="s">
        <v>156</v>
      </c>
      <c r="C334" s="30" t="s">
        <v>155</v>
      </c>
      <c r="D334" s="29" t="s">
        <v>90</v>
      </c>
      <c r="E334" s="31" t="n">
        <v>1</v>
      </c>
      <c r="F334" s="7"/>
      <c r="G334" s="35" t="n">
        <v>350172.044001</v>
      </c>
      <c r="H334" s="7"/>
    </row>
    <row r="335" customFormat="false" ht="15" hidden="false" customHeight="false" outlineLevel="1" collapsed="false">
      <c r="A335" s="7"/>
      <c r="B335" s="29" t="s">
        <v>152</v>
      </c>
      <c r="C335" s="30" t="s">
        <v>153</v>
      </c>
      <c r="D335" s="29" t="s">
        <v>90</v>
      </c>
      <c r="E335" s="31" t="n">
        <v>1</v>
      </c>
      <c r="F335" s="7"/>
      <c r="G335" s="35" t="n">
        <v>1382940.86695037</v>
      </c>
      <c r="H335" s="7"/>
    </row>
    <row r="336" customFormat="false" ht="15" hidden="false" customHeight="false" outlineLevel="1" collapsed="false">
      <c r="A336" s="7"/>
      <c r="B336" s="29" t="s">
        <v>172</v>
      </c>
      <c r="C336" s="30" t="s">
        <v>173</v>
      </c>
      <c r="D336" s="29" t="s">
        <v>90</v>
      </c>
      <c r="E336" s="31" t="n">
        <v>5</v>
      </c>
      <c r="F336" s="7"/>
      <c r="G336" s="35" t="n">
        <v>518694.458561</v>
      </c>
      <c r="H336" s="7"/>
    </row>
    <row r="337" customFormat="false" ht="15" hidden="false" customHeight="false" outlineLevel="1" collapsed="false">
      <c r="A337" s="7"/>
      <c r="B337" s="29" t="s">
        <v>172</v>
      </c>
      <c r="C337" s="30" t="s">
        <v>173</v>
      </c>
      <c r="D337" s="29" t="s">
        <v>90</v>
      </c>
      <c r="E337" s="31" t="n">
        <v>5</v>
      </c>
      <c r="F337" s="7"/>
      <c r="G337" s="35" t="n">
        <v>487574.5332405</v>
      </c>
      <c r="H337" s="7"/>
    </row>
    <row r="338" customFormat="false" ht="23.85" hidden="false" customHeight="false" outlineLevel="1" collapsed="false">
      <c r="A338" s="7"/>
      <c r="B338" s="29" t="s">
        <v>325</v>
      </c>
      <c r="C338" s="30" t="s">
        <v>326</v>
      </c>
      <c r="D338" s="29" t="s">
        <v>90</v>
      </c>
      <c r="E338" s="31" t="n">
        <v>5</v>
      </c>
      <c r="F338" s="7"/>
      <c r="G338" s="35" t="n">
        <v>22405198.795967</v>
      </c>
      <c r="H338" s="7"/>
    </row>
    <row r="339" customFormat="false" ht="23.85" hidden="false" customHeight="false" outlineLevel="1" collapsed="false">
      <c r="A339" s="7"/>
      <c r="B339" s="29" t="s">
        <v>325</v>
      </c>
      <c r="C339" s="30" t="s">
        <v>327</v>
      </c>
      <c r="D339" s="29" t="s">
        <v>90</v>
      </c>
      <c r="E339" s="31" t="n">
        <v>5</v>
      </c>
      <c r="F339" s="7"/>
      <c r="G339" s="35" t="n">
        <v>9199642.576033</v>
      </c>
      <c r="H339" s="7"/>
    </row>
    <row r="340" customFormat="false" ht="23.85" hidden="false" customHeight="false" outlineLevel="1" collapsed="false">
      <c r="A340" s="7"/>
      <c r="B340" s="29" t="s">
        <v>325</v>
      </c>
      <c r="C340" s="30" t="s">
        <v>326</v>
      </c>
      <c r="D340" s="29" t="s">
        <v>90</v>
      </c>
      <c r="E340" s="31" t="n">
        <v>5</v>
      </c>
      <c r="F340" s="7"/>
      <c r="G340" s="35" t="n">
        <v>8653142.1939755</v>
      </c>
      <c r="H340" s="7"/>
    </row>
    <row r="341" customFormat="false" ht="23.85" hidden="false" customHeight="false" outlineLevel="1" collapsed="false">
      <c r="A341" s="7"/>
      <c r="B341" s="29" t="s">
        <v>325</v>
      </c>
      <c r="C341" s="30" t="s">
        <v>327</v>
      </c>
      <c r="D341" s="29" t="s">
        <v>90</v>
      </c>
      <c r="E341" s="31" t="n">
        <v>5</v>
      </c>
      <c r="F341" s="7"/>
      <c r="G341" s="35" t="n">
        <v>3988794.3548245</v>
      </c>
      <c r="H341" s="7"/>
    </row>
    <row r="342" customFormat="false" ht="23.85" hidden="false" customHeight="false" outlineLevel="1" collapsed="false">
      <c r="A342" s="7"/>
      <c r="B342" s="29" t="s">
        <v>139</v>
      </c>
      <c r="C342" s="30" t="s">
        <v>322</v>
      </c>
      <c r="D342" s="29" t="s">
        <v>90</v>
      </c>
      <c r="E342" s="31" t="n">
        <v>1</v>
      </c>
      <c r="F342" s="7"/>
      <c r="G342" s="35" t="n">
        <v>161606.528172863</v>
      </c>
      <c r="H342" s="7"/>
    </row>
    <row r="343" customFormat="false" ht="23.85" hidden="false" customHeight="false" outlineLevel="1" collapsed="false">
      <c r="A343" s="7"/>
      <c r="B343" s="29" t="s">
        <v>328</v>
      </c>
      <c r="C343" s="30" t="s">
        <v>329</v>
      </c>
      <c r="D343" s="29" t="s">
        <v>90</v>
      </c>
      <c r="E343" s="31" t="n">
        <v>5</v>
      </c>
      <c r="F343" s="7"/>
      <c r="G343" s="35" t="n">
        <v>57248.06046575</v>
      </c>
      <c r="H343" s="7"/>
    </row>
    <row r="344" customFormat="false" ht="15" hidden="false" customHeight="false" outlineLevel="1" collapsed="false">
      <c r="A344" s="7"/>
      <c r="B344" s="29" t="s">
        <v>311</v>
      </c>
      <c r="C344" s="30" t="s">
        <v>312</v>
      </c>
      <c r="D344" s="29" t="s">
        <v>90</v>
      </c>
      <c r="E344" s="31" t="n">
        <v>1</v>
      </c>
      <c r="F344" s="7"/>
      <c r="G344" s="35" t="n">
        <v>5976.13785411</v>
      </c>
      <c r="H344" s="7"/>
    </row>
    <row r="345" customFormat="false" ht="15" hidden="false" customHeight="false" outlineLevel="1" collapsed="false">
      <c r="A345" s="7"/>
      <c r="B345" s="29" t="s">
        <v>343</v>
      </c>
      <c r="C345" s="30" t="s">
        <v>344</v>
      </c>
      <c r="D345" s="29" t="s">
        <v>90</v>
      </c>
      <c r="E345" s="31" t="n">
        <v>5</v>
      </c>
      <c r="F345" s="7"/>
      <c r="G345" s="35" t="n">
        <v>16714.932</v>
      </c>
      <c r="H345" s="7"/>
    </row>
    <row r="346" customFormat="false" ht="15" hidden="false" customHeight="false" outlineLevel="1" collapsed="false">
      <c r="A346" s="7"/>
      <c r="B346" s="29" t="s">
        <v>123</v>
      </c>
      <c r="C346" s="30" t="s">
        <v>257</v>
      </c>
      <c r="D346" s="29" t="s">
        <v>90</v>
      </c>
      <c r="E346" s="31" t="n">
        <v>1</v>
      </c>
      <c r="F346" s="7"/>
      <c r="G346" s="35" t="n">
        <v>18074750</v>
      </c>
      <c r="H346" s="7"/>
    </row>
    <row r="347" customFormat="false" ht="15" hidden="false" customHeight="false" outlineLevel="1" collapsed="false">
      <c r="A347" s="7"/>
      <c r="B347" s="29" t="s">
        <v>123</v>
      </c>
      <c r="C347" s="30" t="s">
        <v>159</v>
      </c>
      <c r="D347" s="29" t="s">
        <v>90</v>
      </c>
      <c r="E347" s="31" t="n">
        <v>5</v>
      </c>
      <c r="F347" s="7"/>
      <c r="G347" s="35" t="n">
        <v>8790.6325</v>
      </c>
      <c r="H347" s="7"/>
    </row>
    <row r="348" customFormat="false" ht="15" hidden="false" customHeight="true" outlineLevel="0" collapsed="false">
      <c r="A348" s="12" t="s">
        <v>91</v>
      </c>
      <c r="B348" s="12"/>
      <c r="C348" s="12"/>
      <c r="D348" s="12"/>
      <c r="E348" s="12"/>
      <c r="F348" s="12"/>
      <c r="G348" s="13" t="n">
        <f aca="false">SUMIFS(G6:G347,H6:H347,"?*")</f>
        <v>23046755989.3785</v>
      </c>
      <c r="H348" s="14"/>
    </row>
    <row r="349" customFormat="false" ht="30" hidden="false" customHeight="true" outlineLevel="0" collapsed="false">
      <c r="A349" s="22" t="s">
        <v>114</v>
      </c>
      <c r="B349" s="22"/>
      <c r="C349" s="22"/>
      <c r="D349" s="22"/>
      <c r="E349" s="22"/>
      <c r="F349" s="22"/>
      <c r="G349" s="22"/>
      <c r="H349" s="22"/>
    </row>
  </sheetData>
  <mergeCells count="5">
    <mergeCell ref="A1:H1"/>
    <mergeCell ref="A2:H2"/>
    <mergeCell ref="A3:H3"/>
    <mergeCell ref="A348:F348"/>
    <mergeCell ref="A349:H3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7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62"/>
    <col collapsed="false" customWidth="true" hidden="false" outlineLevel="0" max="4" min="4" style="0" width="10"/>
    <col collapsed="false" customWidth="true" hidden="false" outlineLevel="0" max="5" min="5" style="0" width="15"/>
    <col collapsed="false" customWidth="true" hidden="false" outlineLevel="0" max="6" min="6" style="0" width="14"/>
    <col collapsed="false" customWidth="true" hidden="false" outlineLevel="0" max="7" min="7" style="0" width="18"/>
    <col collapsed="false" customWidth="true" hidden="true" outlineLevel="0" max="8" min="8" style="0" width="30"/>
  </cols>
  <sheetData>
    <row r="1" customFormat="false" ht="17.35" hidden="false" customHeight="true" outlineLevel="0" collapsed="false">
      <c r="A1" s="1" t="s">
        <v>354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true" outlineLevel="0" collapsed="false">
      <c r="A3" s="3" t="s">
        <v>116</v>
      </c>
      <c r="B3" s="3"/>
      <c r="C3" s="3"/>
      <c r="D3" s="3"/>
      <c r="E3" s="3"/>
      <c r="F3" s="3"/>
      <c r="G3" s="3"/>
      <c r="H3" s="3"/>
    </row>
    <row r="5" customFormat="false" ht="31.5" hidden="false" customHeight="true" outlineLevel="0" collapsed="false">
      <c r="A5" s="4" t="s">
        <v>3</v>
      </c>
      <c r="B5" s="4" t="s">
        <v>102</v>
      </c>
      <c r="C5" s="4" t="s">
        <v>103</v>
      </c>
      <c r="D5" s="4" t="s">
        <v>5</v>
      </c>
      <c r="E5" s="4" t="s">
        <v>104</v>
      </c>
      <c r="F5" s="4" t="s">
        <v>105</v>
      </c>
      <c r="G5" s="4" t="s">
        <v>7</v>
      </c>
      <c r="H5" s="4" t="s">
        <v>106</v>
      </c>
    </row>
    <row r="6" customFormat="false" ht="15" hidden="false" customHeight="false" outlineLevel="0" collapsed="false">
      <c r="A6" s="23" t="n">
        <v>1</v>
      </c>
      <c r="B6" s="23" t="s">
        <v>117</v>
      </c>
      <c r="C6" s="24" t="s">
        <v>17</v>
      </c>
      <c r="D6" s="23" t="s">
        <v>18</v>
      </c>
      <c r="E6" s="25" t="n">
        <f aca="false">SUM(E7:E7)</f>
        <v>468.425</v>
      </c>
      <c r="F6" s="26" t="n">
        <v>525000</v>
      </c>
      <c r="G6" s="27" t="n">
        <f aca="false">E6*F6</f>
        <v>245923125</v>
      </c>
      <c r="H6" s="28" t="s">
        <v>118</v>
      </c>
    </row>
    <row r="7" customFormat="false" ht="15" hidden="false" customHeight="false" outlineLevel="1" collapsed="false">
      <c r="A7" s="7"/>
      <c r="B7" s="29" t="s">
        <v>119</v>
      </c>
      <c r="C7" s="30" t="s">
        <v>120</v>
      </c>
      <c r="D7" s="29"/>
      <c r="E7" s="31" t="n">
        <v>468.425</v>
      </c>
      <c r="F7" s="7"/>
      <c r="G7" s="32" t="n">
        <f aca="false">E7*$F$6</f>
        <v>245923125</v>
      </c>
      <c r="H7" s="7"/>
    </row>
    <row r="8" customFormat="false" ht="15" hidden="false" customHeight="false" outlineLevel="0" collapsed="false">
      <c r="A8" s="23" t="n">
        <v>2</v>
      </c>
      <c r="B8" s="23" t="s">
        <v>121</v>
      </c>
      <c r="C8" s="24" t="s">
        <v>19</v>
      </c>
      <c r="D8" s="23" t="s">
        <v>20</v>
      </c>
      <c r="E8" s="25" t="n">
        <f aca="false">SUM(E9:E9)</f>
        <v>9113.47390235588</v>
      </c>
      <c r="F8" s="26" t="n">
        <v>721</v>
      </c>
      <c r="G8" s="27" t="n">
        <f aca="false">E8*F8</f>
        <v>6570814.68359859</v>
      </c>
      <c r="H8" s="28" t="s">
        <v>122</v>
      </c>
    </row>
    <row r="9" customFormat="false" ht="15" hidden="false" customHeight="false" outlineLevel="1" collapsed="false">
      <c r="A9" s="7"/>
      <c r="B9" s="29" t="s">
        <v>123</v>
      </c>
      <c r="C9" s="30" t="s">
        <v>124</v>
      </c>
      <c r="D9" s="29"/>
      <c r="E9" s="31" t="n">
        <v>9113.47390235588</v>
      </c>
      <c r="F9" s="7"/>
      <c r="G9" s="32" t="n">
        <f aca="false">E9*$F$8</f>
        <v>6570814.68359859</v>
      </c>
      <c r="H9" s="7"/>
    </row>
    <row r="10" customFormat="false" ht="15" hidden="false" customHeight="false" outlineLevel="0" collapsed="false">
      <c r="A10" s="23" t="n">
        <v>3</v>
      </c>
      <c r="B10" s="23" t="s">
        <v>313</v>
      </c>
      <c r="C10" s="24" t="s">
        <v>23</v>
      </c>
      <c r="D10" s="23" t="s">
        <v>24</v>
      </c>
      <c r="E10" s="25" t="n">
        <f aca="false">SUM(E11:E11)</f>
        <v>236.6038</v>
      </c>
      <c r="F10" s="26" t="n">
        <v>347961</v>
      </c>
      <c r="G10" s="27" t="n">
        <f aca="false">E10*F10</f>
        <v>82328894.8518</v>
      </c>
      <c r="H10" s="28" t="s">
        <v>314</v>
      </c>
    </row>
    <row r="11" customFormat="false" ht="15" hidden="false" customHeight="false" outlineLevel="1" collapsed="false">
      <c r="A11" s="7"/>
      <c r="B11" s="29" t="s">
        <v>315</v>
      </c>
      <c r="C11" s="30" t="s">
        <v>316</v>
      </c>
      <c r="D11" s="29"/>
      <c r="E11" s="31" t="n">
        <v>236.6038</v>
      </c>
      <c r="F11" s="7"/>
      <c r="G11" s="32" t="n">
        <f aca="false">E11*$F$10</f>
        <v>82328894.8518</v>
      </c>
      <c r="H11" s="7"/>
    </row>
    <row r="12" customFormat="false" ht="15" hidden="false" customHeight="false" outlineLevel="0" collapsed="false">
      <c r="A12" s="23" t="n">
        <v>4</v>
      </c>
      <c r="B12" s="23" t="s">
        <v>313</v>
      </c>
      <c r="C12" s="24" t="s">
        <v>25</v>
      </c>
      <c r="D12" s="23" t="s">
        <v>24</v>
      </c>
      <c r="E12" s="25" t="n">
        <f aca="false">SUM(E13:E13)</f>
        <v>473.2076</v>
      </c>
      <c r="F12" s="26" t="n">
        <v>329780</v>
      </c>
      <c r="G12" s="27" t="n">
        <f aca="false">E12*F12</f>
        <v>156054402.328</v>
      </c>
      <c r="H12" s="28" t="s">
        <v>317</v>
      </c>
    </row>
    <row r="13" customFormat="false" ht="15" hidden="false" customHeight="false" outlineLevel="1" collapsed="false">
      <c r="A13" s="7"/>
      <c r="B13" s="29" t="s">
        <v>318</v>
      </c>
      <c r="C13" s="30" t="s">
        <v>319</v>
      </c>
      <c r="D13" s="29"/>
      <c r="E13" s="31" t="n">
        <v>473.2076</v>
      </c>
      <c r="F13" s="7"/>
      <c r="G13" s="32" t="n">
        <f aca="false">E13*$F$12</f>
        <v>156054402.328</v>
      </c>
      <c r="H13" s="7"/>
    </row>
    <row r="14" customFormat="false" ht="15" hidden="false" customHeight="false" outlineLevel="0" collapsed="false">
      <c r="A14" s="23" t="n">
        <v>5</v>
      </c>
      <c r="B14" s="23" t="s">
        <v>125</v>
      </c>
      <c r="C14" s="24" t="s">
        <v>26</v>
      </c>
      <c r="D14" s="23" t="s">
        <v>24</v>
      </c>
      <c r="E14" s="25" t="n">
        <f aca="false">SUM(E15:E18)</f>
        <v>101.6383425</v>
      </c>
      <c r="F14" s="26" t="n">
        <v>254920</v>
      </c>
      <c r="G14" s="27" t="n">
        <f aca="false">E14*F14</f>
        <v>25909646.2701</v>
      </c>
      <c r="H14" s="28" t="s">
        <v>126</v>
      </c>
    </row>
    <row r="15" customFormat="false" ht="15" hidden="false" customHeight="false" outlineLevel="1" collapsed="false">
      <c r="A15" s="7"/>
      <c r="B15" s="29" t="s">
        <v>127</v>
      </c>
      <c r="C15" s="30" t="s">
        <v>128</v>
      </c>
      <c r="D15" s="29"/>
      <c r="E15" s="31" t="n">
        <v>51.31875</v>
      </c>
      <c r="F15" s="7"/>
      <c r="G15" s="32" t="n">
        <f aca="false">E15*$F$14</f>
        <v>13082175.75</v>
      </c>
      <c r="H15" s="7"/>
    </row>
    <row r="16" customFormat="false" ht="15" hidden="false" customHeight="false" outlineLevel="1" collapsed="false">
      <c r="A16" s="7"/>
      <c r="B16" s="29" t="s">
        <v>129</v>
      </c>
      <c r="C16" s="30" t="s">
        <v>128</v>
      </c>
      <c r="D16" s="29"/>
      <c r="E16" s="31" t="n">
        <v>41.5931775</v>
      </c>
      <c r="F16" s="7"/>
      <c r="G16" s="32" t="n">
        <f aca="false">E16*$F$14</f>
        <v>10602932.8083</v>
      </c>
      <c r="H16" s="7"/>
    </row>
    <row r="17" customFormat="false" ht="15" hidden="false" customHeight="false" outlineLevel="1" collapsed="false">
      <c r="A17" s="7"/>
      <c r="B17" s="29" t="s">
        <v>119</v>
      </c>
      <c r="C17" s="30" t="s">
        <v>120</v>
      </c>
      <c r="D17" s="29"/>
      <c r="E17" s="31" t="n">
        <v>2.908805</v>
      </c>
      <c r="F17" s="7"/>
      <c r="G17" s="32" t="n">
        <f aca="false">E17*$F$14</f>
        <v>741512.5706</v>
      </c>
      <c r="H17" s="7"/>
    </row>
    <row r="18" customFormat="false" ht="15" hidden="false" customHeight="false" outlineLevel="1" collapsed="false">
      <c r="A18" s="7"/>
      <c r="B18" s="29" t="s">
        <v>119</v>
      </c>
      <c r="C18" s="30" t="s">
        <v>130</v>
      </c>
      <c r="D18" s="29"/>
      <c r="E18" s="31" t="n">
        <v>5.81761</v>
      </c>
      <c r="F18" s="7"/>
      <c r="G18" s="32" t="n">
        <f aca="false">E18*$F$14</f>
        <v>1483025.1412</v>
      </c>
      <c r="H18" s="7"/>
    </row>
    <row r="19" customFormat="false" ht="15" hidden="false" customHeight="false" outlineLevel="0" collapsed="false">
      <c r="A19" s="23" t="n">
        <v>6</v>
      </c>
      <c r="B19" s="23" t="s">
        <v>131</v>
      </c>
      <c r="C19" s="24" t="s">
        <v>28</v>
      </c>
      <c r="D19" s="23" t="s">
        <v>24</v>
      </c>
      <c r="E19" s="25" t="n">
        <f aca="false">SUM(E20:E35)</f>
        <v>3989.39656835</v>
      </c>
      <c r="F19" s="26" t="n">
        <v>498275</v>
      </c>
      <c r="G19" s="27" t="n">
        <f aca="false">E19*F19</f>
        <v>1987816575.0946</v>
      </c>
      <c r="H19" s="28" t="s">
        <v>132</v>
      </c>
    </row>
    <row r="20" customFormat="false" ht="23.85" hidden="false" customHeight="false" outlineLevel="1" collapsed="false">
      <c r="A20" s="7"/>
      <c r="B20" s="29" t="s">
        <v>133</v>
      </c>
      <c r="C20" s="30" t="s">
        <v>134</v>
      </c>
      <c r="D20" s="29"/>
      <c r="E20" s="31" t="n">
        <v>170.13975</v>
      </c>
      <c r="F20" s="7"/>
      <c r="G20" s="32" t="n">
        <f aca="false">E20*$F$19</f>
        <v>84776383.93125</v>
      </c>
      <c r="H20" s="7"/>
    </row>
    <row r="21" customFormat="false" ht="23.85" hidden="false" customHeight="false" outlineLevel="1" collapsed="false">
      <c r="A21" s="7"/>
      <c r="B21" s="29" t="s">
        <v>135</v>
      </c>
      <c r="C21" s="30" t="s">
        <v>136</v>
      </c>
      <c r="D21" s="29"/>
      <c r="E21" s="31" t="n">
        <v>2324.7360248</v>
      </c>
      <c r="F21" s="7"/>
      <c r="G21" s="32" t="n">
        <f aca="false">E21*$F$19</f>
        <v>1158357842.75722</v>
      </c>
      <c r="H21" s="7"/>
    </row>
    <row r="22" customFormat="false" ht="23.85" hidden="false" customHeight="false" outlineLevel="1" collapsed="false">
      <c r="A22" s="7"/>
      <c r="B22" s="29" t="s">
        <v>135</v>
      </c>
      <c r="C22" s="30" t="s">
        <v>320</v>
      </c>
      <c r="D22" s="29"/>
      <c r="E22" s="31" t="n">
        <v>36.28443315</v>
      </c>
      <c r="F22" s="7"/>
      <c r="G22" s="32" t="n">
        <f aca="false">E22*$F$19</f>
        <v>18079625.9278162</v>
      </c>
      <c r="H22" s="7"/>
    </row>
    <row r="23" customFormat="false" ht="23.85" hidden="false" customHeight="false" outlineLevel="1" collapsed="false">
      <c r="A23" s="7"/>
      <c r="B23" s="29" t="s">
        <v>135</v>
      </c>
      <c r="C23" s="30" t="s">
        <v>321</v>
      </c>
      <c r="D23" s="29"/>
      <c r="E23" s="31" t="n">
        <v>39.58255385</v>
      </c>
      <c r="F23" s="7"/>
      <c r="G23" s="32" t="n">
        <f aca="false">E23*$F$19</f>
        <v>19722997.0196087</v>
      </c>
      <c r="H23" s="7"/>
    </row>
    <row r="24" customFormat="false" ht="23.85" hidden="false" customHeight="false" outlineLevel="1" collapsed="false">
      <c r="A24" s="7"/>
      <c r="B24" s="29" t="s">
        <v>135</v>
      </c>
      <c r="C24" s="30" t="s">
        <v>137</v>
      </c>
      <c r="D24" s="29"/>
      <c r="E24" s="31" t="n">
        <v>514.3536657</v>
      </c>
      <c r="F24" s="7"/>
      <c r="G24" s="32" t="n">
        <f aca="false">E24*$F$19</f>
        <v>256289572.776667</v>
      </c>
      <c r="H24" s="7"/>
    </row>
    <row r="25" customFormat="false" ht="23.85" hidden="false" customHeight="false" outlineLevel="1" collapsed="false">
      <c r="A25" s="7"/>
      <c r="B25" s="29" t="s">
        <v>135</v>
      </c>
      <c r="C25" s="30" t="s">
        <v>138</v>
      </c>
      <c r="D25" s="29"/>
      <c r="E25" s="31" t="n">
        <v>144.79566745</v>
      </c>
      <c r="F25" s="7"/>
      <c r="G25" s="32" t="n">
        <f aca="false">E25*$F$19</f>
        <v>72148061.1986488</v>
      </c>
      <c r="H25" s="7"/>
    </row>
    <row r="26" customFormat="false" ht="23.85" hidden="false" customHeight="false" outlineLevel="1" collapsed="false">
      <c r="A26" s="7"/>
      <c r="B26" s="29" t="s">
        <v>135</v>
      </c>
      <c r="C26" s="30" t="s">
        <v>138</v>
      </c>
      <c r="D26" s="29"/>
      <c r="E26" s="31" t="n">
        <v>140.94615815</v>
      </c>
      <c r="F26" s="7"/>
      <c r="G26" s="32" t="n">
        <f aca="false">E26*$F$19</f>
        <v>70229946.9521913</v>
      </c>
      <c r="H26" s="7"/>
    </row>
    <row r="27" customFormat="false" ht="15" hidden="false" customHeight="false" outlineLevel="1" collapsed="false">
      <c r="A27" s="7"/>
      <c r="B27" s="29" t="s">
        <v>141</v>
      </c>
      <c r="C27" s="30" t="s">
        <v>142</v>
      </c>
      <c r="D27" s="29"/>
      <c r="E27" s="31" t="n">
        <v>86.1525825</v>
      </c>
      <c r="F27" s="7"/>
      <c r="G27" s="32" t="n">
        <f aca="false">E27*$F$19</f>
        <v>42927678.0451875</v>
      </c>
      <c r="H27" s="7"/>
    </row>
    <row r="28" customFormat="false" ht="15" hidden="false" customHeight="false" outlineLevel="1" collapsed="false">
      <c r="A28" s="7"/>
      <c r="B28" s="29" t="s">
        <v>141</v>
      </c>
      <c r="C28" s="30" t="s">
        <v>142</v>
      </c>
      <c r="D28" s="29"/>
      <c r="E28" s="31" t="n">
        <v>97.54679</v>
      </c>
      <c r="F28" s="7"/>
      <c r="G28" s="32" t="n">
        <f aca="false">E28*$F$19</f>
        <v>48605126.78725</v>
      </c>
      <c r="H28" s="7"/>
    </row>
    <row r="29" customFormat="false" ht="23.85" hidden="false" customHeight="false" outlineLevel="1" collapsed="false">
      <c r="A29" s="7"/>
      <c r="B29" s="29" t="s">
        <v>143</v>
      </c>
      <c r="C29" s="30" t="s">
        <v>144</v>
      </c>
      <c r="D29" s="29"/>
      <c r="E29" s="31" t="n">
        <v>108.14185625</v>
      </c>
      <c r="F29" s="7"/>
      <c r="G29" s="32" t="n">
        <f aca="false">E29*$F$19</f>
        <v>53884383.4229688</v>
      </c>
      <c r="H29" s="7"/>
    </row>
    <row r="30" customFormat="false" ht="15" hidden="false" customHeight="false" outlineLevel="1" collapsed="false">
      <c r="A30" s="7"/>
      <c r="B30" s="29" t="s">
        <v>145</v>
      </c>
      <c r="C30" s="30" t="s">
        <v>146</v>
      </c>
      <c r="D30" s="29"/>
      <c r="E30" s="31" t="n">
        <v>21.77273225</v>
      </c>
      <c r="F30" s="7"/>
      <c r="G30" s="32" t="n">
        <f aca="false">E30*$F$19</f>
        <v>10848808.1618688</v>
      </c>
      <c r="H30" s="7"/>
    </row>
    <row r="31" customFormat="false" ht="15" hidden="false" customHeight="false" outlineLevel="1" collapsed="false">
      <c r="A31" s="7"/>
      <c r="B31" s="29" t="s">
        <v>152</v>
      </c>
      <c r="C31" s="30" t="s">
        <v>153</v>
      </c>
      <c r="D31" s="29"/>
      <c r="E31" s="31" t="n">
        <v>65.11825</v>
      </c>
      <c r="F31" s="7"/>
      <c r="G31" s="32" t="n">
        <f aca="false">E31*$F$19</f>
        <v>32446796.01875</v>
      </c>
      <c r="H31" s="7"/>
    </row>
    <row r="32" customFormat="false" ht="23.85" hidden="false" customHeight="false" outlineLevel="1" collapsed="false">
      <c r="A32" s="7"/>
      <c r="B32" s="29" t="s">
        <v>147</v>
      </c>
      <c r="C32" s="30" t="s">
        <v>148</v>
      </c>
      <c r="D32" s="29"/>
      <c r="E32" s="31" t="n">
        <v>7.56175</v>
      </c>
      <c r="F32" s="7"/>
      <c r="G32" s="32" t="n">
        <f aca="false">E32*$F$19</f>
        <v>3767830.98125</v>
      </c>
      <c r="H32" s="7"/>
    </row>
    <row r="33" customFormat="false" ht="23.85" hidden="false" customHeight="false" outlineLevel="1" collapsed="false">
      <c r="A33" s="7"/>
      <c r="B33" s="29" t="s">
        <v>133</v>
      </c>
      <c r="C33" s="30" t="s">
        <v>151</v>
      </c>
      <c r="D33" s="29"/>
      <c r="E33" s="31" t="n">
        <v>50.44901375</v>
      </c>
      <c r="F33" s="7"/>
      <c r="G33" s="32" t="n">
        <f aca="false">E33*$F$19</f>
        <v>25137482.3262813</v>
      </c>
      <c r="H33" s="7"/>
    </row>
    <row r="34" customFormat="false" ht="15" hidden="false" customHeight="false" outlineLevel="1" collapsed="false">
      <c r="A34" s="7"/>
      <c r="B34" s="29" t="s">
        <v>154</v>
      </c>
      <c r="C34" s="30" t="s">
        <v>155</v>
      </c>
      <c r="D34" s="29"/>
      <c r="E34" s="31" t="n">
        <v>107.01</v>
      </c>
      <c r="F34" s="7"/>
      <c r="G34" s="32" t="n">
        <f aca="false">E34*$F$19</f>
        <v>53320407.75</v>
      </c>
      <c r="H34" s="7"/>
    </row>
    <row r="35" customFormat="false" ht="15" hidden="false" customHeight="false" outlineLevel="1" collapsed="false">
      <c r="A35" s="7"/>
      <c r="B35" s="29" t="s">
        <v>156</v>
      </c>
      <c r="C35" s="30" t="s">
        <v>155</v>
      </c>
      <c r="D35" s="29"/>
      <c r="E35" s="31" t="n">
        <v>74.8053405</v>
      </c>
      <c r="F35" s="7"/>
      <c r="G35" s="32" t="n">
        <f aca="false">E35*$F$19</f>
        <v>37273631.0376375</v>
      </c>
      <c r="H35" s="7"/>
    </row>
    <row r="36" customFormat="false" ht="15" hidden="false" customHeight="false" outlineLevel="0" collapsed="false">
      <c r="A36" s="23" t="n">
        <v>7</v>
      </c>
      <c r="B36" s="23" t="s">
        <v>157</v>
      </c>
      <c r="C36" s="24" t="s">
        <v>30</v>
      </c>
      <c r="D36" s="23" t="s">
        <v>20</v>
      </c>
      <c r="E36" s="25" t="n">
        <f aca="false">SUM(E37:E37)</f>
        <v>12.78888</v>
      </c>
      <c r="F36" s="26" t="n">
        <v>13730</v>
      </c>
      <c r="G36" s="27" t="n">
        <f aca="false">E36*F36</f>
        <v>175591.3224</v>
      </c>
      <c r="H36" s="28" t="s">
        <v>158</v>
      </c>
    </row>
    <row r="37" customFormat="false" ht="15" hidden="false" customHeight="false" outlineLevel="1" collapsed="false">
      <c r="A37" s="7"/>
      <c r="B37" s="29" t="s">
        <v>123</v>
      </c>
      <c r="C37" s="30" t="s">
        <v>159</v>
      </c>
      <c r="D37" s="29"/>
      <c r="E37" s="31" t="n">
        <v>12.78888</v>
      </c>
      <c r="F37" s="7"/>
      <c r="G37" s="32" t="n">
        <f aca="false">E37*$F$36</f>
        <v>175591.3224</v>
      </c>
      <c r="H37" s="7"/>
    </row>
    <row r="38" customFormat="false" ht="15" hidden="false" customHeight="false" outlineLevel="0" collapsed="false">
      <c r="A38" s="23" t="n">
        <v>8</v>
      </c>
      <c r="B38" s="23" t="s">
        <v>164</v>
      </c>
      <c r="C38" s="24" t="s">
        <v>33</v>
      </c>
      <c r="D38" s="23" t="s">
        <v>20</v>
      </c>
      <c r="E38" s="25" t="n">
        <f aca="false">SUM(E39:E40)</f>
        <v>3.508063</v>
      </c>
      <c r="F38" s="26" t="n">
        <v>15000</v>
      </c>
      <c r="G38" s="27" t="n">
        <f aca="false">E38*F38</f>
        <v>52620.945</v>
      </c>
      <c r="H38" s="28" t="s">
        <v>165</v>
      </c>
    </row>
    <row r="39" customFormat="false" ht="23.85" hidden="false" customHeight="false" outlineLevel="1" collapsed="false">
      <c r="A39" s="7"/>
      <c r="B39" s="29" t="s">
        <v>168</v>
      </c>
      <c r="C39" s="30" t="s">
        <v>169</v>
      </c>
      <c r="D39" s="29"/>
      <c r="E39" s="31" t="n">
        <v>3.25</v>
      </c>
      <c r="F39" s="7"/>
      <c r="G39" s="32" t="n">
        <f aca="false">E39*$F$38</f>
        <v>48750</v>
      </c>
      <c r="H39" s="7"/>
    </row>
    <row r="40" customFormat="false" ht="23.85" hidden="false" customHeight="false" outlineLevel="1" collapsed="false">
      <c r="A40" s="7"/>
      <c r="B40" s="29" t="s">
        <v>166</v>
      </c>
      <c r="C40" s="30" t="s">
        <v>167</v>
      </c>
      <c r="D40" s="29"/>
      <c r="E40" s="31" t="n">
        <v>0.258063</v>
      </c>
      <c r="F40" s="7"/>
      <c r="G40" s="32" t="n">
        <f aca="false">E40*$F$38</f>
        <v>3870.945</v>
      </c>
      <c r="H40" s="7"/>
    </row>
    <row r="41" customFormat="false" ht="15" hidden="false" customHeight="false" outlineLevel="0" collapsed="false">
      <c r="A41" s="23" t="n">
        <v>9</v>
      </c>
      <c r="B41" s="23" t="s">
        <v>170</v>
      </c>
      <c r="C41" s="24" t="s">
        <v>34</v>
      </c>
      <c r="D41" s="23" t="s">
        <v>20</v>
      </c>
      <c r="E41" s="25" t="n">
        <f aca="false">SUM(E42:E43)</f>
        <v>429.7251</v>
      </c>
      <c r="F41" s="26" t="n">
        <v>16480</v>
      </c>
      <c r="G41" s="27" t="n">
        <f aca="false">E41*F41</f>
        <v>7081869.648</v>
      </c>
      <c r="H41" s="28" t="s">
        <v>171</v>
      </c>
    </row>
    <row r="42" customFormat="false" ht="15" hidden="false" customHeight="false" outlineLevel="1" collapsed="false">
      <c r="A42" s="7"/>
      <c r="B42" s="29" t="s">
        <v>172</v>
      </c>
      <c r="C42" s="30" t="s">
        <v>173</v>
      </c>
      <c r="D42" s="29"/>
      <c r="E42" s="31" t="n">
        <v>208.216491</v>
      </c>
      <c r="F42" s="7"/>
      <c r="G42" s="32" t="n">
        <f aca="false">E42*$F$41</f>
        <v>3431407.77168</v>
      </c>
      <c r="H42" s="7"/>
    </row>
    <row r="43" customFormat="false" ht="15" hidden="false" customHeight="false" outlineLevel="1" collapsed="false">
      <c r="A43" s="7"/>
      <c r="B43" s="29" t="s">
        <v>172</v>
      </c>
      <c r="C43" s="30" t="s">
        <v>173</v>
      </c>
      <c r="D43" s="29"/>
      <c r="E43" s="31" t="n">
        <v>221.508609</v>
      </c>
      <c r="F43" s="7"/>
      <c r="G43" s="32" t="n">
        <f aca="false">E43*$F$41</f>
        <v>3650461.87632</v>
      </c>
      <c r="H43" s="7"/>
    </row>
    <row r="44" customFormat="false" ht="15" hidden="false" customHeight="false" outlineLevel="0" collapsed="false">
      <c r="A44" s="23" t="n">
        <v>10</v>
      </c>
      <c r="B44" s="23" t="s">
        <v>174</v>
      </c>
      <c r="C44" s="24" t="s">
        <v>37</v>
      </c>
      <c r="D44" s="23" t="s">
        <v>24</v>
      </c>
      <c r="E44" s="25" t="n">
        <f aca="false">SUM(E45:E60)</f>
        <v>6472.74825245</v>
      </c>
      <c r="F44" s="26" t="n">
        <v>473574</v>
      </c>
      <c r="G44" s="27" t="n">
        <f aca="false">E44*F44</f>
        <v>3065325280.90576</v>
      </c>
      <c r="H44" s="28" t="s">
        <v>175</v>
      </c>
    </row>
    <row r="45" customFormat="false" ht="23.85" hidden="false" customHeight="false" outlineLevel="1" collapsed="false">
      <c r="A45" s="7"/>
      <c r="B45" s="29" t="s">
        <v>133</v>
      </c>
      <c r="C45" s="30" t="s">
        <v>134</v>
      </c>
      <c r="D45" s="29"/>
      <c r="E45" s="31" t="n">
        <v>276.012</v>
      </c>
      <c r="F45" s="7"/>
      <c r="G45" s="32" t="n">
        <f aca="false">E45*$F$44</f>
        <v>130712106.888</v>
      </c>
      <c r="H45" s="7"/>
    </row>
    <row r="46" customFormat="false" ht="23.85" hidden="false" customHeight="false" outlineLevel="1" collapsed="false">
      <c r="A46" s="7"/>
      <c r="B46" s="29" t="s">
        <v>135</v>
      </c>
      <c r="C46" s="30" t="s">
        <v>136</v>
      </c>
      <c r="D46" s="29"/>
      <c r="E46" s="31" t="n">
        <v>3771.3411456</v>
      </c>
      <c r="F46" s="7"/>
      <c r="G46" s="32" t="n">
        <f aca="false">E46*$F$44</f>
        <v>1786009111.68637</v>
      </c>
      <c r="H46" s="7"/>
    </row>
    <row r="47" customFormat="false" ht="23.85" hidden="false" customHeight="false" outlineLevel="1" collapsed="false">
      <c r="A47" s="7"/>
      <c r="B47" s="29" t="s">
        <v>135</v>
      </c>
      <c r="C47" s="30" t="s">
        <v>320</v>
      </c>
      <c r="D47" s="29"/>
      <c r="E47" s="31" t="n">
        <v>58.8630168</v>
      </c>
      <c r="F47" s="7"/>
      <c r="G47" s="32" t="n">
        <f aca="false">E47*$F$44</f>
        <v>27875994.3180432</v>
      </c>
      <c r="H47" s="7"/>
    </row>
    <row r="48" customFormat="false" ht="23.85" hidden="false" customHeight="false" outlineLevel="1" collapsed="false">
      <c r="A48" s="7"/>
      <c r="B48" s="29" t="s">
        <v>135</v>
      </c>
      <c r="C48" s="30" t="s">
        <v>321</v>
      </c>
      <c r="D48" s="29"/>
      <c r="E48" s="31" t="n">
        <v>64.2134472</v>
      </c>
      <c r="F48" s="7"/>
      <c r="G48" s="32" t="n">
        <f aca="false">E48*$F$44</f>
        <v>30409819.0442928</v>
      </c>
      <c r="H48" s="7"/>
    </row>
    <row r="49" customFormat="false" ht="23.85" hidden="false" customHeight="false" outlineLevel="1" collapsed="false">
      <c r="A49" s="7"/>
      <c r="B49" s="29" t="s">
        <v>135</v>
      </c>
      <c r="C49" s="30" t="s">
        <v>137</v>
      </c>
      <c r="D49" s="29"/>
      <c r="E49" s="31" t="n">
        <v>834.4186704</v>
      </c>
      <c r="F49" s="7"/>
      <c r="G49" s="32" t="n">
        <f aca="false">E49*$F$44</f>
        <v>395158987.41601</v>
      </c>
      <c r="H49" s="7"/>
    </row>
    <row r="50" customFormat="false" ht="23.85" hidden="false" customHeight="false" outlineLevel="1" collapsed="false">
      <c r="A50" s="7"/>
      <c r="B50" s="29" t="s">
        <v>135</v>
      </c>
      <c r="C50" s="30" t="s">
        <v>138</v>
      </c>
      <c r="D50" s="29"/>
      <c r="E50" s="31" t="n">
        <v>234.8971464</v>
      </c>
      <c r="F50" s="7"/>
      <c r="G50" s="32" t="n">
        <f aca="false">E50*$F$44</f>
        <v>111241181.209234</v>
      </c>
      <c r="H50" s="7"/>
    </row>
    <row r="51" customFormat="false" ht="23.85" hidden="false" customHeight="false" outlineLevel="1" collapsed="false">
      <c r="A51" s="7"/>
      <c r="B51" s="29" t="s">
        <v>135</v>
      </c>
      <c r="C51" s="30" t="s">
        <v>138</v>
      </c>
      <c r="D51" s="29"/>
      <c r="E51" s="31" t="n">
        <v>228.6522168</v>
      </c>
      <c r="F51" s="7"/>
      <c r="G51" s="32" t="n">
        <f aca="false">E51*$F$44</f>
        <v>108283744.918843</v>
      </c>
      <c r="H51" s="7"/>
    </row>
    <row r="52" customFormat="false" ht="15" hidden="false" customHeight="false" outlineLevel="1" collapsed="false">
      <c r="A52" s="7"/>
      <c r="B52" s="29" t="s">
        <v>141</v>
      </c>
      <c r="C52" s="30" t="s">
        <v>142</v>
      </c>
      <c r="D52" s="29"/>
      <c r="E52" s="31" t="n">
        <v>139.76244</v>
      </c>
      <c r="F52" s="7"/>
      <c r="G52" s="32" t="n">
        <f aca="false">E52*$F$44</f>
        <v>66187857.76056</v>
      </c>
      <c r="H52" s="7"/>
    </row>
    <row r="53" customFormat="false" ht="15" hidden="false" customHeight="false" outlineLevel="1" collapsed="false">
      <c r="A53" s="7"/>
      <c r="B53" s="29" t="s">
        <v>141</v>
      </c>
      <c r="C53" s="30" t="s">
        <v>142</v>
      </c>
      <c r="D53" s="29"/>
      <c r="E53" s="31" t="n">
        <v>158.24688</v>
      </c>
      <c r="F53" s="7"/>
      <c r="G53" s="32" t="n">
        <f aca="false">E53*$F$44</f>
        <v>74941607.94912</v>
      </c>
      <c r="H53" s="7"/>
    </row>
    <row r="54" customFormat="false" ht="23.85" hidden="false" customHeight="false" outlineLevel="1" collapsed="false">
      <c r="A54" s="7"/>
      <c r="B54" s="29" t="s">
        <v>143</v>
      </c>
      <c r="C54" s="30" t="s">
        <v>144</v>
      </c>
      <c r="D54" s="29"/>
      <c r="E54" s="31" t="n">
        <v>175.4349</v>
      </c>
      <c r="F54" s="7"/>
      <c r="G54" s="32" t="n">
        <f aca="false">E54*$F$44</f>
        <v>83081407.3326</v>
      </c>
      <c r="H54" s="7"/>
    </row>
    <row r="55" customFormat="false" ht="15" hidden="false" customHeight="false" outlineLevel="1" collapsed="false">
      <c r="A55" s="7"/>
      <c r="B55" s="29" t="s">
        <v>145</v>
      </c>
      <c r="C55" s="30" t="s">
        <v>146</v>
      </c>
      <c r="D55" s="29"/>
      <c r="E55" s="31" t="n">
        <v>35.321172</v>
      </c>
      <c r="F55" s="7"/>
      <c r="G55" s="32" t="n">
        <f aca="false">E55*$F$44</f>
        <v>16727188.708728</v>
      </c>
      <c r="H55" s="7"/>
    </row>
    <row r="56" customFormat="false" ht="15" hidden="false" customHeight="false" outlineLevel="1" collapsed="false">
      <c r="A56" s="7"/>
      <c r="B56" s="29" t="s">
        <v>152</v>
      </c>
      <c r="C56" s="30" t="s">
        <v>153</v>
      </c>
      <c r="D56" s="29"/>
      <c r="E56" s="31" t="n">
        <v>105.752038</v>
      </c>
      <c r="F56" s="7"/>
      <c r="G56" s="32" t="n">
        <f aca="false">E56*$F$44</f>
        <v>50081415.643812</v>
      </c>
      <c r="H56" s="7"/>
    </row>
    <row r="57" customFormat="false" ht="23.85" hidden="false" customHeight="false" outlineLevel="1" collapsed="false">
      <c r="A57" s="7"/>
      <c r="B57" s="29" t="s">
        <v>147</v>
      </c>
      <c r="C57" s="30" t="s">
        <v>148</v>
      </c>
      <c r="D57" s="29"/>
      <c r="E57" s="31" t="n">
        <v>12.280282</v>
      </c>
      <c r="F57" s="7"/>
      <c r="G57" s="32" t="n">
        <f aca="false">E57*$F$44</f>
        <v>5815622.267868</v>
      </c>
      <c r="H57" s="7"/>
    </row>
    <row r="58" customFormat="false" ht="23.85" hidden="false" customHeight="false" outlineLevel="1" collapsed="false">
      <c r="A58" s="7"/>
      <c r="B58" s="29" t="s">
        <v>133</v>
      </c>
      <c r="C58" s="30" t="s">
        <v>151</v>
      </c>
      <c r="D58" s="29"/>
      <c r="E58" s="31" t="n">
        <v>81.84174</v>
      </c>
      <c r="F58" s="7"/>
      <c r="G58" s="32" t="n">
        <f aca="false">E58*$F$44</f>
        <v>38758120.17876</v>
      </c>
      <c r="H58" s="7"/>
    </row>
    <row r="59" customFormat="false" ht="15" hidden="false" customHeight="false" outlineLevel="1" collapsed="false">
      <c r="A59" s="7"/>
      <c r="B59" s="29" t="s">
        <v>154</v>
      </c>
      <c r="C59" s="30" t="s">
        <v>155</v>
      </c>
      <c r="D59" s="29"/>
      <c r="E59" s="31" t="n">
        <v>174.045</v>
      </c>
      <c r="F59" s="7"/>
      <c r="G59" s="32" t="n">
        <f aca="false">E59*$F$44</f>
        <v>82423186.83</v>
      </c>
      <c r="H59" s="7"/>
    </row>
    <row r="60" customFormat="false" ht="15" hidden="false" customHeight="false" outlineLevel="1" collapsed="false">
      <c r="A60" s="7"/>
      <c r="B60" s="29" t="s">
        <v>156</v>
      </c>
      <c r="C60" s="30" t="s">
        <v>155</v>
      </c>
      <c r="D60" s="29"/>
      <c r="E60" s="31" t="n">
        <v>121.66615725</v>
      </c>
      <c r="F60" s="7"/>
      <c r="G60" s="32" t="n">
        <f aca="false">E60*$F$44</f>
        <v>57617928.7535115</v>
      </c>
      <c r="H60" s="7"/>
    </row>
    <row r="61" customFormat="false" ht="15" hidden="false" customHeight="false" outlineLevel="0" collapsed="false">
      <c r="A61" s="23" t="n">
        <v>11</v>
      </c>
      <c r="B61" s="23" t="s">
        <v>176</v>
      </c>
      <c r="C61" s="24" t="s">
        <v>38</v>
      </c>
      <c r="D61" s="23" t="s">
        <v>24</v>
      </c>
      <c r="E61" s="25" t="n">
        <f aca="false">SUM(E62:E63)</f>
        <v>4940.9683</v>
      </c>
      <c r="F61" s="26" t="n">
        <v>370419</v>
      </c>
      <c r="G61" s="27" t="n">
        <f aca="false">E61*F61</f>
        <v>1830228536.7177</v>
      </c>
      <c r="H61" s="28" t="s">
        <v>177</v>
      </c>
    </row>
    <row r="62" customFormat="false" ht="15" hidden="false" customHeight="false" outlineLevel="1" collapsed="false">
      <c r="A62" s="7"/>
      <c r="B62" s="29" t="s">
        <v>178</v>
      </c>
      <c r="C62" s="30" t="s">
        <v>179</v>
      </c>
      <c r="D62" s="29"/>
      <c r="E62" s="31" t="n">
        <v>4703.996</v>
      </c>
      <c r="F62" s="7"/>
      <c r="G62" s="32" t="n">
        <f aca="false">E62*$F$61</f>
        <v>1742449494.324</v>
      </c>
      <c r="H62" s="7"/>
    </row>
    <row r="63" customFormat="false" ht="15" hidden="false" customHeight="false" outlineLevel="1" collapsed="false">
      <c r="A63" s="7"/>
      <c r="B63" s="29" t="s">
        <v>182</v>
      </c>
      <c r="C63" s="30" t="s">
        <v>183</v>
      </c>
      <c r="D63" s="29"/>
      <c r="E63" s="31" t="n">
        <v>236.9723</v>
      </c>
      <c r="F63" s="7"/>
      <c r="G63" s="32" t="n">
        <f aca="false">E63*$F$61</f>
        <v>87779042.3937</v>
      </c>
      <c r="H63" s="7"/>
    </row>
    <row r="64" customFormat="false" ht="15" hidden="false" customHeight="false" outlineLevel="0" collapsed="false">
      <c r="A64" s="23" t="n">
        <v>12</v>
      </c>
      <c r="B64" s="23" t="s">
        <v>184</v>
      </c>
      <c r="C64" s="24" t="s">
        <v>39</v>
      </c>
      <c r="D64" s="23" t="s">
        <v>24</v>
      </c>
      <c r="E64" s="25" t="n">
        <f aca="false">SUM(E65:E65)</f>
        <v>42.204899614995</v>
      </c>
      <c r="F64" s="26" t="n">
        <v>350419</v>
      </c>
      <c r="G64" s="27" t="n">
        <f aca="false">E64*F64</f>
        <v>14789398.7181869</v>
      </c>
      <c r="H64" s="28" t="s">
        <v>185</v>
      </c>
    </row>
    <row r="65" customFormat="false" ht="15" hidden="false" customHeight="false" outlineLevel="1" collapsed="false">
      <c r="A65" s="7"/>
      <c r="B65" s="29" t="s">
        <v>123</v>
      </c>
      <c r="C65" s="30" t="s">
        <v>124</v>
      </c>
      <c r="D65" s="29"/>
      <c r="E65" s="31" t="n">
        <v>42.204899614995</v>
      </c>
      <c r="F65" s="7"/>
      <c r="G65" s="32" t="n">
        <f aca="false">E65*$F$64</f>
        <v>14789398.7181869</v>
      </c>
      <c r="H65" s="7"/>
    </row>
    <row r="66" customFormat="false" ht="15" hidden="false" customHeight="false" outlineLevel="0" collapsed="false">
      <c r="A66" s="23" t="n">
        <v>13</v>
      </c>
      <c r="B66" s="23" t="s">
        <v>186</v>
      </c>
      <c r="C66" s="24" t="s">
        <v>40</v>
      </c>
      <c r="D66" s="23" t="s">
        <v>24</v>
      </c>
      <c r="E66" s="25" t="n">
        <f aca="false">SUM(E67:E67)</f>
        <v>48.21038001351</v>
      </c>
      <c r="F66" s="26" t="n">
        <v>402507</v>
      </c>
      <c r="G66" s="27" t="n">
        <f aca="false">E66*F66</f>
        <v>19405015.4280979</v>
      </c>
      <c r="H66" s="28" t="s">
        <v>187</v>
      </c>
    </row>
    <row r="67" customFormat="false" ht="15" hidden="false" customHeight="false" outlineLevel="1" collapsed="false">
      <c r="A67" s="7"/>
      <c r="B67" s="29" t="s">
        <v>123</v>
      </c>
      <c r="C67" s="30" t="s">
        <v>124</v>
      </c>
      <c r="D67" s="29"/>
      <c r="E67" s="31" t="n">
        <v>48.21038001351</v>
      </c>
      <c r="F67" s="7"/>
      <c r="G67" s="32" t="n">
        <f aca="false">E67*$F$66</f>
        <v>19405015.4280979</v>
      </c>
      <c r="H67" s="7"/>
    </row>
    <row r="68" customFormat="false" ht="15" hidden="false" customHeight="false" outlineLevel="0" collapsed="false">
      <c r="A68" s="23" t="n">
        <v>14</v>
      </c>
      <c r="B68" s="23" t="s">
        <v>188</v>
      </c>
      <c r="C68" s="24" t="s">
        <v>41</v>
      </c>
      <c r="D68" s="23" t="s">
        <v>24</v>
      </c>
      <c r="E68" s="25" t="n">
        <f aca="false">SUM(E69:E69)</f>
        <v>824.7305</v>
      </c>
      <c r="F68" s="26" t="n">
        <v>379446</v>
      </c>
      <c r="G68" s="27" t="n">
        <f aca="false">E68*F68</f>
        <v>312940689.303</v>
      </c>
      <c r="H68" s="28" t="s">
        <v>189</v>
      </c>
    </row>
    <row r="69" customFormat="false" ht="15" hidden="false" customHeight="false" outlineLevel="1" collapsed="false">
      <c r="A69" s="7"/>
      <c r="B69" s="29" t="s">
        <v>190</v>
      </c>
      <c r="C69" s="30" t="s">
        <v>191</v>
      </c>
      <c r="D69" s="29"/>
      <c r="E69" s="31" t="n">
        <v>824.7305</v>
      </c>
      <c r="F69" s="7"/>
      <c r="G69" s="32" t="n">
        <f aca="false">E69*$F$68</f>
        <v>312940689.303</v>
      </c>
      <c r="H69" s="7"/>
    </row>
    <row r="70" customFormat="false" ht="15" hidden="false" customHeight="false" outlineLevel="0" collapsed="false">
      <c r="A70" s="23" t="n">
        <v>15</v>
      </c>
      <c r="B70" s="23" t="s">
        <v>188</v>
      </c>
      <c r="C70" s="24" t="s">
        <v>42</v>
      </c>
      <c r="D70" s="23" t="s">
        <v>24</v>
      </c>
      <c r="E70" s="25" t="n">
        <f aca="false">SUM(E71:E73)</f>
        <v>27446.4909</v>
      </c>
      <c r="F70" s="26" t="n">
        <v>379446</v>
      </c>
      <c r="G70" s="27" t="n">
        <f aca="false">E70*F70</f>
        <v>10414461186.0414</v>
      </c>
      <c r="H70" s="28" t="s">
        <v>192</v>
      </c>
    </row>
    <row r="71" customFormat="false" ht="15" hidden="false" customHeight="false" outlineLevel="1" collapsed="false">
      <c r="A71" s="7"/>
      <c r="B71" s="29" t="s">
        <v>193</v>
      </c>
      <c r="C71" s="30" t="s">
        <v>194</v>
      </c>
      <c r="D71" s="29"/>
      <c r="E71" s="31" t="n">
        <v>6383.2909</v>
      </c>
      <c r="F71" s="7"/>
      <c r="G71" s="32" t="n">
        <f aca="false">E71*$F$70</f>
        <v>2422114198.8414</v>
      </c>
      <c r="H71" s="7"/>
    </row>
    <row r="72" customFormat="false" ht="15" hidden="false" customHeight="false" outlineLevel="1" collapsed="false">
      <c r="A72" s="7"/>
      <c r="B72" s="29" t="s">
        <v>195</v>
      </c>
      <c r="C72" s="30" t="s">
        <v>196</v>
      </c>
      <c r="D72" s="29"/>
      <c r="E72" s="31" t="n">
        <v>5327.95</v>
      </c>
      <c r="F72" s="7"/>
      <c r="G72" s="32" t="n">
        <f aca="false">E72*$F$70</f>
        <v>2021669315.7</v>
      </c>
      <c r="H72" s="7"/>
    </row>
    <row r="73" customFormat="false" ht="15" hidden="false" customHeight="false" outlineLevel="1" collapsed="false">
      <c r="A73" s="7"/>
      <c r="B73" s="29" t="s">
        <v>195</v>
      </c>
      <c r="C73" s="30" t="s">
        <v>197</v>
      </c>
      <c r="D73" s="29"/>
      <c r="E73" s="31" t="n">
        <v>15735.25</v>
      </c>
      <c r="F73" s="7"/>
      <c r="G73" s="32" t="n">
        <f aca="false">E73*$F$70</f>
        <v>5970677671.5</v>
      </c>
      <c r="H73" s="7"/>
    </row>
    <row r="74" customFormat="false" ht="15" hidden="false" customHeight="false" outlineLevel="0" collapsed="false">
      <c r="A74" s="23" t="n">
        <v>16</v>
      </c>
      <c r="B74" s="23" t="s">
        <v>198</v>
      </c>
      <c r="C74" s="24" t="s">
        <v>43</v>
      </c>
      <c r="D74" s="23" t="s">
        <v>24</v>
      </c>
      <c r="E74" s="25" t="n">
        <f aca="false">SUM(E75:E75)</f>
        <v>35.99226365319</v>
      </c>
      <c r="F74" s="26" t="n">
        <v>290419</v>
      </c>
      <c r="G74" s="27" t="n">
        <f aca="false">E74*F74</f>
        <v>10452837.2178958</v>
      </c>
      <c r="H74" s="28" t="s">
        <v>199</v>
      </c>
    </row>
    <row r="75" customFormat="false" ht="15" hidden="false" customHeight="false" outlineLevel="1" collapsed="false">
      <c r="A75" s="7"/>
      <c r="B75" s="29" t="s">
        <v>123</v>
      </c>
      <c r="C75" s="30" t="s">
        <v>124</v>
      </c>
      <c r="D75" s="29"/>
      <c r="E75" s="31" t="n">
        <v>35.99226365319</v>
      </c>
      <c r="F75" s="7"/>
      <c r="G75" s="32" t="n">
        <f aca="false">E75*$F$74</f>
        <v>10452837.2178958</v>
      </c>
      <c r="H75" s="7"/>
    </row>
    <row r="76" customFormat="false" ht="15" hidden="false" customHeight="false" outlineLevel="0" collapsed="false">
      <c r="A76" s="23" t="n">
        <v>17</v>
      </c>
      <c r="B76" s="23" t="s">
        <v>332</v>
      </c>
      <c r="C76" s="24" t="s">
        <v>44</v>
      </c>
      <c r="D76" s="23" t="s">
        <v>24</v>
      </c>
      <c r="E76" s="25" t="n">
        <f aca="false">SUM(E77:E77)</f>
        <v>5.48065368</v>
      </c>
      <c r="F76" s="26" t="n">
        <v>50000</v>
      </c>
      <c r="G76" s="27" t="n">
        <f aca="false">E76*F76</f>
        <v>274032.684</v>
      </c>
      <c r="H76" s="28" t="s">
        <v>333</v>
      </c>
    </row>
    <row r="77" customFormat="false" ht="23.85" hidden="false" customHeight="false" outlineLevel="1" collapsed="false">
      <c r="A77" s="7"/>
      <c r="B77" s="29" t="s">
        <v>334</v>
      </c>
      <c r="C77" s="30" t="s">
        <v>335</v>
      </c>
      <c r="D77" s="29"/>
      <c r="E77" s="31" t="n">
        <v>5.48065368</v>
      </c>
      <c r="F77" s="7"/>
      <c r="G77" s="32" t="n">
        <f aca="false">E77*$F$76</f>
        <v>274032.684</v>
      </c>
      <c r="H77" s="7"/>
    </row>
    <row r="78" customFormat="false" ht="15" hidden="false" customHeight="false" outlineLevel="0" collapsed="false">
      <c r="A78" s="23" t="n">
        <v>18</v>
      </c>
      <c r="B78" s="23" t="s">
        <v>200</v>
      </c>
      <c r="C78" s="24" t="s">
        <v>45</v>
      </c>
      <c r="D78" s="23" t="s">
        <v>46</v>
      </c>
      <c r="E78" s="25" t="n">
        <f aca="false">SUM(E79:E79)</f>
        <v>86.3148180375</v>
      </c>
      <c r="F78" s="26" t="n">
        <v>35000</v>
      </c>
      <c r="G78" s="27" t="n">
        <f aca="false">E78*F78</f>
        <v>3021018.6313125</v>
      </c>
      <c r="H78" s="28" t="s">
        <v>201</v>
      </c>
    </row>
    <row r="79" customFormat="false" ht="15" hidden="false" customHeight="false" outlineLevel="1" collapsed="false">
      <c r="A79" s="7"/>
      <c r="B79" s="29" t="s">
        <v>202</v>
      </c>
      <c r="C79" s="30" t="s">
        <v>203</v>
      </c>
      <c r="D79" s="29"/>
      <c r="E79" s="31" t="n">
        <v>86.3148180375</v>
      </c>
      <c r="F79" s="7"/>
      <c r="G79" s="32" t="n">
        <f aca="false">E79*$F$78</f>
        <v>3021018.6313125</v>
      </c>
      <c r="H79" s="7"/>
    </row>
    <row r="80" customFormat="false" ht="15" hidden="false" customHeight="false" outlineLevel="0" collapsed="false">
      <c r="A80" s="23" t="n">
        <v>19</v>
      </c>
      <c r="B80" s="23" t="s">
        <v>204</v>
      </c>
      <c r="C80" s="24" t="s">
        <v>47</v>
      </c>
      <c r="D80" s="23" t="s">
        <v>46</v>
      </c>
      <c r="E80" s="25" t="n">
        <f aca="false">SUM(E81:E81)</f>
        <v>304.64053425</v>
      </c>
      <c r="F80" s="26" t="n">
        <v>28090</v>
      </c>
      <c r="G80" s="27" t="n">
        <f aca="false">E80*F80</f>
        <v>8557352.6070825</v>
      </c>
      <c r="H80" s="28" t="s">
        <v>205</v>
      </c>
    </row>
    <row r="81" customFormat="false" ht="15" hidden="false" customHeight="false" outlineLevel="1" collapsed="false">
      <c r="A81" s="7"/>
      <c r="B81" s="29" t="s">
        <v>202</v>
      </c>
      <c r="C81" s="30" t="s">
        <v>203</v>
      </c>
      <c r="D81" s="29"/>
      <c r="E81" s="31" t="n">
        <v>304.64053425</v>
      </c>
      <c r="F81" s="7"/>
      <c r="G81" s="32" t="n">
        <f aca="false">E81*$F$80</f>
        <v>8557352.6070825</v>
      </c>
      <c r="H81" s="7"/>
    </row>
    <row r="82" customFormat="false" ht="15" hidden="false" customHeight="false" outlineLevel="0" collapsed="false">
      <c r="A82" s="23" t="n">
        <v>20</v>
      </c>
      <c r="B82" s="23" t="s">
        <v>206</v>
      </c>
      <c r="C82" s="24" t="s">
        <v>48</v>
      </c>
      <c r="D82" s="23" t="s">
        <v>46</v>
      </c>
      <c r="E82" s="25" t="n">
        <f aca="false">SUM(E83:E83)</f>
        <v>1726.29636075</v>
      </c>
      <c r="F82" s="26" t="n">
        <v>14538</v>
      </c>
      <c r="G82" s="27" t="n">
        <f aca="false">E82*F82</f>
        <v>25096896.4925835</v>
      </c>
      <c r="H82" s="28" t="s">
        <v>207</v>
      </c>
    </row>
    <row r="83" customFormat="false" ht="15" hidden="false" customHeight="false" outlineLevel="1" collapsed="false">
      <c r="A83" s="7"/>
      <c r="B83" s="29" t="s">
        <v>202</v>
      </c>
      <c r="C83" s="30" t="s">
        <v>203</v>
      </c>
      <c r="D83" s="29"/>
      <c r="E83" s="31" t="n">
        <v>1726.29636075</v>
      </c>
      <c r="F83" s="7"/>
      <c r="G83" s="32" t="n">
        <f aca="false">E83*$F$82</f>
        <v>25096896.4925835</v>
      </c>
      <c r="H83" s="7"/>
    </row>
    <row r="84" customFormat="false" ht="15" hidden="false" customHeight="false" outlineLevel="0" collapsed="false">
      <c r="A84" s="23" t="n">
        <v>21</v>
      </c>
      <c r="B84" s="23" t="s">
        <v>208</v>
      </c>
      <c r="C84" s="24" t="s">
        <v>49</v>
      </c>
      <c r="D84" s="23" t="s">
        <v>20</v>
      </c>
      <c r="E84" s="25" t="n">
        <f aca="false">SUM(E85:E93)</f>
        <v>375.2090057</v>
      </c>
      <c r="F84" s="26" t="n">
        <v>21000</v>
      </c>
      <c r="G84" s="27" t="n">
        <f aca="false">E84*F84</f>
        <v>7879389.1197</v>
      </c>
      <c r="H84" s="28" t="s">
        <v>209</v>
      </c>
    </row>
    <row r="85" customFormat="false" ht="15" hidden="false" customHeight="false" outlineLevel="1" collapsed="false">
      <c r="A85" s="7"/>
      <c r="B85" s="29" t="s">
        <v>210</v>
      </c>
      <c r="C85" s="30" t="s">
        <v>211</v>
      </c>
      <c r="D85" s="29"/>
      <c r="E85" s="31" t="n">
        <v>170.4619072</v>
      </c>
      <c r="F85" s="7"/>
      <c r="G85" s="32" t="n">
        <f aca="false">E85*$F$84</f>
        <v>3579700.0512</v>
      </c>
      <c r="H85" s="7"/>
    </row>
    <row r="86" customFormat="false" ht="15" hidden="false" customHeight="false" outlineLevel="1" collapsed="false">
      <c r="A86" s="7"/>
      <c r="B86" s="29" t="s">
        <v>210</v>
      </c>
      <c r="C86" s="30" t="s">
        <v>212</v>
      </c>
      <c r="D86" s="29"/>
      <c r="E86" s="31" t="n">
        <v>34.09238144</v>
      </c>
      <c r="F86" s="7"/>
      <c r="G86" s="32" t="n">
        <f aca="false">E86*$F$84</f>
        <v>715940.01024</v>
      </c>
      <c r="H86" s="7"/>
    </row>
    <row r="87" customFormat="false" ht="15" hidden="false" customHeight="false" outlineLevel="1" collapsed="false">
      <c r="A87" s="7"/>
      <c r="B87" s="29" t="s">
        <v>210</v>
      </c>
      <c r="C87" s="30" t="s">
        <v>336</v>
      </c>
      <c r="D87" s="29"/>
      <c r="E87" s="31" t="n">
        <v>3.5697376</v>
      </c>
      <c r="F87" s="7"/>
      <c r="G87" s="32" t="n">
        <f aca="false">E87*$F$84</f>
        <v>74964.4896</v>
      </c>
      <c r="H87" s="7"/>
    </row>
    <row r="88" customFormat="false" ht="15" hidden="false" customHeight="false" outlineLevel="1" collapsed="false">
      <c r="A88" s="7"/>
      <c r="B88" s="29" t="s">
        <v>210</v>
      </c>
      <c r="C88" s="30" t="s">
        <v>212</v>
      </c>
      <c r="D88" s="29"/>
      <c r="E88" s="31" t="n">
        <v>0.71394752</v>
      </c>
      <c r="F88" s="7"/>
      <c r="G88" s="32" t="n">
        <f aca="false">E88*$F$84</f>
        <v>14992.89792</v>
      </c>
      <c r="H88" s="7"/>
    </row>
    <row r="89" customFormat="false" ht="15" hidden="false" customHeight="false" outlineLevel="1" collapsed="false">
      <c r="A89" s="7"/>
      <c r="B89" s="29" t="s">
        <v>210</v>
      </c>
      <c r="C89" s="30" t="s">
        <v>337</v>
      </c>
      <c r="D89" s="29"/>
      <c r="E89" s="31" t="n">
        <v>3.8942592</v>
      </c>
      <c r="F89" s="7"/>
      <c r="G89" s="32" t="n">
        <f aca="false">E89*$F$84</f>
        <v>81779.4432</v>
      </c>
      <c r="H89" s="7"/>
    </row>
    <row r="90" customFormat="false" ht="15" hidden="false" customHeight="false" outlineLevel="1" collapsed="false">
      <c r="A90" s="7"/>
      <c r="B90" s="29" t="s">
        <v>210</v>
      </c>
      <c r="C90" s="30" t="s">
        <v>212</v>
      </c>
      <c r="D90" s="29"/>
      <c r="E90" s="31" t="n">
        <v>0.77885184</v>
      </c>
      <c r="F90" s="7"/>
      <c r="G90" s="32" t="n">
        <f aca="false">E90*$F$84</f>
        <v>16355.88864</v>
      </c>
      <c r="H90" s="7"/>
    </row>
    <row r="91" customFormat="false" ht="15" hidden="false" customHeight="false" outlineLevel="1" collapsed="false">
      <c r="A91" s="7"/>
      <c r="B91" s="29" t="s">
        <v>215</v>
      </c>
      <c r="C91" s="30" t="s">
        <v>217</v>
      </c>
      <c r="D91" s="29"/>
      <c r="E91" s="31" t="n">
        <v>115.6136866</v>
      </c>
      <c r="F91" s="7"/>
      <c r="G91" s="32" t="n">
        <f aca="false">E91*$F$84</f>
        <v>2427887.4186</v>
      </c>
      <c r="H91" s="7"/>
    </row>
    <row r="92" customFormat="false" ht="15" hidden="false" customHeight="false" outlineLevel="1" collapsed="false">
      <c r="A92" s="7"/>
      <c r="B92" s="29" t="s">
        <v>215</v>
      </c>
      <c r="C92" s="30" t="s">
        <v>218</v>
      </c>
      <c r="D92" s="29"/>
      <c r="E92" s="31" t="n">
        <v>32.9578023</v>
      </c>
      <c r="F92" s="7"/>
      <c r="G92" s="32" t="n">
        <f aca="false">E92*$F$84</f>
        <v>692113.8483</v>
      </c>
      <c r="H92" s="7"/>
    </row>
    <row r="93" customFormat="false" ht="15" hidden="false" customHeight="false" outlineLevel="1" collapsed="false">
      <c r="A93" s="7"/>
      <c r="B93" s="29" t="s">
        <v>219</v>
      </c>
      <c r="C93" s="30" t="s">
        <v>220</v>
      </c>
      <c r="D93" s="29"/>
      <c r="E93" s="31" t="n">
        <v>13.126432</v>
      </c>
      <c r="F93" s="7"/>
      <c r="G93" s="32" t="n">
        <f aca="false">E93*$F$84</f>
        <v>275655.072</v>
      </c>
      <c r="H93" s="7"/>
    </row>
    <row r="94" customFormat="false" ht="15" hidden="false" customHeight="false" outlineLevel="0" collapsed="false">
      <c r="A94" s="23" t="n">
        <v>22</v>
      </c>
      <c r="B94" s="23" t="s">
        <v>225</v>
      </c>
      <c r="C94" s="24" t="s">
        <v>51</v>
      </c>
      <c r="D94" s="23" t="s">
        <v>52</v>
      </c>
      <c r="E94" s="25" t="n">
        <f aca="false">SUM(E95:E96)</f>
        <v>3154.3209</v>
      </c>
      <c r="F94" s="26" t="n">
        <v>150000</v>
      </c>
      <c r="G94" s="27" t="n">
        <f aca="false">E94*F94</f>
        <v>473148135</v>
      </c>
      <c r="H94" s="28" t="s">
        <v>226</v>
      </c>
    </row>
    <row r="95" customFormat="false" ht="15" hidden="false" customHeight="false" outlineLevel="1" collapsed="false">
      <c r="A95" s="7"/>
      <c r="B95" s="29" t="s">
        <v>127</v>
      </c>
      <c r="C95" s="30" t="s">
        <v>128</v>
      </c>
      <c r="D95" s="29"/>
      <c r="E95" s="31" t="n">
        <v>1742.25</v>
      </c>
      <c r="F95" s="7"/>
      <c r="G95" s="32" t="n">
        <f aca="false">E95*$F$94</f>
        <v>261337500</v>
      </c>
      <c r="H95" s="7"/>
    </row>
    <row r="96" customFormat="false" ht="15" hidden="false" customHeight="false" outlineLevel="1" collapsed="false">
      <c r="A96" s="7"/>
      <c r="B96" s="29" t="s">
        <v>129</v>
      </c>
      <c r="C96" s="30" t="s">
        <v>128</v>
      </c>
      <c r="D96" s="29"/>
      <c r="E96" s="31" t="n">
        <v>1412.0709</v>
      </c>
      <c r="F96" s="7"/>
      <c r="G96" s="32" t="n">
        <f aca="false">E96*$F$94</f>
        <v>211810635</v>
      </c>
      <c r="H96" s="7"/>
    </row>
    <row r="97" customFormat="false" ht="22.35" hidden="false" customHeight="false" outlineLevel="0" collapsed="false">
      <c r="A97" s="23" t="n">
        <v>23</v>
      </c>
      <c r="B97" s="23" t="s">
        <v>123</v>
      </c>
      <c r="C97" s="24" t="s">
        <v>56</v>
      </c>
      <c r="D97" s="23" t="s">
        <v>57</v>
      </c>
      <c r="E97" s="33" t="n">
        <v>49</v>
      </c>
      <c r="F97" s="26" t="n">
        <v>1265000</v>
      </c>
      <c r="G97" s="27" t="n">
        <f aca="false">E97*F97</f>
        <v>61985000</v>
      </c>
      <c r="H97" s="28" t="s">
        <v>238</v>
      </c>
    </row>
    <row r="98" customFormat="false" ht="15" hidden="false" customHeight="false" outlineLevel="0" collapsed="false">
      <c r="A98" s="23" t="n">
        <v>24</v>
      </c>
      <c r="B98" s="23" t="s">
        <v>239</v>
      </c>
      <c r="C98" s="24" t="s">
        <v>58</v>
      </c>
      <c r="D98" s="23" t="s">
        <v>20</v>
      </c>
      <c r="E98" s="25" t="n">
        <f aca="false">SUM(E99:E100)</f>
        <v>1.186021</v>
      </c>
      <c r="F98" s="26" t="n">
        <v>118000</v>
      </c>
      <c r="G98" s="27" t="n">
        <f aca="false">E98*F98</f>
        <v>139950.478</v>
      </c>
      <c r="H98" s="28" t="s">
        <v>240</v>
      </c>
    </row>
    <row r="99" customFormat="false" ht="23.85" hidden="false" customHeight="false" outlineLevel="1" collapsed="false">
      <c r="A99" s="7"/>
      <c r="B99" s="29" t="s">
        <v>168</v>
      </c>
      <c r="C99" s="30" t="s">
        <v>169</v>
      </c>
      <c r="D99" s="29"/>
      <c r="E99" s="31" t="n">
        <v>1.1</v>
      </c>
      <c r="F99" s="7"/>
      <c r="G99" s="32" t="n">
        <f aca="false">E99*$F$98</f>
        <v>129800</v>
      </c>
      <c r="H99" s="7"/>
    </row>
    <row r="100" customFormat="false" ht="23.85" hidden="false" customHeight="false" outlineLevel="1" collapsed="false">
      <c r="A100" s="7"/>
      <c r="B100" s="29" t="s">
        <v>166</v>
      </c>
      <c r="C100" s="30" t="s">
        <v>167</v>
      </c>
      <c r="D100" s="29"/>
      <c r="E100" s="31" t="n">
        <v>0.086021</v>
      </c>
      <c r="F100" s="7"/>
      <c r="G100" s="32" t="n">
        <f aca="false">E100*$F$98</f>
        <v>10150.478</v>
      </c>
      <c r="H100" s="7"/>
    </row>
    <row r="101" customFormat="false" ht="15" hidden="false" customHeight="false" outlineLevel="0" collapsed="false">
      <c r="A101" s="23" t="n">
        <v>25</v>
      </c>
      <c r="B101" s="23" t="s">
        <v>241</v>
      </c>
      <c r="C101" s="24" t="s">
        <v>59</v>
      </c>
      <c r="D101" s="23" t="s">
        <v>20</v>
      </c>
      <c r="E101" s="25" t="n">
        <f aca="false">SUM(E102:E102)</f>
        <v>9366.0716786715</v>
      </c>
      <c r="F101" s="26" t="n">
        <v>20842</v>
      </c>
      <c r="G101" s="27" t="n">
        <f aca="false">E101*F101</f>
        <v>195207665.926871</v>
      </c>
      <c r="H101" s="28" t="s">
        <v>242</v>
      </c>
    </row>
    <row r="102" customFormat="false" ht="15" hidden="false" customHeight="false" outlineLevel="1" collapsed="false">
      <c r="A102" s="7"/>
      <c r="B102" s="29" t="s">
        <v>123</v>
      </c>
      <c r="C102" s="30" t="s">
        <v>124</v>
      </c>
      <c r="D102" s="29"/>
      <c r="E102" s="31" t="n">
        <v>9366.0716786715</v>
      </c>
      <c r="F102" s="7"/>
      <c r="G102" s="32" t="n">
        <f aca="false">E102*$F$101</f>
        <v>195207665.926871</v>
      </c>
      <c r="H102" s="7"/>
    </row>
    <row r="103" customFormat="false" ht="15" hidden="false" customHeight="false" outlineLevel="0" collapsed="false">
      <c r="A103" s="23" t="n">
        <v>26</v>
      </c>
      <c r="B103" s="23" t="s">
        <v>243</v>
      </c>
      <c r="C103" s="24" t="s">
        <v>60</v>
      </c>
      <c r="D103" s="23" t="s">
        <v>20</v>
      </c>
      <c r="E103" s="25" t="n">
        <f aca="false">SUM(E104:E104)</f>
        <v>1206.57875</v>
      </c>
      <c r="F103" s="26" t="n">
        <v>15942</v>
      </c>
      <c r="G103" s="27" t="n">
        <f aca="false">E103*F103</f>
        <v>19235278.4325</v>
      </c>
      <c r="H103" s="28" t="s">
        <v>244</v>
      </c>
    </row>
    <row r="104" customFormat="false" ht="23.85" hidden="false" customHeight="false" outlineLevel="1" collapsed="false">
      <c r="A104" s="7"/>
      <c r="B104" s="29" t="s">
        <v>245</v>
      </c>
      <c r="C104" s="30" t="s">
        <v>246</v>
      </c>
      <c r="D104" s="29"/>
      <c r="E104" s="31" t="n">
        <v>1206.57875</v>
      </c>
      <c r="F104" s="7"/>
      <c r="G104" s="32" t="n">
        <f aca="false">E104*$F$103</f>
        <v>19235278.4325</v>
      </c>
      <c r="H104" s="7"/>
    </row>
    <row r="105" customFormat="false" ht="15" hidden="false" customHeight="false" outlineLevel="0" collapsed="false">
      <c r="A105" s="23" t="n">
        <v>27</v>
      </c>
      <c r="B105" s="23" t="s">
        <v>247</v>
      </c>
      <c r="C105" s="24" t="s">
        <v>61</v>
      </c>
      <c r="D105" s="23" t="s">
        <v>52</v>
      </c>
      <c r="E105" s="25" t="n">
        <f aca="false">SUM(E106:E108)</f>
        <v>4045.899</v>
      </c>
      <c r="F105" s="26" t="n">
        <v>14000</v>
      </c>
      <c r="G105" s="27" t="n">
        <f aca="false">E105*F105</f>
        <v>56642586</v>
      </c>
      <c r="H105" s="28" t="s">
        <v>248</v>
      </c>
    </row>
    <row r="106" customFormat="false" ht="15" hidden="false" customHeight="false" outlineLevel="1" collapsed="false">
      <c r="A106" s="7"/>
      <c r="B106" s="29" t="s">
        <v>249</v>
      </c>
      <c r="C106" s="30" t="s">
        <v>250</v>
      </c>
      <c r="D106" s="29"/>
      <c r="E106" s="31" t="n">
        <v>610.5</v>
      </c>
      <c r="F106" s="7"/>
      <c r="G106" s="32" t="n">
        <f aca="false">E106*$F$105</f>
        <v>8547000</v>
      </c>
      <c r="H106" s="7"/>
    </row>
    <row r="107" customFormat="false" ht="15" hidden="false" customHeight="false" outlineLevel="1" collapsed="false">
      <c r="A107" s="7"/>
      <c r="B107" s="29" t="s">
        <v>251</v>
      </c>
      <c r="C107" s="30" t="s">
        <v>250</v>
      </c>
      <c r="D107" s="29"/>
      <c r="E107" s="31" t="n">
        <v>1897.5</v>
      </c>
      <c r="F107" s="7"/>
      <c r="G107" s="32" t="n">
        <f aca="false">E107*$F$105</f>
        <v>26565000</v>
      </c>
      <c r="H107" s="7"/>
    </row>
    <row r="108" customFormat="false" ht="15" hidden="false" customHeight="false" outlineLevel="1" collapsed="false">
      <c r="A108" s="7"/>
      <c r="B108" s="29" t="s">
        <v>251</v>
      </c>
      <c r="C108" s="30" t="s">
        <v>250</v>
      </c>
      <c r="D108" s="29"/>
      <c r="E108" s="31" t="n">
        <v>1537.899</v>
      </c>
      <c r="F108" s="7"/>
      <c r="G108" s="32" t="n">
        <f aca="false">E108*$F$105</f>
        <v>21530586</v>
      </c>
      <c r="H108" s="7"/>
    </row>
    <row r="109" customFormat="false" ht="15" hidden="false" customHeight="false" outlineLevel="0" collapsed="false">
      <c r="A109" s="23" t="n">
        <v>28</v>
      </c>
      <c r="B109" s="23" t="s">
        <v>253</v>
      </c>
      <c r="C109" s="24" t="s">
        <v>62</v>
      </c>
      <c r="D109" s="23" t="s">
        <v>46</v>
      </c>
      <c r="E109" s="25" t="n">
        <f aca="false">SUM(E110:E129)</f>
        <v>1265474.655037</v>
      </c>
      <c r="F109" s="26" t="n">
        <v>10</v>
      </c>
      <c r="G109" s="27" t="n">
        <f aca="false">E109*F109</f>
        <v>12654746.55037</v>
      </c>
      <c r="H109" s="28" t="s">
        <v>254</v>
      </c>
    </row>
    <row r="110" customFormat="false" ht="23.85" hidden="false" customHeight="false" outlineLevel="1" collapsed="false">
      <c r="A110" s="7"/>
      <c r="B110" s="29" t="s">
        <v>133</v>
      </c>
      <c r="C110" s="30" t="s">
        <v>134</v>
      </c>
      <c r="D110" s="29"/>
      <c r="E110" s="31" t="n">
        <v>63929.25</v>
      </c>
      <c r="F110" s="7"/>
      <c r="G110" s="32" t="n">
        <f aca="false">E110*$F$109</f>
        <v>639292.5</v>
      </c>
      <c r="H110" s="7"/>
    </row>
    <row r="111" customFormat="false" ht="23.85" hidden="false" customHeight="false" outlineLevel="1" collapsed="false">
      <c r="A111" s="7"/>
      <c r="B111" s="29" t="s">
        <v>135</v>
      </c>
      <c r="C111" s="30" t="s">
        <v>136</v>
      </c>
      <c r="D111" s="29"/>
      <c r="E111" s="31" t="n">
        <v>690072.238296</v>
      </c>
      <c r="F111" s="7"/>
      <c r="G111" s="32" t="n">
        <f aca="false">E111*$F$109</f>
        <v>6900722.38296</v>
      </c>
      <c r="H111" s="7"/>
    </row>
    <row r="112" customFormat="false" ht="23.85" hidden="false" customHeight="false" outlineLevel="1" collapsed="false">
      <c r="A112" s="7"/>
      <c r="B112" s="29" t="s">
        <v>135</v>
      </c>
      <c r="C112" s="30" t="s">
        <v>320</v>
      </c>
      <c r="D112" s="29"/>
      <c r="E112" s="31" t="n">
        <v>10770.6336255</v>
      </c>
      <c r="F112" s="7"/>
      <c r="G112" s="32" t="n">
        <f aca="false">E112*$F$109</f>
        <v>107706.336255</v>
      </c>
      <c r="H112" s="7"/>
    </row>
    <row r="113" customFormat="false" ht="23.85" hidden="false" customHeight="false" outlineLevel="1" collapsed="false">
      <c r="A113" s="7"/>
      <c r="B113" s="29" t="s">
        <v>135</v>
      </c>
      <c r="C113" s="30" t="s">
        <v>321</v>
      </c>
      <c r="D113" s="29"/>
      <c r="E113" s="31" t="n">
        <v>11749.6443645</v>
      </c>
      <c r="F113" s="7"/>
      <c r="G113" s="32" t="n">
        <f aca="false">E113*$F$109</f>
        <v>117496.443645</v>
      </c>
      <c r="H113" s="7"/>
    </row>
    <row r="114" customFormat="false" ht="23.85" hidden="false" customHeight="false" outlineLevel="1" collapsed="false">
      <c r="A114" s="7"/>
      <c r="B114" s="29" t="s">
        <v>135</v>
      </c>
      <c r="C114" s="30" t="s">
        <v>137</v>
      </c>
      <c r="D114" s="29"/>
      <c r="E114" s="31" t="n">
        <v>152680.210389</v>
      </c>
      <c r="F114" s="7"/>
      <c r="G114" s="32" t="n">
        <f aca="false">E114*$F$109</f>
        <v>1526802.10389</v>
      </c>
      <c r="H114" s="7"/>
    </row>
    <row r="115" customFormat="false" ht="23.85" hidden="false" customHeight="false" outlineLevel="1" collapsed="false">
      <c r="A115" s="7"/>
      <c r="B115" s="29" t="s">
        <v>135</v>
      </c>
      <c r="C115" s="30" t="s">
        <v>138</v>
      </c>
      <c r="D115" s="29"/>
      <c r="E115" s="31" t="n">
        <v>42980.9962365</v>
      </c>
      <c r="F115" s="7"/>
      <c r="G115" s="32" t="n">
        <f aca="false">E115*$F$109</f>
        <v>429809.962365</v>
      </c>
      <c r="H115" s="7"/>
    </row>
    <row r="116" customFormat="false" ht="23.85" hidden="false" customHeight="false" outlineLevel="1" collapsed="false">
      <c r="A116" s="7"/>
      <c r="B116" s="29" t="s">
        <v>135</v>
      </c>
      <c r="C116" s="30" t="s">
        <v>138</v>
      </c>
      <c r="D116" s="29"/>
      <c r="E116" s="31" t="n">
        <v>41838.3118755</v>
      </c>
      <c r="F116" s="7"/>
      <c r="G116" s="32" t="n">
        <f aca="false">E116*$F$109</f>
        <v>418383.118755</v>
      </c>
      <c r="H116" s="7"/>
    </row>
    <row r="117" customFormat="false" ht="15" hidden="false" customHeight="false" outlineLevel="1" collapsed="false">
      <c r="A117" s="7"/>
      <c r="B117" s="29" t="s">
        <v>141</v>
      </c>
      <c r="C117" s="30" t="s">
        <v>142</v>
      </c>
      <c r="D117" s="29"/>
      <c r="E117" s="31" t="n">
        <v>32371.4475</v>
      </c>
      <c r="F117" s="7"/>
      <c r="G117" s="32" t="n">
        <f aca="false">E117*$F$109</f>
        <v>323714.475</v>
      </c>
      <c r="H117" s="7"/>
    </row>
    <row r="118" customFormat="false" ht="15" hidden="false" customHeight="false" outlineLevel="1" collapsed="false">
      <c r="A118" s="7"/>
      <c r="B118" s="29" t="s">
        <v>141</v>
      </c>
      <c r="C118" s="30" t="s">
        <v>142</v>
      </c>
      <c r="D118" s="29"/>
      <c r="E118" s="31" t="n">
        <v>36652.77</v>
      </c>
      <c r="F118" s="7"/>
      <c r="G118" s="32" t="n">
        <f aca="false">E118*$F$109</f>
        <v>366527.7</v>
      </c>
      <c r="H118" s="7"/>
    </row>
    <row r="119" customFormat="false" ht="23.85" hidden="false" customHeight="false" outlineLevel="1" collapsed="false">
      <c r="A119" s="7"/>
      <c r="B119" s="29" t="s">
        <v>143</v>
      </c>
      <c r="C119" s="30" t="s">
        <v>144</v>
      </c>
      <c r="D119" s="29"/>
      <c r="E119" s="31" t="n">
        <v>40633.81875</v>
      </c>
      <c r="F119" s="7"/>
      <c r="G119" s="32" t="n">
        <f aca="false">E119*$F$109</f>
        <v>406338.1875</v>
      </c>
      <c r="H119" s="7"/>
    </row>
    <row r="120" customFormat="false" ht="15" hidden="false" customHeight="false" outlineLevel="1" collapsed="false">
      <c r="A120" s="7"/>
      <c r="B120" s="29" t="s">
        <v>145</v>
      </c>
      <c r="C120" s="30" t="s">
        <v>146</v>
      </c>
      <c r="D120" s="29"/>
      <c r="E120" s="31" t="n">
        <v>8181.00675</v>
      </c>
      <c r="F120" s="7"/>
      <c r="G120" s="32" t="n">
        <f aca="false">E120*$F$109</f>
        <v>81810.0675</v>
      </c>
      <c r="H120" s="7"/>
    </row>
    <row r="121" customFormat="false" ht="15" hidden="false" customHeight="false" outlineLevel="1" collapsed="false">
      <c r="A121" s="7"/>
      <c r="B121" s="29" t="s">
        <v>127</v>
      </c>
      <c r="C121" s="30" t="s">
        <v>128</v>
      </c>
      <c r="D121" s="29"/>
      <c r="E121" s="31" t="n">
        <v>11859.375</v>
      </c>
      <c r="F121" s="7"/>
      <c r="G121" s="32" t="n">
        <f aca="false">E121*$F$109</f>
        <v>118593.75</v>
      </c>
      <c r="H121" s="7"/>
    </row>
    <row r="122" customFormat="false" ht="15" hidden="false" customHeight="false" outlineLevel="1" collapsed="false">
      <c r="A122" s="7"/>
      <c r="B122" s="29" t="s">
        <v>152</v>
      </c>
      <c r="C122" s="30" t="s">
        <v>153</v>
      </c>
      <c r="D122" s="29"/>
      <c r="E122" s="31" t="n">
        <v>22791.3875</v>
      </c>
      <c r="F122" s="7"/>
      <c r="G122" s="32" t="n">
        <f aca="false">E122*$F$109</f>
        <v>227913.875</v>
      </c>
      <c r="H122" s="7"/>
    </row>
    <row r="123" customFormat="false" ht="23.85" hidden="false" customHeight="false" outlineLevel="1" collapsed="false">
      <c r="A123" s="7"/>
      <c r="B123" s="29" t="s">
        <v>147</v>
      </c>
      <c r="C123" s="30" t="s">
        <v>148</v>
      </c>
      <c r="D123" s="29"/>
      <c r="E123" s="31" t="n">
        <v>2646.6125</v>
      </c>
      <c r="F123" s="7"/>
      <c r="G123" s="32" t="n">
        <f aca="false">E123*$F$109</f>
        <v>26466.125</v>
      </c>
      <c r="H123" s="7"/>
    </row>
    <row r="124" customFormat="false" ht="15" hidden="false" customHeight="false" outlineLevel="1" collapsed="false">
      <c r="A124" s="7"/>
      <c r="B124" s="29" t="s">
        <v>129</v>
      </c>
      <c r="C124" s="30" t="s">
        <v>128</v>
      </c>
      <c r="D124" s="29"/>
      <c r="E124" s="31" t="n">
        <v>9611.86875</v>
      </c>
      <c r="F124" s="7"/>
      <c r="G124" s="32" t="n">
        <f aca="false">E124*$F$109</f>
        <v>96118.6875</v>
      </c>
      <c r="H124" s="7"/>
    </row>
    <row r="125" customFormat="false" ht="15" hidden="false" customHeight="false" outlineLevel="1" collapsed="false">
      <c r="A125" s="7"/>
      <c r="B125" s="29" t="s">
        <v>119</v>
      </c>
      <c r="C125" s="30" t="s">
        <v>120</v>
      </c>
      <c r="D125" s="29"/>
      <c r="E125" s="31" t="n">
        <v>639.8</v>
      </c>
      <c r="F125" s="7"/>
      <c r="G125" s="32" t="n">
        <f aca="false">E125*$F$109</f>
        <v>6398</v>
      </c>
      <c r="H125" s="7"/>
    </row>
    <row r="126" customFormat="false" ht="15" hidden="false" customHeight="false" outlineLevel="1" collapsed="false">
      <c r="A126" s="7"/>
      <c r="B126" s="29" t="s">
        <v>119</v>
      </c>
      <c r="C126" s="30" t="s">
        <v>130</v>
      </c>
      <c r="D126" s="29"/>
      <c r="E126" s="31" t="n">
        <v>1279.6</v>
      </c>
      <c r="F126" s="7"/>
      <c r="G126" s="32" t="n">
        <f aca="false">E126*$F$109</f>
        <v>12796</v>
      </c>
      <c r="H126" s="7"/>
    </row>
    <row r="127" customFormat="false" ht="23.85" hidden="false" customHeight="false" outlineLevel="1" collapsed="false">
      <c r="A127" s="7"/>
      <c r="B127" s="29" t="s">
        <v>133</v>
      </c>
      <c r="C127" s="30" t="s">
        <v>151</v>
      </c>
      <c r="D127" s="29"/>
      <c r="E127" s="31" t="n">
        <v>18955.99125</v>
      </c>
      <c r="F127" s="7"/>
      <c r="G127" s="32" t="n">
        <f aca="false">E127*$F$109</f>
        <v>189559.9125</v>
      </c>
      <c r="H127" s="7"/>
    </row>
    <row r="128" customFormat="false" ht="15" hidden="false" customHeight="false" outlineLevel="1" collapsed="false">
      <c r="A128" s="7"/>
      <c r="B128" s="29" t="s">
        <v>154</v>
      </c>
      <c r="C128" s="30" t="s">
        <v>155</v>
      </c>
      <c r="D128" s="29"/>
      <c r="E128" s="31" t="n">
        <v>38745</v>
      </c>
      <c r="F128" s="7"/>
      <c r="G128" s="32" t="n">
        <f aca="false">E128*$F$109</f>
        <v>387450</v>
      </c>
      <c r="H128" s="7"/>
    </row>
    <row r="129" customFormat="false" ht="15" hidden="false" customHeight="false" outlineLevel="1" collapsed="false">
      <c r="A129" s="7"/>
      <c r="B129" s="29" t="s">
        <v>156</v>
      </c>
      <c r="C129" s="30" t="s">
        <v>155</v>
      </c>
      <c r="D129" s="29"/>
      <c r="E129" s="31" t="n">
        <v>27084.69225</v>
      </c>
      <c r="F129" s="7"/>
      <c r="G129" s="32" t="n">
        <f aca="false">E129*$F$109</f>
        <v>270846.9225</v>
      </c>
      <c r="H129" s="7"/>
    </row>
    <row r="130" customFormat="false" ht="15" hidden="false" customHeight="false" outlineLevel="0" collapsed="false">
      <c r="A130" s="23" t="n">
        <v>29</v>
      </c>
      <c r="B130" s="23" t="s">
        <v>255</v>
      </c>
      <c r="C130" s="24" t="s">
        <v>65</v>
      </c>
      <c r="D130" s="23" t="s">
        <v>18</v>
      </c>
      <c r="E130" s="25" t="n">
        <f aca="false">SUM(E131:E131)</f>
        <v>491.88</v>
      </c>
      <c r="F130" s="26" t="n">
        <v>3670000</v>
      </c>
      <c r="G130" s="27" t="n">
        <f aca="false">E130*F130</f>
        <v>1805199600</v>
      </c>
      <c r="H130" s="28" t="s">
        <v>256</v>
      </c>
    </row>
    <row r="131" customFormat="false" ht="15" hidden="false" customHeight="false" outlineLevel="1" collapsed="false">
      <c r="A131" s="7"/>
      <c r="B131" s="29" t="s">
        <v>123</v>
      </c>
      <c r="C131" s="30" t="s">
        <v>257</v>
      </c>
      <c r="D131" s="29"/>
      <c r="E131" s="31" t="n">
        <v>491.88</v>
      </c>
      <c r="F131" s="7"/>
      <c r="G131" s="32" t="n">
        <f aca="false">E131*$F$130</f>
        <v>1805199600</v>
      </c>
      <c r="H131" s="7"/>
    </row>
    <row r="132" customFormat="false" ht="15" hidden="false" customHeight="false" outlineLevel="0" collapsed="false">
      <c r="A132" s="23" t="n">
        <v>30</v>
      </c>
      <c r="B132" s="23" t="s">
        <v>258</v>
      </c>
      <c r="C132" s="24" t="s">
        <v>66</v>
      </c>
      <c r="D132" s="23" t="s">
        <v>18</v>
      </c>
      <c r="E132" s="25" t="n">
        <f aca="false">SUM(E133:E133)</f>
        <v>66.8317</v>
      </c>
      <c r="F132" s="26" t="n">
        <v>64910</v>
      </c>
      <c r="G132" s="27" t="n">
        <f aca="false">E132*F132</f>
        <v>4338045.647</v>
      </c>
      <c r="H132" s="28" t="s">
        <v>259</v>
      </c>
    </row>
    <row r="133" customFormat="false" ht="23.85" hidden="false" customHeight="false" outlineLevel="1" collapsed="false">
      <c r="A133" s="7"/>
      <c r="B133" s="29" t="s">
        <v>166</v>
      </c>
      <c r="C133" s="30" t="s">
        <v>167</v>
      </c>
      <c r="D133" s="29"/>
      <c r="E133" s="31" t="n">
        <v>66.8317</v>
      </c>
      <c r="F133" s="7"/>
      <c r="G133" s="32" t="n">
        <f aca="false">E133*$F$132</f>
        <v>4338045.647</v>
      </c>
      <c r="H133" s="7"/>
    </row>
    <row r="134" customFormat="false" ht="15" hidden="false" customHeight="false" outlineLevel="0" collapsed="false">
      <c r="A134" s="23" t="n">
        <v>31</v>
      </c>
      <c r="B134" s="23" t="s">
        <v>260</v>
      </c>
      <c r="C134" s="24" t="s">
        <v>67</v>
      </c>
      <c r="D134" s="23" t="s">
        <v>18</v>
      </c>
      <c r="E134" s="25" t="n">
        <f aca="false">SUM(E135:E135)</f>
        <v>505</v>
      </c>
      <c r="F134" s="26" t="n">
        <v>592400</v>
      </c>
      <c r="G134" s="27" t="n">
        <f aca="false">E134*F134</f>
        <v>299162000</v>
      </c>
      <c r="H134" s="28" t="s">
        <v>261</v>
      </c>
    </row>
    <row r="135" customFormat="false" ht="23.85" hidden="false" customHeight="false" outlineLevel="1" collapsed="false">
      <c r="A135" s="7"/>
      <c r="B135" s="29" t="s">
        <v>168</v>
      </c>
      <c r="C135" s="30" t="s">
        <v>169</v>
      </c>
      <c r="D135" s="29"/>
      <c r="E135" s="31" t="n">
        <v>505</v>
      </c>
      <c r="F135" s="7"/>
      <c r="G135" s="32" t="n">
        <f aca="false">E135*$F$134</f>
        <v>299162000</v>
      </c>
      <c r="H135" s="7"/>
    </row>
    <row r="136" customFormat="false" ht="15" hidden="false" customHeight="false" outlineLevel="0" collapsed="false">
      <c r="A136" s="23" t="n">
        <v>32</v>
      </c>
      <c r="B136" s="23" t="s">
        <v>235</v>
      </c>
      <c r="C136" s="24" t="s">
        <v>71</v>
      </c>
      <c r="D136" s="23" t="s">
        <v>20</v>
      </c>
      <c r="E136" s="25" t="n">
        <f aca="false">SUM(E137:E142)</f>
        <v>11199.263152</v>
      </c>
      <c r="F136" s="26" t="n">
        <v>60000</v>
      </c>
      <c r="G136" s="27" t="n">
        <f aca="false">E136*F136</f>
        <v>671955789.12</v>
      </c>
      <c r="H136" s="28" t="s">
        <v>262</v>
      </c>
    </row>
    <row r="137" customFormat="false" ht="23.85" hidden="false" customHeight="false" outlineLevel="1" collapsed="false">
      <c r="A137" s="7"/>
      <c r="B137" s="29" t="s">
        <v>135</v>
      </c>
      <c r="C137" s="30" t="s">
        <v>136</v>
      </c>
      <c r="D137" s="29"/>
      <c r="E137" s="31" t="n">
        <v>8134.265216</v>
      </c>
      <c r="F137" s="7"/>
      <c r="G137" s="32" t="n">
        <f aca="false">E137*$F$136</f>
        <v>488055912.96</v>
      </c>
      <c r="H137" s="7"/>
    </row>
    <row r="138" customFormat="false" ht="23.85" hidden="false" customHeight="false" outlineLevel="1" collapsed="false">
      <c r="A138" s="7"/>
      <c r="B138" s="29" t="s">
        <v>135</v>
      </c>
      <c r="C138" s="30" t="s">
        <v>320</v>
      </c>
      <c r="D138" s="29"/>
      <c r="E138" s="31" t="n">
        <v>126.959448</v>
      </c>
      <c r="F138" s="7"/>
      <c r="G138" s="32" t="n">
        <f aca="false">E138*$F$136</f>
        <v>7617566.88</v>
      </c>
      <c r="H138" s="7"/>
    </row>
    <row r="139" customFormat="false" ht="23.85" hidden="false" customHeight="false" outlineLevel="1" collapsed="false">
      <c r="A139" s="7"/>
      <c r="B139" s="29" t="s">
        <v>135</v>
      </c>
      <c r="C139" s="30" t="s">
        <v>321</v>
      </c>
      <c r="D139" s="29"/>
      <c r="E139" s="31" t="n">
        <v>138.499592</v>
      </c>
      <c r="F139" s="7"/>
      <c r="G139" s="32" t="n">
        <f aca="false">E139*$F$136</f>
        <v>8309975.52</v>
      </c>
      <c r="H139" s="7"/>
    </row>
    <row r="140" customFormat="false" ht="23.85" hidden="false" customHeight="false" outlineLevel="1" collapsed="false">
      <c r="A140" s="7"/>
      <c r="B140" s="29" t="s">
        <v>135</v>
      </c>
      <c r="C140" s="30" t="s">
        <v>137</v>
      </c>
      <c r="D140" s="29"/>
      <c r="E140" s="31" t="n">
        <v>1799.726544</v>
      </c>
      <c r="F140" s="7"/>
      <c r="G140" s="32" t="n">
        <f aca="false">E140*$F$136</f>
        <v>107983592.64</v>
      </c>
      <c r="H140" s="7"/>
    </row>
    <row r="141" customFormat="false" ht="23.85" hidden="false" customHeight="false" outlineLevel="1" collapsed="false">
      <c r="A141" s="7"/>
      <c r="B141" s="29" t="s">
        <v>135</v>
      </c>
      <c r="C141" s="30" t="s">
        <v>138</v>
      </c>
      <c r="D141" s="29"/>
      <c r="E141" s="31" t="n">
        <v>506.640904</v>
      </c>
      <c r="F141" s="7"/>
      <c r="G141" s="32" t="n">
        <f aca="false">E141*$F$136</f>
        <v>30398454.24</v>
      </c>
      <c r="H141" s="7"/>
    </row>
    <row r="142" customFormat="false" ht="23.85" hidden="false" customHeight="false" outlineLevel="1" collapsed="false">
      <c r="A142" s="7"/>
      <c r="B142" s="29" t="s">
        <v>135</v>
      </c>
      <c r="C142" s="30" t="s">
        <v>138</v>
      </c>
      <c r="D142" s="29"/>
      <c r="E142" s="31" t="n">
        <v>493.171448</v>
      </c>
      <c r="F142" s="7"/>
      <c r="G142" s="32" t="n">
        <f aca="false">E142*$F$136</f>
        <v>29590286.88</v>
      </c>
      <c r="H142" s="7"/>
    </row>
    <row r="143" customFormat="false" ht="15" hidden="false" customHeight="false" outlineLevel="0" collapsed="false">
      <c r="A143" s="23" t="n">
        <v>33</v>
      </c>
      <c r="B143" s="23" t="s">
        <v>263</v>
      </c>
      <c r="C143" s="24" t="s">
        <v>72</v>
      </c>
      <c r="D143" s="23" t="s">
        <v>20</v>
      </c>
      <c r="E143" s="25" t="n">
        <f aca="false">SUM(E144:E145)</f>
        <v>295.8076</v>
      </c>
      <c r="F143" s="26" t="n">
        <v>23000</v>
      </c>
      <c r="G143" s="27" t="n">
        <f aca="false">E143*F143</f>
        <v>6803574.8</v>
      </c>
      <c r="H143" s="28" t="s">
        <v>264</v>
      </c>
    </row>
    <row r="144" customFormat="false" ht="15" hidden="false" customHeight="false" outlineLevel="1" collapsed="false">
      <c r="A144" s="7"/>
      <c r="B144" s="29" t="s">
        <v>152</v>
      </c>
      <c r="C144" s="30" t="s">
        <v>153</v>
      </c>
      <c r="D144" s="29"/>
      <c r="E144" s="31" t="n">
        <v>265.0312775</v>
      </c>
      <c r="F144" s="7"/>
      <c r="G144" s="32" t="n">
        <f aca="false">E144*$F$143</f>
        <v>6095719.3825</v>
      </c>
      <c r="H144" s="7"/>
    </row>
    <row r="145" customFormat="false" ht="23.85" hidden="false" customHeight="false" outlineLevel="1" collapsed="false">
      <c r="A145" s="7"/>
      <c r="B145" s="29" t="s">
        <v>147</v>
      </c>
      <c r="C145" s="30" t="s">
        <v>148</v>
      </c>
      <c r="D145" s="29"/>
      <c r="E145" s="31" t="n">
        <v>30.7763225</v>
      </c>
      <c r="F145" s="7"/>
      <c r="G145" s="32" t="n">
        <f aca="false">E145*$F$143</f>
        <v>707855.4175</v>
      </c>
      <c r="H145" s="7"/>
    </row>
    <row r="146" customFormat="false" ht="15" hidden="false" customHeight="false" outlineLevel="0" collapsed="false">
      <c r="A146" s="23" t="n">
        <v>34</v>
      </c>
      <c r="B146" s="23" t="s">
        <v>107</v>
      </c>
      <c r="C146" s="24" t="s">
        <v>73</v>
      </c>
      <c r="D146" s="23" t="s">
        <v>20</v>
      </c>
      <c r="E146" s="25" t="n">
        <f aca="false">SUM(E147:E168)</f>
        <v>903.9881588</v>
      </c>
      <c r="F146" s="26" t="n">
        <v>25000</v>
      </c>
      <c r="G146" s="27" t="n">
        <f aca="false">E146*F146</f>
        <v>22599703.97</v>
      </c>
      <c r="H146" s="28" t="s">
        <v>108</v>
      </c>
    </row>
    <row r="147" customFormat="false" ht="15" hidden="false" customHeight="false" outlineLevel="1" collapsed="false">
      <c r="A147" s="7"/>
      <c r="B147" s="29" t="s">
        <v>265</v>
      </c>
      <c r="C147" s="30" t="s">
        <v>266</v>
      </c>
      <c r="D147" s="29"/>
      <c r="E147" s="31" t="n">
        <v>14.8656</v>
      </c>
      <c r="F147" s="7"/>
      <c r="G147" s="32" t="n">
        <f aca="false">E147*$F$146</f>
        <v>371640</v>
      </c>
      <c r="H147" s="7"/>
    </row>
    <row r="148" customFormat="false" ht="15" hidden="false" customHeight="false" outlineLevel="1" collapsed="false">
      <c r="A148" s="7"/>
      <c r="B148" s="29" t="s">
        <v>267</v>
      </c>
      <c r="C148" s="30" t="s">
        <v>355</v>
      </c>
      <c r="D148" s="29"/>
      <c r="E148" s="31" t="n">
        <v>477.61003</v>
      </c>
      <c r="F148" s="7"/>
      <c r="G148" s="32" t="n">
        <f aca="false">E148*$F$146</f>
        <v>11940250.75</v>
      </c>
      <c r="H148" s="7"/>
    </row>
    <row r="149" customFormat="false" ht="15" hidden="false" customHeight="false" outlineLevel="1" collapsed="false">
      <c r="A149" s="7"/>
      <c r="B149" s="29" t="s">
        <v>210</v>
      </c>
      <c r="C149" s="30" t="s">
        <v>211</v>
      </c>
      <c r="D149" s="29"/>
      <c r="E149" s="31" t="n">
        <v>88.5373268</v>
      </c>
      <c r="F149" s="7"/>
      <c r="G149" s="32" t="n">
        <f aca="false">E149*$F$146</f>
        <v>2213433.17</v>
      </c>
      <c r="H149" s="7"/>
    </row>
    <row r="150" customFormat="false" ht="15" hidden="false" customHeight="false" outlineLevel="1" collapsed="false">
      <c r="A150" s="7"/>
      <c r="B150" s="29" t="s">
        <v>210</v>
      </c>
      <c r="C150" s="30" t="s">
        <v>212</v>
      </c>
      <c r="D150" s="29"/>
      <c r="E150" s="31" t="n">
        <v>17.70746536</v>
      </c>
      <c r="F150" s="7"/>
      <c r="G150" s="32" t="n">
        <f aca="false">E150*$F$146</f>
        <v>442686.634</v>
      </c>
      <c r="H150" s="7"/>
    </row>
    <row r="151" customFormat="false" ht="15" hidden="false" customHeight="false" outlineLevel="1" collapsed="false">
      <c r="A151" s="7"/>
      <c r="B151" s="29" t="s">
        <v>267</v>
      </c>
      <c r="C151" s="30" t="s">
        <v>351</v>
      </c>
      <c r="D151" s="29"/>
      <c r="E151" s="31" t="n">
        <v>8.6754</v>
      </c>
      <c r="F151" s="7"/>
      <c r="G151" s="32" t="n">
        <f aca="false">E151*$F$146</f>
        <v>216885</v>
      </c>
      <c r="H151" s="7"/>
    </row>
    <row r="152" customFormat="false" ht="15" hidden="false" customHeight="false" outlineLevel="1" collapsed="false">
      <c r="A152" s="7"/>
      <c r="B152" s="29" t="s">
        <v>210</v>
      </c>
      <c r="C152" s="30" t="s">
        <v>336</v>
      </c>
      <c r="D152" s="29"/>
      <c r="E152" s="31" t="n">
        <v>1.8541094</v>
      </c>
      <c r="F152" s="7"/>
      <c r="G152" s="32" t="n">
        <f aca="false">E152*$F$146</f>
        <v>46352.735</v>
      </c>
      <c r="H152" s="7"/>
    </row>
    <row r="153" customFormat="false" ht="15" hidden="false" customHeight="false" outlineLevel="1" collapsed="false">
      <c r="A153" s="7"/>
      <c r="B153" s="29" t="s">
        <v>210</v>
      </c>
      <c r="C153" s="30" t="s">
        <v>212</v>
      </c>
      <c r="D153" s="29"/>
      <c r="E153" s="31" t="n">
        <v>0.37082188</v>
      </c>
      <c r="F153" s="7"/>
      <c r="G153" s="32" t="n">
        <f aca="false">E153*$F$146</f>
        <v>9270.547</v>
      </c>
      <c r="H153" s="7"/>
    </row>
    <row r="154" customFormat="false" ht="15" hidden="false" customHeight="false" outlineLevel="1" collapsed="false">
      <c r="A154" s="7"/>
      <c r="B154" s="29" t="s">
        <v>267</v>
      </c>
      <c r="C154" s="30" t="s">
        <v>352</v>
      </c>
      <c r="D154" s="29"/>
      <c r="E154" s="31" t="n">
        <v>9.46409</v>
      </c>
      <c r="F154" s="7"/>
      <c r="G154" s="32" t="n">
        <f aca="false">E154*$F$146</f>
        <v>236602.25</v>
      </c>
      <c r="H154" s="7"/>
    </row>
    <row r="155" customFormat="false" ht="15" hidden="false" customHeight="false" outlineLevel="1" collapsed="false">
      <c r="A155" s="7"/>
      <c r="B155" s="29" t="s">
        <v>210</v>
      </c>
      <c r="C155" s="30" t="s">
        <v>337</v>
      </c>
      <c r="D155" s="29"/>
      <c r="E155" s="31" t="n">
        <v>2.0226648</v>
      </c>
      <c r="F155" s="7"/>
      <c r="G155" s="32" t="n">
        <f aca="false">E155*$F$146</f>
        <v>50566.62</v>
      </c>
      <c r="H155" s="7"/>
    </row>
    <row r="156" customFormat="false" ht="15" hidden="false" customHeight="false" outlineLevel="1" collapsed="false">
      <c r="A156" s="7"/>
      <c r="B156" s="29" t="s">
        <v>210</v>
      </c>
      <c r="C156" s="30" t="s">
        <v>212</v>
      </c>
      <c r="D156" s="29"/>
      <c r="E156" s="31" t="n">
        <v>0.40453296</v>
      </c>
      <c r="F156" s="7"/>
      <c r="G156" s="32" t="n">
        <f aca="false">E156*$F$146</f>
        <v>10113.324</v>
      </c>
      <c r="H156" s="7"/>
    </row>
    <row r="157" customFormat="false" ht="15" hidden="false" customHeight="false" outlineLevel="1" collapsed="false">
      <c r="A157" s="7"/>
      <c r="B157" s="29" t="s">
        <v>267</v>
      </c>
      <c r="C157" s="30" t="s">
        <v>269</v>
      </c>
      <c r="D157" s="29"/>
      <c r="E157" s="31" t="n">
        <v>82.28748</v>
      </c>
      <c r="F157" s="7"/>
      <c r="G157" s="32" t="n">
        <f aca="false">E157*$F$146</f>
        <v>2057187</v>
      </c>
      <c r="H157" s="7"/>
    </row>
    <row r="158" customFormat="false" ht="15" hidden="false" customHeight="false" outlineLevel="1" collapsed="false">
      <c r="A158" s="7"/>
      <c r="B158" s="29" t="s">
        <v>267</v>
      </c>
      <c r="C158" s="30" t="s">
        <v>270</v>
      </c>
      <c r="D158" s="29"/>
      <c r="E158" s="31" t="n">
        <v>32.12387</v>
      </c>
      <c r="F158" s="7"/>
      <c r="G158" s="32" t="n">
        <f aca="false">E158*$F$146</f>
        <v>803096.75</v>
      </c>
      <c r="H158" s="7"/>
    </row>
    <row r="159" customFormat="false" ht="15" hidden="false" customHeight="false" outlineLevel="1" collapsed="false">
      <c r="A159" s="7"/>
      <c r="B159" s="29" t="s">
        <v>267</v>
      </c>
      <c r="C159" s="30" t="s">
        <v>270</v>
      </c>
      <c r="D159" s="29"/>
      <c r="E159" s="31" t="n">
        <v>31.37641</v>
      </c>
      <c r="F159" s="7"/>
      <c r="G159" s="32" t="n">
        <f aca="false">E159*$F$146</f>
        <v>784410.25</v>
      </c>
      <c r="H159" s="7"/>
    </row>
    <row r="160" customFormat="false" ht="15" hidden="false" customHeight="false" outlineLevel="1" collapsed="false">
      <c r="A160" s="7"/>
      <c r="B160" s="29" t="s">
        <v>272</v>
      </c>
      <c r="C160" s="30" t="s">
        <v>273</v>
      </c>
      <c r="D160" s="29"/>
      <c r="E160" s="31" t="n">
        <v>1.58</v>
      </c>
      <c r="F160" s="7"/>
      <c r="G160" s="32" t="n">
        <f aca="false">E160*$F$146</f>
        <v>39500</v>
      </c>
      <c r="H160" s="7"/>
    </row>
    <row r="161" customFormat="false" ht="15" hidden="false" customHeight="false" outlineLevel="1" collapsed="false">
      <c r="A161" s="7"/>
      <c r="B161" s="29" t="s">
        <v>172</v>
      </c>
      <c r="C161" s="30" t="s">
        <v>173</v>
      </c>
      <c r="D161" s="29"/>
      <c r="E161" s="31" t="n">
        <v>30.57992</v>
      </c>
      <c r="F161" s="7"/>
      <c r="G161" s="32" t="n">
        <f aca="false">E161*$F$146</f>
        <v>764498</v>
      </c>
      <c r="H161" s="7"/>
    </row>
    <row r="162" customFormat="false" ht="15" hidden="false" customHeight="false" outlineLevel="1" collapsed="false">
      <c r="A162" s="7"/>
      <c r="B162" s="29" t="s">
        <v>172</v>
      </c>
      <c r="C162" s="30" t="s">
        <v>173</v>
      </c>
      <c r="D162" s="29"/>
      <c r="E162" s="31" t="n">
        <v>32.53208</v>
      </c>
      <c r="F162" s="7"/>
      <c r="G162" s="32" t="n">
        <f aca="false">E162*$F$146</f>
        <v>813302</v>
      </c>
      <c r="H162" s="7"/>
    </row>
    <row r="163" customFormat="false" ht="15" hidden="false" customHeight="false" outlineLevel="1" collapsed="false">
      <c r="A163" s="7"/>
      <c r="B163" s="29" t="s">
        <v>265</v>
      </c>
      <c r="C163" s="30" t="s">
        <v>274</v>
      </c>
      <c r="D163" s="29"/>
      <c r="E163" s="31" t="n">
        <v>31.684592</v>
      </c>
      <c r="F163" s="7"/>
      <c r="G163" s="32" t="n">
        <f aca="false">E163*$F$146</f>
        <v>792114.8</v>
      </c>
      <c r="H163" s="7"/>
    </row>
    <row r="164" customFormat="false" ht="15" hidden="false" customHeight="false" outlineLevel="1" collapsed="false">
      <c r="A164" s="7"/>
      <c r="B164" s="29" t="s">
        <v>265</v>
      </c>
      <c r="C164" s="30" t="s">
        <v>275</v>
      </c>
      <c r="D164" s="29"/>
      <c r="E164" s="31" t="n">
        <v>4.811108</v>
      </c>
      <c r="F164" s="7"/>
      <c r="G164" s="32" t="n">
        <f aca="false">E164*$F$146</f>
        <v>120277.7</v>
      </c>
      <c r="H164" s="7"/>
    </row>
    <row r="165" customFormat="false" ht="15" hidden="false" customHeight="false" outlineLevel="1" collapsed="false">
      <c r="A165" s="7"/>
      <c r="B165" s="29" t="s">
        <v>265</v>
      </c>
      <c r="C165" s="30" t="s">
        <v>276</v>
      </c>
      <c r="D165" s="29"/>
      <c r="E165" s="31" t="n">
        <v>27.983514</v>
      </c>
      <c r="F165" s="7"/>
      <c r="G165" s="32" t="n">
        <f aca="false">E165*$F$146</f>
        <v>699587.85</v>
      </c>
      <c r="H165" s="7"/>
    </row>
    <row r="166" customFormat="false" ht="15" hidden="false" customHeight="false" outlineLevel="1" collapsed="false">
      <c r="A166" s="7"/>
      <c r="B166" s="29" t="s">
        <v>267</v>
      </c>
      <c r="C166" s="30" t="s">
        <v>277</v>
      </c>
      <c r="D166" s="29"/>
      <c r="E166" s="31" t="n">
        <v>1.38643</v>
      </c>
      <c r="F166" s="7"/>
      <c r="G166" s="32" t="n">
        <f aca="false">E166*$F$146</f>
        <v>34660.75</v>
      </c>
      <c r="H166" s="7"/>
    </row>
    <row r="167" customFormat="false" ht="15" hidden="false" customHeight="false" outlineLevel="1" collapsed="false">
      <c r="A167" s="7"/>
      <c r="B167" s="29" t="s">
        <v>219</v>
      </c>
      <c r="C167" s="30" t="s">
        <v>220</v>
      </c>
      <c r="D167" s="29"/>
      <c r="E167" s="31" t="n">
        <v>4.6837496</v>
      </c>
      <c r="F167" s="7"/>
      <c r="G167" s="32" t="n">
        <f aca="false">E167*$F$146</f>
        <v>117093.74</v>
      </c>
      <c r="H167" s="7"/>
    </row>
    <row r="168" customFormat="false" ht="15" hidden="false" customHeight="false" outlineLevel="1" collapsed="false">
      <c r="A168" s="7"/>
      <c r="B168" s="29" t="s">
        <v>272</v>
      </c>
      <c r="C168" s="30" t="s">
        <v>273</v>
      </c>
      <c r="D168" s="29"/>
      <c r="E168" s="31" t="n">
        <v>1.446964</v>
      </c>
      <c r="F168" s="7"/>
      <c r="G168" s="32" t="n">
        <f aca="false">E168*$F$146</f>
        <v>36174.1</v>
      </c>
      <c r="H168" s="7"/>
    </row>
    <row r="169" customFormat="false" ht="15" hidden="false" customHeight="false" outlineLevel="0" collapsed="false">
      <c r="A169" s="23" t="n">
        <v>35</v>
      </c>
      <c r="B169" s="23" t="s">
        <v>117</v>
      </c>
      <c r="C169" s="24" t="s">
        <v>76</v>
      </c>
      <c r="D169" s="23" t="s">
        <v>18</v>
      </c>
      <c r="E169" s="25" t="n">
        <f aca="false">SUM(E170:E170)</f>
        <v>936.85</v>
      </c>
      <c r="F169" s="26" t="n">
        <v>82500</v>
      </c>
      <c r="G169" s="27" t="n">
        <f aca="false">E169*F169</f>
        <v>77290125</v>
      </c>
      <c r="H169" s="28" t="s">
        <v>284</v>
      </c>
    </row>
    <row r="170" customFormat="false" ht="15" hidden="false" customHeight="false" outlineLevel="1" collapsed="false">
      <c r="A170" s="7"/>
      <c r="B170" s="29" t="s">
        <v>119</v>
      </c>
      <c r="C170" s="30" t="s">
        <v>130</v>
      </c>
      <c r="D170" s="29"/>
      <c r="E170" s="31" t="n">
        <v>936.85</v>
      </c>
      <c r="F170" s="7"/>
      <c r="G170" s="32" t="n">
        <f aca="false">E170*$F$169</f>
        <v>77290125</v>
      </c>
      <c r="H170" s="7"/>
    </row>
    <row r="171" customFormat="false" ht="15" hidden="false" customHeight="false" outlineLevel="0" collapsed="false">
      <c r="A171" s="23" t="n">
        <v>36</v>
      </c>
      <c r="B171" s="23" t="s">
        <v>287</v>
      </c>
      <c r="C171" s="24" t="s">
        <v>78</v>
      </c>
      <c r="D171" s="23" t="s">
        <v>20</v>
      </c>
      <c r="E171" s="25" t="n">
        <f aca="false">SUM(E172:E184)</f>
        <v>6838.59943</v>
      </c>
      <c r="F171" s="26" t="n">
        <v>14157</v>
      </c>
      <c r="G171" s="27" t="n">
        <f aca="false">E171*F171</f>
        <v>96814052.13051</v>
      </c>
      <c r="H171" s="28" t="s">
        <v>288</v>
      </c>
    </row>
    <row r="172" customFormat="false" ht="15" hidden="false" customHeight="false" outlineLevel="1" collapsed="false">
      <c r="A172" s="7"/>
      <c r="B172" s="29" t="s">
        <v>265</v>
      </c>
      <c r="C172" s="30" t="s">
        <v>266</v>
      </c>
      <c r="D172" s="29"/>
      <c r="E172" s="31" t="n">
        <v>146.0112</v>
      </c>
      <c r="F172" s="7"/>
      <c r="G172" s="32" t="n">
        <f aca="false">E172*$F$171</f>
        <v>2067080.5584</v>
      </c>
      <c r="H172" s="7"/>
    </row>
    <row r="173" customFormat="false" ht="15" hidden="false" customHeight="false" outlineLevel="1" collapsed="false">
      <c r="A173" s="7"/>
      <c r="B173" s="29" t="s">
        <v>267</v>
      </c>
      <c r="C173" s="30" t="s">
        <v>355</v>
      </c>
      <c r="D173" s="29"/>
      <c r="E173" s="31" t="n">
        <v>4092.363836</v>
      </c>
      <c r="F173" s="7"/>
      <c r="G173" s="32" t="n">
        <f aca="false">E173*$F$171</f>
        <v>57935594.826252</v>
      </c>
      <c r="H173" s="7"/>
    </row>
    <row r="174" customFormat="false" ht="15" hidden="false" customHeight="false" outlineLevel="1" collapsed="false">
      <c r="A174" s="7"/>
      <c r="B174" s="29" t="s">
        <v>267</v>
      </c>
      <c r="C174" s="30" t="s">
        <v>351</v>
      </c>
      <c r="D174" s="29"/>
      <c r="E174" s="31" t="n">
        <v>74.33448</v>
      </c>
      <c r="F174" s="7"/>
      <c r="G174" s="32" t="n">
        <f aca="false">E174*$F$171</f>
        <v>1052353.23336</v>
      </c>
      <c r="H174" s="7"/>
    </row>
    <row r="175" customFormat="false" ht="15" hidden="false" customHeight="false" outlineLevel="1" collapsed="false">
      <c r="A175" s="7"/>
      <c r="B175" s="29" t="s">
        <v>267</v>
      </c>
      <c r="C175" s="30" t="s">
        <v>352</v>
      </c>
      <c r="D175" s="29"/>
      <c r="E175" s="31" t="n">
        <v>81.092308</v>
      </c>
      <c r="F175" s="7"/>
      <c r="G175" s="32" t="n">
        <f aca="false">E175*$F$171</f>
        <v>1148023.804356</v>
      </c>
      <c r="H175" s="7"/>
    </row>
    <row r="176" customFormat="false" ht="15" hidden="false" customHeight="false" outlineLevel="1" collapsed="false">
      <c r="A176" s="7"/>
      <c r="B176" s="29" t="s">
        <v>267</v>
      </c>
      <c r="C176" s="30" t="s">
        <v>269</v>
      </c>
      <c r="D176" s="29"/>
      <c r="E176" s="31" t="n">
        <v>705.073776</v>
      </c>
      <c r="F176" s="7"/>
      <c r="G176" s="32" t="n">
        <f aca="false">E176*$F$171</f>
        <v>9981729.446832</v>
      </c>
      <c r="H176" s="7"/>
    </row>
    <row r="177" customFormat="false" ht="15" hidden="false" customHeight="false" outlineLevel="1" collapsed="false">
      <c r="A177" s="7"/>
      <c r="B177" s="29" t="s">
        <v>267</v>
      </c>
      <c r="C177" s="30" t="s">
        <v>270</v>
      </c>
      <c r="D177" s="29"/>
      <c r="E177" s="31" t="n">
        <v>275.250844</v>
      </c>
      <c r="F177" s="7"/>
      <c r="G177" s="32" t="n">
        <f aca="false">E177*$F$171</f>
        <v>3896726.198508</v>
      </c>
      <c r="H177" s="7"/>
    </row>
    <row r="178" customFormat="false" ht="15" hidden="false" customHeight="false" outlineLevel="1" collapsed="false">
      <c r="A178" s="7"/>
      <c r="B178" s="29" t="s">
        <v>267</v>
      </c>
      <c r="C178" s="30" t="s">
        <v>270</v>
      </c>
      <c r="D178" s="29"/>
      <c r="E178" s="31" t="n">
        <v>268.846292</v>
      </c>
      <c r="F178" s="7"/>
      <c r="G178" s="32" t="n">
        <f aca="false">E178*$F$171</f>
        <v>3806056.955844</v>
      </c>
      <c r="H178" s="7"/>
    </row>
    <row r="179" customFormat="false" ht="15" hidden="false" customHeight="false" outlineLevel="1" collapsed="false">
      <c r="A179" s="7"/>
      <c r="B179" s="29" t="s">
        <v>172</v>
      </c>
      <c r="C179" s="30" t="s">
        <v>173</v>
      </c>
      <c r="D179" s="29"/>
      <c r="E179" s="31" t="n">
        <v>266.700588</v>
      </c>
      <c r="F179" s="7"/>
      <c r="G179" s="32" t="n">
        <f aca="false">E179*$F$171</f>
        <v>3775680.224316</v>
      </c>
      <c r="H179" s="7"/>
    </row>
    <row r="180" customFormat="false" ht="15" hidden="false" customHeight="false" outlineLevel="1" collapsed="false">
      <c r="A180" s="7"/>
      <c r="B180" s="29" t="s">
        <v>172</v>
      </c>
      <c r="C180" s="30" t="s">
        <v>173</v>
      </c>
      <c r="D180" s="29"/>
      <c r="E180" s="31" t="n">
        <v>283.726212</v>
      </c>
      <c r="F180" s="7"/>
      <c r="G180" s="32" t="n">
        <f aca="false">E180*$F$171</f>
        <v>4016711.983284</v>
      </c>
      <c r="H180" s="7"/>
    </row>
    <row r="181" customFormat="false" ht="15" hidden="false" customHeight="false" outlineLevel="1" collapsed="false">
      <c r="A181" s="7"/>
      <c r="B181" s="29" t="s">
        <v>265</v>
      </c>
      <c r="C181" s="30" t="s">
        <v>274</v>
      </c>
      <c r="D181" s="29"/>
      <c r="E181" s="31" t="n">
        <v>311.208784</v>
      </c>
      <c r="F181" s="7"/>
      <c r="G181" s="32" t="n">
        <f aca="false">E181*$F$171</f>
        <v>4405782.755088</v>
      </c>
      <c r="H181" s="7"/>
    </row>
    <row r="182" customFormat="false" ht="15" hidden="false" customHeight="false" outlineLevel="1" collapsed="false">
      <c r="A182" s="7"/>
      <c r="B182" s="29" t="s">
        <v>265</v>
      </c>
      <c r="C182" s="30" t="s">
        <v>275</v>
      </c>
      <c r="D182" s="29"/>
      <c r="E182" s="31" t="n">
        <v>47.255116</v>
      </c>
      <c r="F182" s="7"/>
      <c r="G182" s="32" t="n">
        <f aca="false">E182*$F$171</f>
        <v>668990.677212</v>
      </c>
      <c r="H182" s="7"/>
    </row>
    <row r="183" customFormat="false" ht="15" hidden="false" customHeight="false" outlineLevel="1" collapsed="false">
      <c r="A183" s="7"/>
      <c r="B183" s="29" t="s">
        <v>265</v>
      </c>
      <c r="C183" s="30" t="s">
        <v>276</v>
      </c>
      <c r="D183" s="29"/>
      <c r="E183" s="31" t="n">
        <v>274.856478</v>
      </c>
      <c r="F183" s="7"/>
      <c r="G183" s="32" t="n">
        <f aca="false">E183*$F$171</f>
        <v>3891143.159046</v>
      </c>
      <c r="H183" s="7"/>
    </row>
    <row r="184" customFormat="false" ht="15" hidden="false" customHeight="false" outlineLevel="1" collapsed="false">
      <c r="A184" s="7"/>
      <c r="B184" s="29" t="s">
        <v>267</v>
      </c>
      <c r="C184" s="30" t="s">
        <v>277</v>
      </c>
      <c r="D184" s="29"/>
      <c r="E184" s="31" t="n">
        <v>11.879516</v>
      </c>
      <c r="F184" s="7"/>
      <c r="G184" s="32" t="n">
        <f aca="false">E184*$F$171</f>
        <v>168178.308012</v>
      </c>
      <c r="H184" s="7"/>
    </row>
    <row r="185" customFormat="false" ht="15" hidden="false" customHeight="false" outlineLevel="0" collapsed="false">
      <c r="A185" s="23" t="n">
        <v>37</v>
      </c>
      <c r="B185" s="23" t="s">
        <v>289</v>
      </c>
      <c r="C185" s="24" t="s">
        <v>80</v>
      </c>
      <c r="D185" s="23" t="s">
        <v>20</v>
      </c>
      <c r="E185" s="25" t="n">
        <f aca="false">SUM(E186:E187)</f>
        <v>60.3477</v>
      </c>
      <c r="F185" s="26" t="n">
        <v>14157</v>
      </c>
      <c r="G185" s="27" t="n">
        <f aca="false">E185*F185</f>
        <v>854342.3889</v>
      </c>
      <c r="H185" s="28" t="s">
        <v>290</v>
      </c>
    </row>
    <row r="186" customFormat="false" ht="15" hidden="false" customHeight="false" outlineLevel="1" collapsed="false">
      <c r="A186" s="7"/>
      <c r="B186" s="29" t="s">
        <v>272</v>
      </c>
      <c r="C186" s="30" t="s">
        <v>273</v>
      </c>
      <c r="D186" s="29"/>
      <c r="E186" s="31" t="n">
        <v>31.5</v>
      </c>
      <c r="F186" s="7"/>
      <c r="G186" s="32" t="n">
        <f aca="false">E186*$F$185</f>
        <v>445945.5</v>
      </c>
      <c r="H186" s="7"/>
    </row>
    <row r="187" customFormat="false" ht="15" hidden="false" customHeight="false" outlineLevel="1" collapsed="false">
      <c r="A187" s="7"/>
      <c r="B187" s="29" t="s">
        <v>272</v>
      </c>
      <c r="C187" s="30" t="s">
        <v>273</v>
      </c>
      <c r="D187" s="29"/>
      <c r="E187" s="31" t="n">
        <v>28.8477</v>
      </c>
      <c r="F187" s="7"/>
      <c r="G187" s="32" t="n">
        <f aca="false">E187*$F$185</f>
        <v>408396.8889</v>
      </c>
      <c r="H187" s="7"/>
    </row>
    <row r="188" customFormat="false" ht="15" hidden="false" customHeight="false" outlineLevel="0" collapsed="false">
      <c r="A188" s="23" t="n">
        <v>38</v>
      </c>
      <c r="B188" s="23" t="s">
        <v>291</v>
      </c>
      <c r="C188" s="24" t="s">
        <v>81</v>
      </c>
      <c r="D188" s="23" t="s">
        <v>20</v>
      </c>
      <c r="E188" s="25" t="n">
        <f aca="false">SUM(E189:E201)</f>
        <v>7688.735252</v>
      </c>
      <c r="F188" s="26" t="n">
        <v>13857</v>
      </c>
      <c r="G188" s="27" t="n">
        <f aca="false">E188*F188</f>
        <v>106542804.386964</v>
      </c>
      <c r="H188" s="28" t="s">
        <v>292</v>
      </c>
    </row>
    <row r="189" customFormat="false" ht="15" hidden="false" customHeight="false" outlineLevel="1" collapsed="false">
      <c r="A189" s="7"/>
      <c r="B189" s="29" t="s">
        <v>265</v>
      </c>
      <c r="C189" s="30" t="s">
        <v>266</v>
      </c>
      <c r="D189" s="29"/>
      <c r="E189" s="31" t="n">
        <v>236.2536</v>
      </c>
      <c r="F189" s="7"/>
      <c r="G189" s="32" t="n">
        <f aca="false">E189*$F$188</f>
        <v>3273766.1352</v>
      </c>
      <c r="H189" s="7"/>
    </row>
    <row r="190" customFormat="false" ht="15" hidden="false" customHeight="false" outlineLevel="1" collapsed="false">
      <c r="A190" s="7"/>
      <c r="B190" s="29" t="s">
        <v>267</v>
      </c>
      <c r="C190" s="30" t="s">
        <v>355</v>
      </c>
      <c r="D190" s="29"/>
      <c r="E190" s="31" t="n">
        <v>4341.223799</v>
      </c>
      <c r="F190" s="7"/>
      <c r="G190" s="32" t="n">
        <f aca="false">E190*$F$188</f>
        <v>60156338.182743</v>
      </c>
      <c r="H190" s="7"/>
    </row>
    <row r="191" customFormat="false" ht="15" hidden="false" customHeight="false" outlineLevel="1" collapsed="false">
      <c r="A191" s="7"/>
      <c r="B191" s="29" t="s">
        <v>267</v>
      </c>
      <c r="C191" s="30" t="s">
        <v>351</v>
      </c>
      <c r="D191" s="29"/>
      <c r="E191" s="31" t="n">
        <v>78.85482</v>
      </c>
      <c r="F191" s="7"/>
      <c r="G191" s="32" t="n">
        <f aca="false">E191*$F$188</f>
        <v>1092691.24074</v>
      </c>
      <c r="H191" s="7"/>
    </row>
    <row r="192" customFormat="false" ht="15" hidden="false" customHeight="false" outlineLevel="1" collapsed="false">
      <c r="A192" s="7"/>
      <c r="B192" s="29" t="s">
        <v>267</v>
      </c>
      <c r="C192" s="30" t="s">
        <v>352</v>
      </c>
      <c r="D192" s="29"/>
      <c r="E192" s="31" t="n">
        <v>86.023597</v>
      </c>
      <c r="F192" s="7"/>
      <c r="G192" s="32" t="n">
        <f aca="false">E192*$F$188</f>
        <v>1192028.983629</v>
      </c>
      <c r="H192" s="7"/>
    </row>
    <row r="193" customFormat="false" ht="15" hidden="false" customHeight="false" outlineLevel="1" collapsed="false">
      <c r="A193" s="7"/>
      <c r="B193" s="29" t="s">
        <v>267</v>
      </c>
      <c r="C193" s="30" t="s">
        <v>269</v>
      </c>
      <c r="D193" s="29"/>
      <c r="E193" s="31" t="n">
        <v>747.949884</v>
      </c>
      <c r="F193" s="7"/>
      <c r="G193" s="32" t="n">
        <f aca="false">E193*$F$188</f>
        <v>10364341.542588</v>
      </c>
      <c r="H193" s="7"/>
    </row>
    <row r="194" customFormat="false" ht="15" hidden="false" customHeight="false" outlineLevel="1" collapsed="false">
      <c r="A194" s="7"/>
      <c r="B194" s="29" t="s">
        <v>267</v>
      </c>
      <c r="C194" s="30" t="s">
        <v>270</v>
      </c>
      <c r="D194" s="29"/>
      <c r="E194" s="31" t="n">
        <v>291.989071</v>
      </c>
      <c r="F194" s="7"/>
      <c r="G194" s="32" t="n">
        <f aca="false">E194*$F$188</f>
        <v>4046092.556847</v>
      </c>
      <c r="H194" s="7"/>
    </row>
    <row r="195" customFormat="false" ht="15" hidden="false" customHeight="false" outlineLevel="1" collapsed="false">
      <c r="A195" s="7"/>
      <c r="B195" s="29" t="s">
        <v>267</v>
      </c>
      <c r="C195" s="30" t="s">
        <v>270</v>
      </c>
      <c r="D195" s="29"/>
      <c r="E195" s="31" t="n">
        <v>285.195053</v>
      </c>
      <c r="F195" s="7"/>
      <c r="G195" s="32" t="n">
        <f aca="false">E195*$F$188</f>
        <v>3951947.849421</v>
      </c>
      <c r="H195" s="7"/>
    </row>
    <row r="196" customFormat="false" ht="15" hidden="false" customHeight="false" outlineLevel="1" collapsed="false">
      <c r="A196" s="7"/>
      <c r="B196" s="29" t="s">
        <v>172</v>
      </c>
      <c r="C196" s="30" t="s">
        <v>173</v>
      </c>
      <c r="D196" s="29"/>
      <c r="E196" s="31" t="n">
        <v>282.918867</v>
      </c>
      <c r="F196" s="7"/>
      <c r="G196" s="32" t="n">
        <f aca="false">E196*$F$188</f>
        <v>3920406.740019</v>
      </c>
      <c r="H196" s="7"/>
    </row>
    <row r="197" customFormat="false" ht="15" hidden="false" customHeight="false" outlineLevel="1" collapsed="false">
      <c r="A197" s="7"/>
      <c r="B197" s="29" t="s">
        <v>172</v>
      </c>
      <c r="C197" s="30" t="s">
        <v>173</v>
      </c>
      <c r="D197" s="29"/>
      <c r="E197" s="31" t="n">
        <v>300.979833</v>
      </c>
      <c r="F197" s="7"/>
      <c r="G197" s="32" t="n">
        <f aca="false">E197*$F$188</f>
        <v>4170677.545881</v>
      </c>
      <c r="H197" s="7"/>
    </row>
    <row r="198" customFormat="false" ht="15" hidden="false" customHeight="false" outlineLevel="1" collapsed="false">
      <c r="A198" s="7"/>
      <c r="B198" s="29" t="s">
        <v>265</v>
      </c>
      <c r="C198" s="30" t="s">
        <v>274</v>
      </c>
      <c r="D198" s="29"/>
      <c r="E198" s="31" t="n">
        <v>503.551752</v>
      </c>
      <c r="F198" s="7"/>
      <c r="G198" s="32" t="n">
        <f aca="false">E198*$F$188</f>
        <v>6977716.627464</v>
      </c>
      <c r="H198" s="7"/>
    </row>
    <row r="199" customFormat="false" ht="15" hidden="false" customHeight="false" outlineLevel="1" collapsed="false">
      <c r="A199" s="7"/>
      <c r="B199" s="29" t="s">
        <v>265</v>
      </c>
      <c r="C199" s="30" t="s">
        <v>275</v>
      </c>
      <c r="D199" s="29"/>
      <c r="E199" s="31" t="n">
        <v>76.461198</v>
      </c>
      <c r="F199" s="7"/>
      <c r="G199" s="32" t="n">
        <f aca="false">E199*$F$188</f>
        <v>1059522.820686</v>
      </c>
      <c r="H199" s="7"/>
    </row>
    <row r="200" customFormat="false" ht="15" hidden="false" customHeight="false" outlineLevel="1" collapsed="false">
      <c r="A200" s="7"/>
      <c r="B200" s="29" t="s">
        <v>265</v>
      </c>
      <c r="C200" s="30" t="s">
        <v>276</v>
      </c>
      <c r="D200" s="29"/>
      <c r="E200" s="31" t="n">
        <v>444.731859</v>
      </c>
      <c r="F200" s="7"/>
      <c r="G200" s="32" t="n">
        <f aca="false">E200*$F$188</f>
        <v>6162649.370163</v>
      </c>
      <c r="H200" s="7"/>
    </row>
    <row r="201" customFormat="false" ht="15" hidden="false" customHeight="false" outlineLevel="1" collapsed="false">
      <c r="A201" s="7"/>
      <c r="B201" s="29" t="s">
        <v>267</v>
      </c>
      <c r="C201" s="30" t="s">
        <v>277</v>
      </c>
      <c r="D201" s="29"/>
      <c r="E201" s="31" t="n">
        <v>12.601919</v>
      </c>
      <c r="F201" s="7"/>
      <c r="G201" s="32" t="n">
        <f aca="false">E201*$F$188</f>
        <v>174624.791583</v>
      </c>
      <c r="H201" s="7"/>
    </row>
    <row r="202" customFormat="false" ht="15" hidden="false" customHeight="false" outlineLevel="0" collapsed="false">
      <c r="A202" s="23" t="n">
        <v>39</v>
      </c>
      <c r="B202" s="23" t="s">
        <v>293</v>
      </c>
      <c r="C202" s="24" t="s">
        <v>82</v>
      </c>
      <c r="D202" s="23" t="s">
        <v>20</v>
      </c>
      <c r="E202" s="25" t="n">
        <f aca="false">SUM(E203:E203)</f>
        <v>20.88296</v>
      </c>
      <c r="F202" s="26" t="n">
        <v>14344</v>
      </c>
      <c r="G202" s="27" t="n">
        <f aca="false">E202*F202</f>
        <v>299545.17824</v>
      </c>
      <c r="H202" s="28" t="s">
        <v>294</v>
      </c>
    </row>
    <row r="203" customFormat="false" ht="15" hidden="false" customHeight="false" outlineLevel="1" collapsed="false">
      <c r="A203" s="7"/>
      <c r="B203" s="29" t="s">
        <v>219</v>
      </c>
      <c r="C203" s="30" t="s">
        <v>220</v>
      </c>
      <c r="D203" s="29"/>
      <c r="E203" s="31" t="n">
        <v>20.88296</v>
      </c>
      <c r="F203" s="7"/>
      <c r="G203" s="32" t="n">
        <f aca="false">E203*$F$202</f>
        <v>299545.17824</v>
      </c>
      <c r="H203" s="7"/>
    </row>
    <row r="204" customFormat="false" ht="15" hidden="false" customHeight="false" outlineLevel="0" collapsed="false">
      <c r="A204" s="23" t="n">
        <v>40</v>
      </c>
      <c r="B204" s="23" t="s">
        <v>295</v>
      </c>
      <c r="C204" s="24" t="s">
        <v>83</v>
      </c>
      <c r="D204" s="23" t="s">
        <v>20</v>
      </c>
      <c r="E204" s="25" t="n">
        <f aca="false">SUM(E205:E206)</f>
        <v>9291.49635</v>
      </c>
      <c r="F204" s="26" t="n">
        <v>14594</v>
      </c>
      <c r="G204" s="27" t="n">
        <f aca="false">E204*F204</f>
        <v>135600097.7319</v>
      </c>
      <c r="H204" s="28" t="s">
        <v>296</v>
      </c>
    </row>
    <row r="205" customFormat="false" ht="15" hidden="false" customHeight="false" outlineLevel="1" collapsed="false">
      <c r="A205" s="7"/>
      <c r="B205" s="29" t="s">
        <v>215</v>
      </c>
      <c r="C205" s="30" t="s">
        <v>217</v>
      </c>
      <c r="D205" s="29"/>
      <c r="E205" s="31" t="n">
        <v>7230.3519</v>
      </c>
      <c r="F205" s="7"/>
      <c r="G205" s="32" t="n">
        <f aca="false">E205*$F$204</f>
        <v>105519755.6286</v>
      </c>
      <c r="H205" s="7"/>
    </row>
    <row r="206" customFormat="false" ht="15" hidden="false" customHeight="false" outlineLevel="1" collapsed="false">
      <c r="A206" s="7"/>
      <c r="B206" s="29" t="s">
        <v>215</v>
      </c>
      <c r="C206" s="30" t="s">
        <v>218</v>
      </c>
      <c r="D206" s="29"/>
      <c r="E206" s="31" t="n">
        <v>2061.14445</v>
      </c>
      <c r="F206" s="7"/>
      <c r="G206" s="32" t="n">
        <f aca="false">E206*$F$204</f>
        <v>30080342.1033</v>
      </c>
      <c r="H206" s="7"/>
    </row>
    <row r="207" customFormat="false" ht="15" hidden="false" customHeight="false" outlineLevel="0" collapsed="false">
      <c r="A207" s="23" t="n">
        <v>41</v>
      </c>
      <c r="B207" s="23" t="s">
        <v>297</v>
      </c>
      <c r="C207" s="24" t="s">
        <v>84</v>
      </c>
      <c r="D207" s="23" t="s">
        <v>20</v>
      </c>
      <c r="E207" s="25" t="n">
        <f aca="false">SUM(E208:E213)</f>
        <v>23467.8132</v>
      </c>
      <c r="F207" s="26" t="n">
        <v>14394</v>
      </c>
      <c r="G207" s="27" t="n">
        <f aca="false">E207*F207</f>
        <v>337795703.2008</v>
      </c>
      <c r="H207" s="28" t="s">
        <v>298</v>
      </c>
    </row>
    <row r="208" customFormat="false" ht="15" hidden="false" customHeight="false" outlineLevel="1" collapsed="false">
      <c r="A208" s="7"/>
      <c r="B208" s="29" t="s">
        <v>210</v>
      </c>
      <c r="C208" s="30" t="s">
        <v>211</v>
      </c>
      <c r="D208" s="29"/>
      <c r="E208" s="31" t="n">
        <v>18736.1148</v>
      </c>
      <c r="F208" s="7"/>
      <c r="G208" s="32" t="n">
        <f aca="false">E208*$F$207</f>
        <v>269687636.4312</v>
      </c>
      <c r="H208" s="7"/>
    </row>
    <row r="209" customFormat="false" ht="15" hidden="false" customHeight="false" outlineLevel="1" collapsed="false">
      <c r="A209" s="7"/>
      <c r="B209" s="29" t="s">
        <v>210</v>
      </c>
      <c r="C209" s="30" t="s">
        <v>212</v>
      </c>
      <c r="D209" s="29"/>
      <c r="E209" s="31" t="n">
        <v>3747.22296</v>
      </c>
      <c r="F209" s="7"/>
      <c r="G209" s="32" t="n">
        <f aca="false">E209*$F$207</f>
        <v>53937527.28624</v>
      </c>
      <c r="H209" s="7"/>
    </row>
    <row r="210" customFormat="false" ht="15" hidden="false" customHeight="false" outlineLevel="1" collapsed="false">
      <c r="A210" s="7"/>
      <c r="B210" s="29" t="s">
        <v>210</v>
      </c>
      <c r="C210" s="30" t="s">
        <v>336</v>
      </c>
      <c r="D210" s="29"/>
      <c r="E210" s="31" t="n">
        <v>392.3634</v>
      </c>
      <c r="F210" s="7"/>
      <c r="G210" s="32" t="n">
        <f aca="false">E210*$F$207</f>
        <v>5647678.7796</v>
      </c>
      <c r="H210" s="7"/>
    </row>
    <row r="211" customFormat="false" ht="15" hidden="false" customHeight="false" outlineLevel="1" collapsed="false">
      <c r="A211" s="7"/>
      <c r="B211" s="29" t="s">
        <v>210</v>
      </c>
      <c r="C211" s="30" t="s">
        <v>212</v>
      </c>
      <c r="D211" s="29"/>
      <c r="E211" s="31" t="n">
        <v>78.47268</v>
      </c>
      <c r="F211" s="7"/>
      <c r="G211" s="32" t="n">
        <f aca="false">E211*$F$207</f>
        <v>1129535.75592</v>
      </c>
      <c r="H211" s="7"/>
    </row>
    <row r="212" customFormat="false" ht="15" hidden="false" customHeight="false" outlineLevel="1" collapsed="false">
      <c r="A212" s="7"/>
      <c r="B212" s="29" t="s">
        <v>210</v>
      </c>
      <c r="C212" s="30" t="s">
        <v>337</v>
      </c>
      <c r="D212" s="29"/>
      <c r="E212" s="31" t="n">
        <v>428.0328</v>
      </c>
      <c r="F212" s="7"/>
      <c r="G212" s="32" t="n">
        <f aca="false">E212*$F$207</f>
        <v>6161104.1232</v>
      </c>
      <c r="H212" s="7"/>
    </row>
    <row r="213" customFormat="false" ht="15" hidden="false" customHeight="false" outlineLevel="1" collapsed="false">
      <c r="A213" s="7"/>
      <c r="B213" s="29" t="s">
        <v>210</v>
      </c>
      <c r="C213" s="30" t="s">
        <v>212</v>
      </c>
      <c r="D213" s="29"/>
      <c r="E213" s="31" t="n">
        <v>85.60656</v>
      </c>
      <c r="F213" s="7"/>
      <c r="G213" s="32" t="n">
        <f aca="false">E213*$F$207</f>
        <v>1232220.82464</v>
      </c>
      <c r="H213" s="7"/>
    </row>
    <row r="214" customFormat="false" ht="15" hidden="false" customHeight="false" outlineLevel="0" collapsed="false">
      <c r="A214" s="23" t="n">
        <v>42</v>
      </c>
      <c r="B214" s="23" t="s">
        <v>299</v>
      </c>
      <c r="C214" s="24" t="s">
        <v>85</v>
      </c>
      <c r="D214" s="23" t="s">
        <v>52</v>
      </c>
      <c r="E214" s="25" t="n">
        <f aca="false">SUM(E215:E215)</f>
        <v>27563.13</v>
      </c>
      <c r="F214" s="26" t="n">
        <v>24000</v>
      </c>
      <c r="G214" s="27" t="n">
        <f aca="false">E214*F214</f>
        <v>661515120</v>
      </c>
      <c r="H214" s="28" t="s">
        <v>300</v>
      </c>
    </row>
    <row r="215" customFormat="false" ht="15" hidden="false" customHeight="false" outlineLevel="1" collapsed="false">
      <c r="A215" s="7"/>
      <c r="B215" s="29" t="s">
        <v>301</v>
      </c>
      <c r="C215" s="30" t="s">
        <v>302</v>
      </c>
      <c r="D215" s="29"/>
      <c r="E215" s="31" t="n">
        <v>27563.13</v>
      </c>
      <c r="F215" s="7"/>
      <c r="G215" s="32" t="n">
        <f aca="false">E215*$F$214</f>
        <v>661515120</v>
      </c>
      <c r="H215" s="7"/>
    </row>
    <row r="216" customFormat="false" ht="15" hidden="false" customHeight="false" outlineLevel="0" collapsed="false">
      <c r="A216" s="23" t="n">
        <v>43</v>
      </c>
      <c r="B216" s="23" t="s">
        <v>303</v>
      </c>
      <c r="C216" s="24" t="s">
        <v>88</v>
      </c>
      <c r="D216" s="23" t="s">
        <v>20</v>
      </c>
      <c r="E216" s="25" t="n">
        <f aca="false">SUM(E217:E236)</f>
        <v>2787422.51735</v>
      </c>
      <c r="F216" s="26" t="n">
        <v>1442</v>
      </c>
      <c r="G216" s="27" t="n">
        <f aca="false">E216*F216</f>
        <v>4019463270.0187</v>
      </c>
      <c r="H216" s="28" t="s">
        <v>305</v>
      </c>
    </row>
    <row r="217" customFormat="false" ht="23.85" hidden="false" customHeight="false" outlineLevel="1" collapsed="false">
      <c r="A217" s="7"/>
      <c r="B217" s="29" t="s">
        <v>133</v>
      </c>
      <c r="C217" s="30" t="s">
        <v>134</v>
      </c>
      <c r="D217" s="29"/>
      <c r="E217" s="31" t="n">
        <v>119064</v>
      </c>
      <c r="F217" s="7"/>
      <c r="G217" s="32" t="n">
        <f aca="false">E217*$F$216</f>
        <v>171690288</v>
      </c>
      <c r="H217" s="7"/>
    </row>
    <row r="218" customFormat="false" ht="23.85" hidden="false" customHeight="false" outlineLevel="1" collapsed="false">
      <c r="A218" s="7"/>
      <c r="B218" s="29" t="s">
        <v>135</v>
      </c>
      <c r="C218" s="30" t="s">
        <v>136</v>
      </c>
      <c r="D218" s="29"/>
      <c r="E218" s="31" t="n">
        <v>1626853.0432</v>
      </c>
      <c r="F218" s="7"/>
      <c r="G218" s="32" t="n">
        <f aca="false">E218*$F$216</f>
        <v>2345922088.2944</v>
      </c>
      <c r="H218" s="7"/>
    </row>
    <row r="219" customFormat="false" ht="23.85" hidden="false" customHeight="false" outlineLevel="1" collapsed="false">
      <c r="A219" s="7"/>
      <c r="B219" s="29" t="s">
        <v>135</v>
      </c>
      <c r="C219" s="30" t="s">
        <v>320</v>
      </c>
      <c r="D219" s="29"/>
      <c r="E219" s="31" t="n">
        <v>25391.8896</v>
      </c>
      <c r="F219" s="7"/>
      <c r="G219" s="32" t="n">
        <f aca="false">E219*$F$216</f>
        <v>36615104.8032</v>
      </c>
      <c r="H219" s="7"/>
    </row>
    <row r="220" customFormat="false" ht="23.85" hidden="false" customHeight="false" outlineLevel="1" collapsed="false">
      <c r="A220" s="7"/>
      <c r="B220" s="29" t="s">
        <v>135</v>
      </c>
      <c r="C220" s="30" t="s">
        <v>321</v>
      </c>
      <c r="D220" s="29"/>
      <c r="E220" s="31" t="n">
        <v>27699.9184</v>
      </c>
      <c r="F220" s="7"/>
      <c r="G220" s="32" t="n">
        <f aca="false">E220*$F$216</f>
        <v>39943282.3328</v>
      </c>
      <c r="H220" s="7"/>
    </row>
    <row r="221" customFormat="false" ht="23.85" hidden="false" customHeight="false" outlineLevel="1" collapsed="false">
      <c r="A221" s="7"/>
      <c r="B221" s="29" t="s">
        <v>135</v>
      </c>
      <c r="C221" s="30" t="s">
        <v>137</v>
      </c>
      <c r="D221" s="29"/>
      <c r="E221" s="31" t="n">
        <v>359945.3088</v>
      </c>
      <c r="F221" s="7"/>
      <c r="G221" s="32" t="n">
        <f aca="false">E221*$F$216</f>
        <v>519041135.2896</v>
      </c>
      <c r="H221" s="7"/>
    </row>
    <row r="222" customFormat="false" ht="23.85" hidden="false" customHeight="false" outlineLevel="1" collapsed="false">
      <c r="A222" s="7"/>
      <c r="B222" s="29" t="s">
        <v>135</v>
      </c>
      <c r="C222" s="30" t="s">
        <v>138</v>
      </c>
      <c r="D222" s="29"/>
      <c r="E222" s="31" t="n">
        <v>101328.1808</v>
      </c>
      <c r="F222" s="7"/>
      <c r="G222" s="32" t="n">
        <f aca="false">E222*$F$216</f>
        <v>146115236.7136</v>
      </c>
      <c r="H222" s="7"/>
    </row>
    <row r="223" customFormat="false" ht="23.85" hidden="false" customHeight="false" outlineLevel="1" collapsed="false">
      <c r="A223" s="7"/>
      <c r="B223" s="29" t="s">
        <v>135</v>
      </c>
      <c r="C223" s="30" t="s">
        <v>138</v>
      </c>
      <c r="D223" s="29"/>
      <c r="E223" s="31" t="n">
        <v>98634.2896</v>
      </c>
      <c r="F223" s="7"/>
      <c r="G223" s="32" t="n">
        <f aca="false">E223*$F$216</f>
        <v>142230645.6032</v>
      </c>
      <c r="H223" s="7"/>
    </row>
    <row r="224" customFormat="false" ht="15" hidden="false" customHeight="false" outlineLevel="1" collapsed="false">
      <c r="A224" s="7"/>
      <c r="B224" s="29" t="s">
        <v>141</v>
      </c>
      <c r="C224" s="30" t="s">
        <v>142</v>
      </c>
      <c r="D224" s="29"/>
      <c r="E224" s="31" t="n">
        <v>60289.68</v>
      </c>
      <c r="F224" s="7"/>
      <c r="G224" s="32" t="n">
        <f aca="false">E224*$F$216</f>
        <v>86937718.56</v>
      </c>
      <c r="H224" s="7"/>
    </row>
    <row r="225" customFormat="false" ht="15" hidden="false" customHeight="false" outlineLevel="1" collapsed="false">
      <c r="A225" s="7"/>
      <c r="B225" s="29" t="s">
        <v>141</v>
      </c>
      <c r="C225" s="30" t="s">
        <v>142</v>
      </c>
      <c r="D225" s="29"/>
      <c r="E225" s="31" t="n">
        <v>68263.36</v>
      </c>
      <c r="F225" s="7"/>
      <c r="G225" s="32" t="n">
        <f aca="false">E225*$F$216</f>
        <v>98435765.12</v>
      </c>
      <c r="H225" s="7"/>
    </row>
    <row r="226" customFormat="false" ht="23.85" hidden="false" customHeight="false" outlineLevel="1" collapsed="false">
      <c r="A226" s="7"/>
      <c r="B226" s="29" t="s">
        <v>143</v>
      </c>
      <c r="C226" s="30" t="s">
        <v>144</v>
      </c>
      <c r="D226" s="29"/>
      <c r="E226" s="31" t="n">
        <v>75677.8</v>
      </c>
      <c r="F226" s="7"/>
      <c r="G226" s="32" t="n">
        <f aca="false">E226*$F$216</f>
        <v>109127387.6</v>
      </c>
      <c r="H226" s="7"/>
    </row>
    <row r="227" customFormat="false" ht="15" hidden="false" customHeight="false" outlineLevel="1" collapsed="false">
      <c r="A227" s="7"/>
      <c r="B227" s="29" t="s">
        <v>145</v>
      </c>
      <c r="C227" s="30" t="s">
        <v>146</v>
      </c>
      <c r="D227" s="29"/>
      <c r="E227" s="31" t="n">
        <v>15236.584</v>
      </c>
      <c r="F227" s="7"/>
      <c r="G227" s="32" t="n">
        <f aca="false">E227*$F$216</f>
        <v>21971154.128</v>
      </c>
      <c r="H227" s="7"/>
    </row>
    <row r="228" customFormat="false" ht="15" hidden="false" customHeight="false" outlineLevel="1" collapsed="false">
      <c r="A228" s="7"/>
      <c r="B228" s="29" t="s">
        <v>127</v>
      </c>
      <c r="C228" s="30" t="s">
        <v>128</v>
      </c>
      <c r="D228" s="29"/>
      <c r="E228" s="31" t="n">
        <v>11523</v>
      </c>
      <c r="F228" s="7"/>
      <c r="G228" s="32" t="n">
        <f aca="false">E228*$F$216</f>
        <v>16616166</v>
      </c>
      <c r="H228" s="7"/>
    </row>
    <row r="229" customFormat="false" ht="15" hidden="false" customHeight="false" outlineLevel="1" collapsed="false">
      <c r="A229" s="7"/>
      <c r="B229" s="29" t="s">
        <v>152</v>
      </c>
      <c r="C229" s="30" t="s">
        <v>153</v>
      </c>
      <c r="D229" s="29"/>
      <c r="E229" s="31" t="n">
        <v>53006.2555</v>
      </c>
      <c r="F229" s="7"/>
      <c r="G229" s="32" t="n">
        <f aca="false">E229*$F$216</f>
        <v>76435020.431</v>
      </c>
      <c r="H229" s="7"/>
    </row>
    <row r="230" customFormat="false" ht="23.85" hidden="false" customHeight="false" outlineLevel="1" collapsed="false">
      <c r="A230" s="7"/>
      <c r="B230" s="29" t="s">
        <v>147</v>
      </c>
      <c r="C230" s="30" t="s">
        <v>148</v>
      </c>
      <c r="D230" s="29"/>
      <c r="E230" s="31" t="n">
        <v>6155.2645</v>
      </c>
      <c r="F230" s="7"/>
      <c r="G230" s="32" t="n">
        <f aca="false">E230*$F$216</f>
        <v>8875891.409</v>
      </c>
      <c r="H230" s="7"/>
    </row>
    <row r="231" customFormat="false" ht="15" hidden="false" customHeight="false" outlineLevel="1" collapsed="false">
      <c r="A231" s="7"/>
      <c r="B231" s="29" t="s">
        <v>129</v>
      </c>
      <c r="C231" s="30" t="s">
        <v>128</v>
      </c>
      <c r="D231" s="29"/>
      <c r="E231" s="31" t="n">
        <v>9339.2412</v>
      </c>
      <c r="F231" s="7"/>
      <c r="G231" s="32" t="n">
        <f aca="false">E231*$F$216</f>
        <v>13467185.8104</v>
      </c>
      <c r="H231" s="7"/>
    </row>
    <row r="232" customFormat="false" ht="15" hidden="false" customHeight="false" outlineLevel="1" collapsed="false">
      <c r="A232" s="7"/>
      <c r="B232" s="29" t="s">
        <v>119</v>
      </c>
      <c r="C232" s="30" t="s">
        <v>120</v>
      </c>
      <c r="D232" s="29"/>
      <c r="E232" s="31" t="n">
        <v>237.64</v>
      </c>
      <c r="F232" s="7"/>
      <c r="G232" s="32" t="n">
        <f aca="false">E232*$F$216</f>
        <v>342676.88</v>
      </c>
      <c r="H232" s="7"/>
    </row>
    <row r="233" customFormat="false" ht="15" hidden="false" customHeight="false" outlineLevel="1" collapsed="false">
      <c r="A233" s="7"/>
      <c r="B233" s="29" t="s">
        <v>119</v>
      </c>
      <c r="C233" s="30" t="s">
        <v>130</v>
      </c>
      <c r="D233" s="29"/>
      <c r="E233" s="31" t="n">
        <v>475.28</v>
      </c>
      <c r="F233" s="7"/>
      <c r="G233" s="32" t="n">
        <f aca="false">E233*$F$216</f>
        <v>685353.76</v>
      </c>
      <c r="H233" s="7"/>
    </row>
    <row r="234" customFormat="false" ht="23.85" hidden="false" customHeight="false" outlineLevel="1" collapsed="false">
      <c r="A234" s="7"/>
      <c r="B234" s="29" t="s">
        <v>133</v>
      </c>
      <c r="C234" s="30" t="s">
        <v>151</v>
      </c>
      <c r="D234" s="29"/>
      <c r="E234" s="31" t="n">
        <v>35304.28</v>
      </c>
      <c r="F234" s="7"/>
      <c r="G234" s="32" t="n">
        <f aca="false">E234*$F$216</f>
        <v>50908771.76</v>
      </c>
      <c r="H234" s="7"/>
    </row>
    <row r="235" customFormat="false" ht="15" hidden="false" customHeight="false" outlineLevel="1" collapsed="false">
      <c r="A235" s="7"/>
      <c r="B235" s="29" t="s">
        <v>154</v>
      </c>
      <c r="C235" s="30" t="s">
        <v>155</v>
      </c>
      <c r="D235" s="29"/>
      <c r="E235" s="31" t="n">
        <v>54735</v>
      </c>
      <c r="F235" s="7"/>
      <c r="G235" s="32" t="n">
        <f aca="false">E235*$F$216</f>
        <v>78927870</v>
      </c>
      <c r="H235" s="7"/>
    </row>
    <row r="236" customFormat="false" ht="15" hidden="false" customHeight="false" outlineLevel="1" collapsed="false">
      <c r="A236" s="7"/>
      <c r="B236" s="29" t="s">
        <v>156</v>
      </c>
      <c r="C236" s="30" t="s">
        <v>155</v>
      </c>
      <c r="D236" s="29"/>
      <c r="E236" s="31" t="n">
        <v>38262.50175</v>
      </c>
      <c r="F236" s="7"/>
      <c r="G236" s="32" t="n">
        <f aca="false">E236*$F$216</f>
        <v>55174527.5235</v>
      </c>
      <c r="H236" s="7"/>
    </row>
    <row r="237" customFormat="false" ht="15" hidden="false" customHeight="false" outlineLevel="0" collapsed="false">
      <c r="A237" s="23" t="n">
        <v>44</v>
      </c>
      <c r="B237" s="23" t="s">
        <v>306</v>
      </c>
      <c r="C237" s="24" t="s">
        <v>89</v>
      </c>
      <c r="D237" s="23" t="s">
        <v>90</v>
      </c>
      <c r="E237" s="34"/>
      <c r="F237" s="34"/>
      <c r="G237" s="27" t="n">
        <f aca="false">SUM(G238:G277)</f>
        <v>175033356.379988</v>
      </c>
      <c r="H237" s="28" t="s">
        <v>307</v>
      </c>
    </row>
    <row r="238" customFormat="false" ht="15" hidden="false" customHeight="false" outlineLevel="1" collapsed="false">
      <c r="A238" s="7"/>
      <c r="B238" s="29" t="s">
        <v>301</v>
      </c>
      <c r="C238" s="30" t="s">
        <v>302</v>
      </c>
      <c r="D238" s="29" t="s">
        <v>90</v>
      </c>
      <c r="E238" s="31" t="n">
        <v>0.2</v>
      </c>
      <c r="F238" s="7"/>
      <c r="G238" s="35" t="n">
        <v>1323030.24</v>
      </c>
      <c r="H238" s="7"/>
    </row>
    <row r="239" customFormat="false" ht="15" hidden="false" customHeight="false" outlineLevel="1" collapsed="false">
      <c r="A239" s="7"/>
      <c r="B239" s="29" t="s">
        <v>249</v>
      </c>
      <c r="C239" s="30" t="s">
        <v>250</v>
      </c>
      <c r="D239" s="29" t="s">
        <v>90</v>
      </c>
      <c r="E239" s="31" t="n">
        <v>0.2</v>
      </c>
      <c r="F239" s="7"/>
      <c r="G239" s="35" t="n">
        <v>17094</v>
      </c>
      <c r="H239" s="7"/>
    </row>
    <row r="240" customFormat="false" ht="15" hidden="false" customHeight="false" outlineLevel="1" collapsed="false">
      <c r="A240" s="7"/>
      <c r="B240" s="29" t="s">
        <v>265</v>
      </c>
      <c r="C240" s="30" t="s">
        <v>266</v>
      </c>
      <c r="D240" s="29" t="s">
        <v>90</v>
      </c>
      <c r="E240" s="31" t="n">
        <v>5</v>
      </c>
      <c r="F240" s="7"/>
      <c r="G240" s="35" t="n">
        <v>285624.33468</v>
      </c>
      <c r="H240" s="7"/>
    </row>
    <row r="241" customFormat="false" ht="23.85" hidden="false" customHeight="false" outlineLevel="1" collapsed="false">
      <c r="A241" s="7"/>
      <c r="B241" s="29" t="s">
        <v>133</v>
      </c>
      <c r="C241" s="30" t="s">
        <v>134</v>
      </c>
      <c r="D241" s="29" t="s">
        <v>90</v>
      </c>
      <c r="E241" s="31" t="n">
        <v>5</v>
      </c>
      <c r="F241" s="7"/>
      <c r="G241" s="35" t="n">
        <v>19390903.5659625</v>
      </c>
      <c r="H241" s="7"/>
    </row>
    <row r="242" customFormat="false" ht="23.85" hidden="false" customHeight="false" outlineLevel="1" collapsed="false">
      <c r="A242" s="7"/>
      <c r="B242" s="29" t="s">
        <v>135</v>
      </c>
      <c r="C242" s="30" t="s">
        <v>136</v>
      </c>
      <c r="D242" s="29" t="s">
        <v>90</v>
      </c>
      <c r="E242" s="31" t="n">
        <v>1</v>
      </c>
      <c r="F242" s="7"/>
      <c r="G242" s="35" t="n">
        <v>57852456.7808095</v>
      </c>
      <c r="H242" s="7"/>
    </row>
    <row r="243" customFormat="false" ht="15" hidden="false" customHeight="false" outlineLevel="1" collapsed="false">
      <c r="A243" s="7"/>
      <c r="B243" s="29" t="s">
        <v>267</v>
      </c>
      <c r="C243" s="30" t="s">
        <v>355</v>
      </c>
      <c r="D243" s="29" t="s">
        <v>90</v>
      </c>
      <c r="E243" s="31" t="n">
        <v>5</v>
      </c>
      <c r="F243" s="7"/>
      <c r="G243" s="35" t="n">
        <v>6501609.18794975</v>
      </c>
      <c r="H243" s="7"/>
    </row>
    <row r="244" customFormat="false" ht="23.85" hidden="false" customHeight="false" outlineLevel="1" collapsed="false">
      <c r="A244" s="7"/>
      <c r="B244" s="29" t="s">
        <v>135</v>
      </c>
      <c r="C244" s="30" t="s">
        <v>320</v>
      </c>
      <c r="D244" s="29" t="s">
        <v>90</v>
      </c>
      <c r="E244" s="31" t="n">
        <v>1</v>
      </c>
      <c r="F244" s="7"/>
      <c r="G244" s="35" t="n">
        <v>902959.982653144</v>
      </c>
      <c r="H244" s="7"/>
    </row>
    <row r="245" customFormat="false" ht="15" hidden="false" customHeight="false" outlineLevel="1" collapsed="false">
      <c r="A245" s="7"/>
      <c r="B245" s="29" t="s">
        <v>267</v>
      </c>
      <c r="C245" s="30" t="s">
        <v>351</v>
      </c>
      <c r="D245" s="29" t="s">
        <v>90</v>
      </c>
      <c r="E245" s="31" t="n">
        <v>5</v>
      </c>
      <c r="F245" s="7"/>
      <c r="G245" s="35" t="n">
        <v>118096.473705</v>
      </c>
      <c r="H245" s="7"/>
    </row>
    <row r="246" customFormat="false" ht="23.85" hidden="false" customHeight="false" outlineLevel="1" collapsed="false">
      <c r="A246" s="7"/>
      <c r="B246" s="29" t="s">
        <v>135</v>
      </c>
      <c r="C246" s="30" t="s">
        <v>321</v>
      </c>
      <c r="D246" s="29" t="s">
        <v>90</v>
      </c>
      <c r="E246" s="31" t="n">
        <v>1</v>
      </c>
      <c r="F246" s="7"/>
      <c r="G246" s="35" t="n">
        <v>985035.703603466</v>
      </c>
      <c r="H246" s="7"/>
    </row>
    <row r="247" customFormat="false" ht="15" hidden="false" customHeight="false" outlineLevel="1" collapsed="false">
      <c r="A247" s="7"/>
      <c r="B247" s="29" t="s">
        <v>267</v>
      </c>
      <c r="C247" s="30" t="s">
        <v>352</v>
      </c>
      <c r="D247" s="29" t="s">
        <v>90</v>
      </c>
      <c r="E247" s="31" t="n">
        <v>5</v>
      </c>
      <c r="F247" s="7"/>
      <c r="G247" s="35" t="n">
        <v>128832.75189925</v>
      </c>
      <c r="H247" s="7"/>
    </row>
    <row r="248" customFormat="false" ht="23.85" hidden="false" customHeight="false" outlineLevel="1" collapsed="false">
      <c r="A248" s="7"/>
      <c r="B248" s="29" t="s">
        <v>135</v>
      </c>
      <c r="C248" s="30" t="s">
        <v>137</v>
      </c>
      <c r="D248" s="29" t="s">
        <v>90</v>
      </c>
      <c r="E248" s="31" t="n">
        <v>1</v>
      </c>
      <c r="F248" s="7"/>
      <c r="G248" s="35" t="n">
        <v>12800000.9022617</v>
      </c>
      <c r="H248" s="7"/>
    </row>
    <row r="249" customFormat="false" ht="15" hidden="false" customHeight="false" outlineLevel="1" collapsed="false">
      <c r="A249" s="7"/>
      <c r="B249" s="29" t="s">
        <v>267</v>
      </c>
      <c r="C249" s="30" t="s">
        <v>269</v>
      </c>
      <c r="D249" s="29" t="s">
        <v>90</v>
      </c>
      <c r="E249" s="31" t="n">
        <v>5</v>
      </c>
      <c r="F249" s="7"/>
      <c r="G249" s="35" t="n">
        <v>1120162.899471</v>
      </c>
      <c r="H249" s="7"/>
    </row>
    <row r="250" customFormat="false" ht="23.85" hidden="false" customHeight="false" outlineLevel="1" collapsed="false">
      <c r="A250" s="7"/>
      <c r="B250" s="29" t="s">
        <v>135</v>
      </c>
      <c r="C250" s="30" t="s">
        <v>138</v>
      </c>
      <c r="D250" s="29" t="s">
        <v>90</v>
      </c>
      <c r="E250" s="31" t="n">
        <v>1</v>
      </c>
      <c r="F250" s="7"/>
      <c r="G250" s="35" t="n">
        <v>3603327.43323847</v>
      </c>
      <c r="H250" s="7"/>
    </row>
    <row r="251" customFormat="false" ht="15" hidden="false" customHeight="false" outlineLevel="1" collapsed="false">
      <c r="A251" s="7"/>
      <c r="B251" s="29" t="s">
        <v>267</v>
      </c>
      <c r="C251" s="30" t="s">
        <v>270</v>
      </c>
      <c r="D251" s="29" t="s">
        <v>90</v>
      </c>
      <c r="E251" s="31" t="n">
        <v>5</v>
      </c>
      <c r="F251" s="7"/>
      <c r="G251" s="35" t="n">
        <v>437295.77526775</v>
      </c>
      <c r="H251" s="7"/>
    </row>
    <row r="252" customFormat="false" ht="23.85" hidden="false" customHeight="false" outlineLevel="1" collapsed="false">
      <c r="A252" s="7"/>
      <c r="B252" s="29" t="s">
        <v>135</v>
      </c>
      <c r="C252" s="30" t="s">
        <v>138</v>
      </c>
      <c r="D252" s="29" t="s">
        <v>90</v>
      </c>
      <c r="E252" s="31" t="n">
        <v>1</v>
      </c>
      <c r="F252" s="7"/>
      <c r="G252" s="35" t="n">
        <v>3507530.07472989</v>
      </c>
      <c r="H252" s="7"/>
    </row>
    <row r="253" customFormat="false" ht="15" hidden="false" customHeight="false" outlineLevel="1" collapsed="false">
      <c r="A253" s="7"/>
      <c r="B253" s="29" t="s">
        <v>267</v>
      </c>
      <c r="C253" s="30" t="s">
        <v>270</v>
      </c>
      <c r="D253" s="29" t="s">
        <v>90</v>
      </c>
      <c r="E253" s="31" t="n">
        <v>5</v>
      </c>
      <c r="F253" s="7"/>
      <c r="G253" s="35" t="n">
        <v>427120.75276325</v>
      </c>
      <c r="H253" s="7"/>
    </row>
    <row r="254" customFormat="false" ht="15" hidden="false" customHeight="false" outlineLevel="1" collapsed="false">
      <c r="A254" s="7"/>
      <c r="B254" s="29" t="s">
        <v>154</v>
      </c>
      <c r="C254" s="30" t="s">
        <v>155</v>
      </c>
      <c r="D254" s="29" t="s">
        <v>90</v>
      </c>
      <c r="E254" s="31" t="n">
        <v>1</v>
      </c>
      <c r="F254" s="7"/>
      <c r="G254" s="35" t="n">
        <v>2150589.1458</v>
      </c>
      <c r="H254" s="7"/>
    </row>
    <row r="255" customFormat="false" ht="15" hidden="false" customHeight="false" outlineLevel="1" collapsed="false">
      <c r="A255" s="7"/>
      <c r="B255" s="29" t="s">
        <v>272</v>
      </c>
      <c r="C255" s="30" t="s">
        <v>273</v>
      </c>
      <c r="D255" s="29" t="s">
        <v>90</v>
      </c>
      <c r="E255" s="31" t="n">
        <v>5</v>
      </c>
      <c r="F255" s="7"/>
      <c r="G255" s="35" t="n">
        <v>24272.275</v>
      </c>
      <c r="H255" s="7"/>
    </row>
    <row r="256" customFormat="false" ht="15" hidden="false" customHeight="false" outlineLevel="1" collapsed="false">
      <c r="A256" s="7"/>
      <c r="B256" s="29" t="s">
        <v>141</v>
      </c>
      <c r="C256" s="30" t="s">
        <v>142</v>
      </c>
      <c r="D256" s="29" t="s">
        <v>90</v>
      </c>
      <c r="E256" s="31" t="n">
        <v>5</v>
      </c>
      <c r="F256" s="7"/>
      <c r="G256" s="35" t="n">
        <v>9818848.44203737</v>
      </c>
      <c r="H256" s="7"/>
    </row>
    <row r="257" customFormat="false" ht="15" hidden="false" customHeight="false" outlineLevel="1" collapsed="false">
      <c r="A257" s="7"/>
      <c r="B257" s="29" t="s">
        <v>141</v>
      </c>
      <c r="C257" s="30" t="s">
        <v>142</v>
      </c>
      <c r="D257" s="29" t="s">
        <v>90</v>
      </c>
      <c r="E257" s="31" t="n">
        <v>5</v>
      </c>
      <c r="F257" s="7"/>
      <c r="G257" s="35" t="n">
        <v>11117451.3778185</v>
      </c>
      <c r="H257" s="7"/>
    </row>
    <row r="258" customFormat="false" ht="15" hidden="false" customHeight="false" outlineLevel="1" collapsed="false">
      <c r="A258" s="7"/>
      <c r="B258" s="29" t="s">
        <v>265</v>
      </c>
      <c r="C258" s="30" t="s">
        <v>274</v>
      </c>
      <c r="D258" s="29" t="s">
        <v>90</v>
      </c>
      <c r="E258" s="31" t="n">
        <v>5</v>
      </c>
      <c r="F258" s="7"/>
      <c r="G258" s="35" t="n">
        <v>608780.7091276</v>
      </c>
      <c r="H258" s="7"/>
    </row>
    <row r="259" customFormat="false" ht="23.85" hidden="false" customHeight="false" outlineLevel="1" collapsed="false">
      <c r="A259" s="7"/>
      <c r="B259" s="29" t="s">
        <v>143</v>
      </c>
      <c r="C259" s="30" t="s">
        <v>144</v>
      </c>
      <c r="D259" s="29" t="s">
        <v>90</v>
      </c>
      <c r="E259" s="31" t="n">
        <v>5</v>
      </c>
      <c r="F259" s="7"/>
      <c r="G259" s="35" t="n">
        <v>12324975.8271534</v>
      </c>
      <c r="H259" s="7"/>
    </row>
    <row r="260" customFormat="false" ht="15" hidden="false" customHeight="false" outlineLevel="1" collapsed="false">
      <c r="A260" s="7"/>
      <c r="B260" s="29" t="s">
        <v>265</v>
      </c>
      <c r="C260" s="30" t="s">
        <v>275</v>
      </c>
      <c r="D260" s="29" t="s">
        <v>90</v>
      </c>
      <c r="E260" s="31" t="n">
        <v>5</v>
      </c>
      <c r="F260" s="7"/>
      <c r="G260" s="35" t="n">
        <v>92439.5598949</v>
      </c>
      <c r="H260" s="7"/>
    </row>
    <row r="261" customFormat="false" ht="15" hidden="false" customHeight="false" outlineLevel="1" collapsed="false">
      <c r="A261" s="7"/>
      <c r="B261" s="29" t="s">
        <v>145</v>
      </c>
      <c r="C261" s="30" t="s">
        <v>146</v>
      </c>
      <c r="D261" s="29" t="s">
        <v>90</v>
      </c>
      <c r="E261" s="31" t="n">
        <v>1</v>
      </c>
      <c r="F261" s="7"/>
      <c r="G261" s="35" t="n">
        <v>496289.610660967</v>
      </c>
      <c r="H261" s="7"/>
    </row>
    <row r="262" customFormat="false" ht="15" hidden="false" customHeight="false" outlineLevel="1" collapsed="false">
      <c r="A262" s="7"/>
      <c r="B262" s="29" t="s">
        <v>265</v>
      </c>
      <c r="C262" s="30" t="s">
        <v>276</v>
      </c>
      <c r="D262" s="29" t="s">
        <v>90</v>
      </c>
      <c r="E262" s="31" t="n">
        <v>5</v>
      </c>
      <c r="F262" s="7"/>
      <c r="G262" s="35" t="n">
        <v>537669.01896045</v>
      </c>
      <c r="H262" s="7"/>
    </row>
    <row r="263" customFormat="false" ht="15" hidden="false" customHeight="false" outlineLevel="1" collapsed="false">
      <c r="A263" s="7"/>
      <c r="B263" s="29" t="s">
        <v>267</v>
      </c>
      <c r="C263" s="30" t="s">
        <v>277</v>
      </c>
      <c r="D263" s="29" t="s">
        <v>90</v>
      </c>
      <c r="E263" s="31" t="n">
        <v>5</v>
      </c>
      <c r="F263" s="7"/>
      <c r="G263" s="35" t="n">
        <v>18873.19247975</v>
      </c>
      <c r="H263" s="7"/>
    </row>
    <row r="264" customFormat="false" ht="23.85" hidden="false" customHeight="false" outlineLevel="1" collapsed="false">
      <c r="A264" s="7"/>
      <c r="B264" s="29" t="s">
        <v>147</v>
      </c>
      <c r="C264" s="30" t="s">
        <v>148</v>
      </c>
      <c r="D264" s="29" t="s">
        <v>90</v>
      </c>
      <c r="E264" s="31" t="n">
        <v>0.5</v>
      </c>
      <c r="F264" s="7"/>
      <c r="G264" s="35" t="n">
        <v>95968.33100309</v>
      </c>
      <c r="H264" s="7"/>
    </row>
    <row r="265" customFormat="false" ht="15" hidden="false" customHeight="false" outlineLevel="1" collapsed="false">
      <c r="A265" s="7"/>
      <c r="B265" s="29" t="s">
        <v>219</v>
      </c>
      <c r="C265" s="30" t="s">
        <v>220</v>
      </c>
      <c r="D265" s="29" t="s">
        <v>90</v>
      </c>
      <c r="E265" s="31" t="n">
        <v>0.5</v>
      </c>
      <c r="F265" s="7"/>
      <c r="G265" s="35" t="n">
        <v>3461.4699512</v>
      </c>
      <c r="H265" s="7"/>
    </row>
    <row r="266" customFormat="false" ht="15" hidden="false" customHeight="false" outlineLevel="1" collapsed="false">
      <c r="A266" s="7"/>
      <c r="B266" s="29" t="s">
        <v>272</v>
      </c>
      <c r="C266" s="30" t="s">
        <v>273</v>
      </c>
      <c r="D266" s="29" t="s">
        <v>90</v>
      </c>
      <c r="E266" s="31" t="n">
        <v>5</v>
      </c>
      <c r="F266" s="7"/>
      <c r="G266" s="35" t="n">
        <v>22228.549445</v>
      </c>
      <c r="H266" s="7"/>
    </row>
    <row r="267" customFormat="false" ht="15" hidden="false" customHeight="false" outlineLevel="1" collapsed="false">
      <c r="A267" s="7"/>
      <c r="B267" s="29" t="s">
        <v>251</v>
      </c>
      <c r="C267" s="30" t="s">
        <v>250</v>
      </c>
      <c r="D267" s="29" t="s">
        <v>90</v>
      </c>
      <c r="E267" s="31" t="n">
        <v>0.2</v>
      </c>
      <c r="F267" s="7"/>
      <c r="G267" s="35" t="n">
        <v>53130</v>
      </c>
      <c r="H267" s="7"/>
    </row>
    <row r="268" customFormat="false" ht="15" hidden="false" customHeight="false" outlineLevel="1" collapsed="false">
      <c r="A268" s="7"/>
      <c r="B268" s="29" t="s">
        <v>251</v>
      </c>
      <c r="C268" s="30" t="s">
        <v>250</v>
      </c>
      <c r="D268" s="29" t="s">
        <v>90</v>
      </c>
      <c r="E268" s="31" t="n">
        <v>0.2</v>
      </c>
      <c r="F268" s="7"/>
      <c r="G268" s="35" t="n">
        <v>43061.172</v>
      </c>
      <c r="H268" s="7"/>
    </row>
    <row r="269" customFormat="false" ht="23.85" hidden="false" customHeight="false" outlineLevel="1" collapsed="false">
      <c r="A269" s="7"/>
      <c r="B269" s="29" t="s">
        <v>168</v>
      </c>
      <c r="C269" s="30" t="s">
        <v>169</v>
      </c>
      <c r="D269" s="29" t="s">
        <v>90</v>
      </c>
      <c r="E269" s="31" t="n">
        <v>0.01</v>
      </c>
      <c r="F269" s="7"/>
      <c r="G269" s="35" t="n">
        <v>29934.055</v>
      </c>
      <c r="H269" s="7"/>
    </row>
    <row r="270" customFormat="false" ht="23.85" hidden="false" customHeight="false" outlineLevel="1" collapsed="false">
      <c r="A270" s="7"/>
      <c r="B270" s="29" t="s">
        <v>166</v>
      </c>
      <c r="C270" s="30" t="s">
        <v>167</v>
      </c>
      <c r="D270" s="29" t="s">
        <v>90</v>
      </c>
      <c r="E270" s="31" t="n">
        <v>0.01</v>
      </c>
      <c r="F270" s="7"/>
      <c r="G270" s="35" t="n">
        <v>435.206707</v>
      </c>
      <c r="H270" s="7"/>
    </row>
    <row r="271" customFormat="false" ht="15" hidden="false" customHeight="false" outlineLevel="1" collapsed="false">
      <c r="A271" s="7"/>
      <c r="B271" s="29" t="s">
        <v>156</v>
      </c>
      <c r="C271" s="30" t="s">
        <v>155</v>
      </c>
      <c r="D271" s="29" t="s">
        <v>90</v>
      </c>
      <c r="E271" s="31" t="n">
        <v>1</v>
      </c>
      <c r="F271" s="7"/>
      <c r="G271" s="35" t="n">
        <v>1503369.34237149</v>
      </c>
      <c r="H271" s="7"/>
    </row>
    <row r="272" customFormat="false" ht="15" hidden="false" customHeight="false" outlineLevel="1" collapsed="false">
      <c r="A272" s="7"/>
      <c r="B272" s="29" t="s">
        <v>152</v>
      </c>
      <c r="C272" s="30" t="s">
        <v>153</v>
      </c>
      <c r="D272" s="29" t="s">
        <v>90</v>
      </c>
      <c r="E272" s="31" t="n">
        <v>1</v>
      </c>
      <c r="F272" s="7"/>
      <c r="G272" s="35" t="n">
        <v>1652868.65351062</v>
      </c>
      <c r="H272" s="7"/>
    </row>
    <row r="273" customFormat="false" ht="15" hidden="false" customHeight="false" outlineLevel="1" collapsed="false">
      <c r="A273" s="7"/>
      <c r="B273" s="29" t="s">
        <v>172</v>
      </c>
      <c r="C273" s="30" t="s">
        <v>173</v>
      </c>
      <c r="D273" s="29" t="s">
        <v>90</v>
      </c>
      <c r="E273" s="31" t="n">
        <v>5</v>
      </c>
      <c r="F273" s="7"/>
      <c r="G273" s="35" t="n">
        <v>632557.67027425</v>
      </c>
      <c r="H273" s="7"/>
    </row>
    <row r="274" customFormat="false" ht="15" hidden="false" customHeight="false" outlineLevel="1" collapsed="false">
      <c r="A274" s="7"/>
      <c r="B274" s="29" t="s">
        <v>172</v>
      </c>
      <c r="C274" s="30" t="s">
        <v>173</v>
      </c>
      <c r="D274" s="29" t="s">
        <v>90</v>
      </c>
      <c r="E274" s="31" t="n">
        <v>5</v>
      </c>
      <c r="F274" s="7"/>
      <c r="G274" s="35" t="n">
        <v>594599.63680075</v>
      </c>
      <c r="H274" s="7"/>
    </row>
    <row r="275" customFormat="false" ht="23.85" hidden="false" customHeight="false" outlineLevel="1" collapsed="false">
      <c r="A275" s="7"/>
      <c r="B275" s="29" t="s">
        <v>133</v>
      </c>
      <c r="C275" s="30" t="s">
        <v>151</v>
      </c>
      <c r="D275" s="29" t="s">
        <v>90</v>
      </c>
      <c r="E275" s="31" t="n">
        <v>5</v>
      </c>
      <c r="F275" s="7"/>
      <c r="G275" s="35" t="n">
        <v>5749696.70887706</v>
      </c>
      <c r="H275" s="7"/>
    </row>
    <row r="276" customFormat="false" ht="15" hidden="false" customHeight="false" outlineLevel="1" collapsed="false">
      <c r="A276" s="7"/>
      <c r="B276" s="29" t="s">
        <v>123</v>
      </c>
      <c r="C276" s="30" t="s">
        <v>257</v>
      </c>
      <c r="D276" s="29" t="s">
        <v>90</v>
      </c>
      <c r="E276" s="31" t="n">
        <v>1</v>
      </c>
      <c r="F276" s="7"/>
      <c r="G276" s="35" t="n">
        <v>18051996</v>
      </c>
      <c r="H276" s="7"/>
    </row>
    <row r="277" customFormat="false" ht="15" hidden="false" customHeight="false" outlineLevel="1" collapsed="false">
      <c r="A277" s="7"/>
      <c r="B277" s="29" t="s">
        <v>123</v>
      </c>
      <c r="C277" s="30" t="s">
        <v>159</v>
      </c>
      <c r="D277" s="29" t="s">
        <v>90</v>
      </c>
      <c r="E277" s="31" t="n">
        <v>5</v>
      </c>
      <c r="F277" s="7"/>
      <c r="G277" s="35" t="n">
        <v>8779.56612</v>
      </c>
      <c r="H277" s="7"/>
    </row>
    <row r="278" customFormat="false" ht="15" hidden="false" customHeight="true" outlineLevel="0" collapsed="false">
      <c r="A278" s="12" t="s">
        <v>91</v>
      </c>
      <c r="B278" s="12"/>
      <c r="C278" s="12"/>
      <c r="D278" s="12"/>
      <c r="E278" s="12"/>
      <c r="F278" s="12"/>
      <c r="G278" s="13" t="n">
        <f aca="false">SUMIFS(G6:G277,H6:H277,"?*")</f>
        <v>27464625666.351</v>
      </c>
      <c r="H278" s="14"/>
    </row>
    <row r="279" customFormat="false" ht="30" hidden="false" customHeight="true" outlineLevel="0" collapsed="false">
      <c r="A279" s="22" t="s">
        <v>114</v>
      </c>
      <c r="B279" s="22"/>
      <c r="C279" s="22"/>
      <c r="D279" s="22"/>
      <c r="E279" s="22"/>
      <c r="F279" s="22"/>
      <c r="G279" s="22"/>
      <c r="H279" s="22"/>
    </row>
  </sheetData>
  <mergeCells count="5">
    <mergeCell ref="A1:H1"/>
    <mergeCell ref="A2:H2"/>
    <mergeCell ref="A3:H3"/>
    <mergeCell ref="A278:F278"/>
    <mergeCell ref="A279:H27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0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62"/>
    <col collapsed="false" customWidth="true" hidden="false" outlineLevel="0" max="4" min="4" style="0" width="10"/>
    <col collapsed="false" customWidth="true" hidden="false" outlineLevel="0" max="5" min="5" style="0" width="15"/>
    <col collapsed="false" customWidth="true" hidden="false" outlineLevel="0" max="6" min="6" style="0" width="14"/>
    <col collapsed="false" customWidth="true" hidden="false" outlineLevel="0" max="7" min="7" style="0" width="18"/>
    <col collapsed="false" customWidth="true" hidden="true" outlineLevel="0" max="8" min="8" style="0" width="30"/>
  </cols>
  <sheetData>
    <row r="1" customFormat="false" ht="17.35" hidden="false" customHeight="true" outlineLevel="0" collapsed="false">
      <c r="A1" s="1" t="s">
        <v>356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true" outlineLevel="0" collapsed="false">
      <c r="A3" s="3" t="s">
        <v>116</v>
      </c>
      <c r="B3" s="3"/>
      <c r="C3" s="3"/>
      <c r="D3" s="3"/>
      <c r="E3" s="3"/>
      <c r="F3" s="3"/>
      <c r="G3" s="3"/>
      <c r="H3" s="3"/>
    </row>
    <row r="5" customFormat="false" ht="31.5" hidden="false" customHeight="true" outlineLevel="0" collapsed="false">
      <c r="A5" s="4" t="s">
        <v>3</v>
      </c>
      <c r="B5" s="4" t="s">
        <v>102</v>
      </c>
      <c r="C5" s="4" t="s">
        <v>103</v>
      </c>
      <c r="D5" s="4" t="s">
        <v>5</v>
      </c>
      <c r="E5" s="4" t="s">
        <v>104</v>
      </c>
      <c r="F5" s="4" t="s">
        <v>105</v>
      </c>
      <c r="G5" s="4" t="s">
        <v>7</v>
      </c>
      <c r="H5" s="4" t="s">
        <v>106</v>
      </c>
    </row>
    <row r="6" customFormat="false" ht="15" hidden="false" customHeight="false" outlineLevel="0" collapsed="false">
      <c r="A6" s="23" t="n">
        <v>1</v>
      </c>
      <c r="B6" s="23" t="s">
        <v>309</v>
      </c>
      <c r="C6" s="24" t="s">
        <v>21</v>
      </c>
      <c r="D6" s="23" t="s">
        <v>22</v>
      </c>
      <c r="E6" s="25" t="n">
        <f aca="false">SUM(E7:E7)</f>
        <v>25.71528</v>
      </c>
      <c r="F6" s="26" t="n">
        <v>2500</v>
      </c>
      <c r="G6" s="27" t="n">
        <f aca="false">E6*F6</f>
        <v>64288.2</v>
      </c>
      <c r="H6" s="28" t="s">
        <v>310</v>
      </c>
    </row>
    <row r="7" customFormat="false" ht="15" hidden="false" customHeight="false" outlineLevel="1" collapsed="false">
      <c r="A7" s="7"/>
      <c r="B7" s="29" t="s">
        <v>311</v>
      </c>
      <c r="C7" s="30" t="s">
        <v>312</v>
      </c>
      <c r="D7" s="29"/>
      <c r="E7" s="31" t="n">
        <v>25.71528</v>
      </c>
      <c r="F7" s="7"/>
      <c r="G7" s="32" t="n">
        <f aca="false">E7*$F$6</f>
        <v>64288.2</v>
      </c>
      <c r="H7" s="7"/>
    </row>
    <row r="8" customFormat="false" ht="15" hidden="false" customHeight="false" outlineLevel="0" collapsed="false">
      <c r="A8" s="23" t="n">
        <v>2</v>
      </c>
      <c r="B8" s="23" t="s">
        <v>125</v>
      </c>
      <c r="C8" s="24" t="s">
        <v>26</v>
      </c>
      <c r="D8" s="23" t="s">
        <v>24</v>
      </c>
      <c r="E8" s="25" t="n">
        <f aca="false">SUM(E9:E9)</f>
        <v>37.73252</v>
      </c>
      <c r="F8" s="26" t="n">
        <v>254920</v>
      </c>
      <c r="G8" s="27" t="n">
        <f aca="false">E8*F8</f>
        <v>9618773.9984</v>
      </c>
      <c r="H8" s="28" t="s">
        <v>126</v>
      </c>
    </row>
    <row r="9" customFormat="false" ht="15" hidden="false" customHeight="false" outlineLevel="1" collapsed="false">
      <c r="A9" s="7"/>
      <c r="B9" s="29" t="s">
        <v>127</v>
      </c>
      <c r="C9" s="30" t="s">
        <v>128</v>
      </c>
      <c r="D9" s="29"/>
      <c r="E9" s="31" t="n">
        <v>37.73252</v>
      </c>
      <c r="F9" s="7"/>
      <c r="G9" s="32" t="n">
        <f aca="false">E9*$F$8</f>
        <v>9618773.9984</v>
      </c>
      <c r="H9" s="7"/>
    </row>
    <row r="10" customFormat="false" ht="15" hidden="false" customHeight="false" outlineLevel="0" collapsed="false">
      <c r="A10" s="23" t="n">
        <v>3</v>
      </c>
      <c r="B10" s="23" t="s">
        <v>357</v>
      </c>
      <c r="C10" s="24" t="s">
        <v>27</v>
      </c>
      <c r="D10" s="23" t="s">
        <v>24</v>
      </c>
      <c r="E10" s="25" t="n">
        <f aca="false">SUM(E11:E11)</f>
        <v>21.707338</v>
      </c>
      <c r="F10" s="26" t="n">
        <v>120000</v>
      </c>
      <c r="G10" s="27" t="n">
        <f aca="false">E10*F10</f>
        <v>2604880.56</v>
      </c>
      <c r="H10" s="28" t="s">
        <v>358</v>
      </c>
    </row>
    <row r="11" customFormat="false" ht="15" hidden="false" customHeight="false" outlineLevel="1" collapsed="false">
      <c r="A11" s="7"/>
      <c r="B11" s="29" t="s">
        <v>359</v>
      </c>
      <c r="C11" s="30" t="s">
        <v>360</v>
      </c>
      <c r="D11" s="29"/>
      <c r="E11" s="31" t="n">
        <v>21.707338</v>
      </c>
      <c r="F11" s="7"/>
      <c r="G11" s="32" t="n">
        <f aca="false">E11*$F$10</f>
        <v>2604880.56</v>
      </c>
      <c r="H11" s="7"/>
    </row>
    <row r="12" customFormat="false" ht="15" hidden="false" customHeight="false" outlineLevel="0" collapsed="false">
      <c r="A12" s="23" t="n">
        <v>4</v>
      </c>
      <c r="B12" s="23" t="s">
        <v>131</v>
      </c>
      <c r="C12" s="24" t="s">
        <v>28</v>
      </c>
      <c r="D12" s="23" t="s">
        <v>24</v>
      </c>
      <c r="E12" s="25" t="n">
        <f aca="false">SUM(E13:E28)</f>
        <v>2924.3948846</v>
      </c>
      <c r="F12" s="26" t="n">
        <v>498275</v>
      </c>
      <c r="G12" s="27" t="n">
        <f aca="false">E12*F12</f>
        <v>1457152861.12407</v>
      </c>
      <c r="H12" s="28" t="s">
        <v>132</v>
      </c>
    </row>
    <row r="13" customFormat="false" ht="23.85" hidden="false" customHeight="false" outlineLevel="1" collapsed="false">
      <c r="A13" s="7"/>
      <c r="B13" s="29" t="s">
        <v>133</v>
      </c>
      <c r="C13" s="30" t="s">
        <v>134</v>
      </c>
      <c r="D13" s="29"/>
      <c r="E13" s="31" t="n">
        <v>125.099118</v>
      </c>
      <c r="F13" s="7"/>
      <c r="G13" s="32" t="n">
        <f aca="false">E13*$F$12</f>
        <v>62333763.02145</v>
      </c>
      <c r="H13" s="7"/>
    </row>
    <row r="14" customFormat="false" ht="23.85" hidden="false" customHeight="false" outlineLevel="1" collapsed="false">
      <c r="A14" s="7"/>
      <c r="B14" s="29" t="s">
        <v>135</v>
      </c>
      <c r="C14" s="30" t="s">
        <v>136</v>
      </c>
      <c r="D14" s="29"/>
      <c r="E14" s="31" t="n">
        <v>1780.02024795</v>
      </c>
      <c r="F14" s="7"/>
      <c r="G14" s="32" t="n">
        <f aca="false">E14*$F$12</f>
        <v>886939589.047286</v>
      </c>
      <c r="H14" s="7"/>
    </row>
    <row r="15" customFormat="false" ht="23.85" hidden="false" customHeight="false" outlineLevel="1" collapsed="false">
      <c r="A15" s="7"/>
      <c r="B15" s="29" t="s">
        <v>135</v>
      </c>
      <c r="C15" s="30" t="s">
        <v>320</v>
      </c>
      <c r="D15" s="29"/>
      <c r="E15" s="31" t="n">
        <v>27.4060556</v>
      </c>
      <c r="F15" s="7"/>
      <c r="G15" s="32" t="n">
        <f aca="false">E15*$F$12</f>
        <v>13655752.35409</v>
      </c>
      <c r="H15" s="7"/>
    </row>
    <row r="16" customFormat="false" ht="23.85" hidden="false" customHeight="false" outlineLevel="1" collapsed="false">
      <c r="A16" s="7"/>
      <c r="B16" s="29" t="s">
        <v>135</v>
      </c>
      <c r="C16" s="30" t="s">
        <v>321</v>
      </c>
      <c r="D16" s="29"/>
      <c r="E16" s="31" t="n">
        <v>20.80470875</v>
      </c>
      <c r="F16" s="7"/>
      <c r="G16" s="32" t="n">
        <f aca="false">E16*$F$12</f>
        <v>10366466.2524063</v>
      </c>
      <c r="H16" s="7"/>
    </row>
    <row r="17" customFormat="false" ht="23.85" hidden="false" customHeight="false" outlineLevel="1" collapsed="false">
      <c r="A17" s="7"/>
      <c r="B17" s="29" t="s">
        <v>135</v>
      </c>
      <c r="C17" s="30" t="s">
        <v>137</v>
      </c>
      <c r="D17" s="29"/>
      <c r="E17" s="31" t="n">
        <v>390.16359445</v>
      </c>
      <c r="F17" s="7"/>
      <c r="G17" s="32" t="n">
        <f aca="false">E17*$F$12</f>
        <v>194408765.024574</v>
      </c>
      <c r="H17" s="7"/>
    </row>
    <row r="18" customFormat="false" ht="23.85" hidden="false" customHeight="false" outlineLevel="1" collapsed="false">
      <c r="A18" s="7"/>
      <c r="B18" s="29" t="s">
        <v>135</v>
      </c>
      <c r="C18" s="30" t="s">
        <v>138</v>
      </c>
      <c r="D18" s="29"/>
      <c r="E18" s="31" t="n">
        <v>107.66883505</v>
      </c>
      <c r="F18" s="7"/>
      <c r="G18" s="32" t="n">
        <f aca="false">E18*$F$12</f>
        <v>53648688.7845387</v>
      </c>
      <c r="H18" s="7"/>
    </row>
    <row r="19" customFormat="false" ht="23.85" hidden="false" customHeight="false" outlineLevel="1" collapsed="false">
      <c r="A19" s="7"/>
      <c r="B19" s="29" t="s">
        <v>135</v>
      </c>
      <c r="C19" s="30" t="s">
        <v>138</v>
      </c>
      <c r="D19" s="29"/>
      <c r="E19" s="31" t="n">
        <v>105.37138255</v>
      </c>
      <c r="F19" s="7"/>
      <c r="G19" s="32" t="n">
        <f aca="false">E19*$F$12</f>
        <v>52503925.6401013</v>
      </c>
      <c r="H19" s="7"/>
    </row>
    <row r="20" customFormat="false" ht="15" hidden="false" customHeight="false" outlineLevel="1" collapsed="false">
      <c r="A20" s="7"/>
      <c r="B20" s="29" t="s">
        <v>141</v>
      </c>
      <c r="C20" s="30" t="s">
        <v>142</v>
      </c>
      <c r="D20" s="29"/>
      <c r="E20" s="31" t="n">
        <v>63.75084875</v>
      </c>
      <c r="F20" s="7"/>
      <c r="G20" s="32" t="n">
        <f aca="false">E20*$F$12</f>
        <v>31765454.1609063</v>
      </c>
      <c r="H20" s="7"/>
    </row>
    <row r="21" customFormat="false" ht="15" hidden="false" customHeight="false" outlineLevel="1" collapsed="false">
      <c r="A21" s="7"/>
      <c r="B21" s="29" t="s">
        <v>141</v>
      </c>
      <c r="C21" s="30" t="s">
        <v>142</v>
      </c>
      <c r="D21" s="29"/>
      <c r="E21" s="31" t="n">
        <v>70.2316265</v>
      </c>
      <c r="F21" s="7"/>
      <c r="G21" s="32" t="n">
        <f aca="false">E21*$F$12</f>
        <v>34994663.6942875</v>
      </c>
      <c r="H21" s="7"/>
    </row>
    <row r="22" customFormat="false" ht="23.85" hidden="false" customHeight="false" outlineLevel="1" collapsed="false">
      <c r="A22" s="7"/>
      <c r="B22" s="29" t="s">
        <v>143</v>
      </c>
      <c r="C22" s="30" t="s">
        <v>144</v>
      </c>
      <c r="D22" s="29"/>
      <c r="E22" s="31" t="n">
        <v>79.65118175</v>
      </c>
      <c r="F22" s="7"/>
      <c r="G22" s="32" t="n">
        <f aca="false">E22*$F$12</f>
        <v>39688192.5864813</v>
      </c>
      <c r="H22" s="7"/>
    </row>
    <row r="23" customFormat="false" ht="15" hidden="false" customHeight="false" outlineLevel="1" collapsed="false">
      <c r="A23" s="7"/>
      <c r="B23" s="29" t="s">
        <v>145</v>
      </c>
      <c r="C23" s="30" t="s">
        <v>146</v>
      </c>
      <c r="D23" s="29"/>
      <c r="E23" s="31" t="n">
        <v>15.36929075</v>
      </c>
      <c r="F23" s="7"/>
      <c r="G23" s="32" t="n">
        <f aca="false">E23*$F$12</f>
        <v>7658133.34845625</v>
      </c>
      <c r="H23" s="7"/>
    </row>
    <row r="24" customFormat="false" ht="15" hidden="false" customHeight="false" outlineLevel="1" collapsed="false">
      <c r="A24" s="7"/>
      <c r="B24" s="29" t="s">
        <v>152</v>
      </c>
      <c r="C24" s="30" t="s">
        <v>153</v>
      </c>
      <c r="D24" s="29"/>
      <c r="E24" s="31" t="n">
        <v>47.841875</v>
      </c>
      <c r="F24" s="7"/>
      <c r="G24" s="32" t="n">
        <f aca="false">E24*$F$12</f>
        <v>23838410.265625</v>
      </c>
      <c r="H24" s="7"/>
    </row>
    <row r="25" customFormat="false" ht="23.85" hidden="false" customHeight="false" outlineLevel="1" collapsed="false">
      <c r="A25" s="7"/>
      <c r="B25" s="29" t="s">
        <v>147</v>
      </c>
      <c r="C25" s="30" t="s">
        <v>148</v>
      </c>
      <c r="D25" s="29"/>
      <c r="E25" s="31" t="n">
        <v>5.55205</v>
      </c>
      <c r="F25" s="7"/>
      <c r="G25" s="32" t="n">
        <f aca="false">E25*$F$12</f>
        <v>2766447.71375</v>
      </c>
      <c r="H25" s="7"/>
    </row>
    <row r="26" customFormat="false" ht="15" hidden="false" customHeight="false" outlineLevel="1" collapsed="false">
      <c r="A26" s="7"/>
      <c r="B26" s="29" t="s">
        <v>154</v>
      </c>
      <c r="C26" s="30" t="s">
        <v>155</v>
      </c>
      <c r="D26" s="29"/>
      <c r="E26" s="31" t="n">
        <v>78.6791025</v>
      </c>
      <c r="F26" s="7"/>
      <c r="G26" s="32" t="n">
        <f aca="false">E26*$F$12</f>
        <v>39203829.7981875</v>
      </c>
      <c r="H26" s="7"/>
    </row>
    <row r="27" customFormat="false" ht="15" hidden="false" customHeight="false" outlineLevel="1" collapsed="false">
      <c r="A27" s="7"/>
      <c r="B27" s="29" t="s">
        <v>361</v>
      </c>
      <c r="C27" s="30" t="s">
        <v>362</v>
      </c>
      <c r="D27" s="29"/>
      <c r="E27" s="31" t="n">
        <v>0</v>
      </c>
      <c r="F27" s="7"/>
      <c r="G27" s="32" t="n">
        <f aca="false">E27*$F$12</f>
        <v>0</v>
      </c>
      <c r="H27" s="7"/>
    </row>
    <row r="28" customFormat="false" ht="23.85" hidden="false" customHeight="false" outlineLevel="1" collapsed="false">
      <c r="A28" s="7"/>
      <c r="B28" s="29" t="s">
        <v>139</v>
      </c>
      <c r="C28" s="30" t="s">
        <v>322</v>
      </c>
      <c r="D28" s="29"/>
      <c r="E28" s="31" t="n">
        <v>6.784967</v>
      </c>
      <c r="F28" s="7"/>
      <c r="G28" s="32" t="n">
        <f aca="false">E28*$F$12</f>
        <v>3380779.431925</v>
      </c>
      <c r="H28" s="7"/>
    </row>
    <row r="29" customFormat="false" ht="22.35" hidden="false" customHeight="false" outlineLevel="0" collapsed="false">
      <c r="A29" s="23" t="n">
        <v>5</v>
      </c>
      <c r="B29" s="23" t="s">
        <v>323</v>
      </c>
      <c r="C29" s="24" t="s">
        <v>29</v>
      </c>
      <c r="D29" s="23" t="s">
        <v>18</v>
      </c>
      <c r="E29" s="25" t="n">
        <f aca="false">SUM(E30:E33)</f>
        <v>294.92</v>
      </c>
      <c r="F29" s="26" t="n">
        <v>2600000</v>
      </c>
      <c r="G29" s="27" t="n">
        <f aca="false">E29*F29</f>
        <v>766792000</v>
      </c>
      <c r="H29" s="28" t="s">
        <v>324</v>
      </c>
    </row>
    <row r="30" customFormat="false" ht="23.85" hidden="false" customHeight="false" outlineLevel="1" collapsed="false">
      <c r="A30" s="7"/>
      <c r="B30" s="29" t="s">
        <v>325</v>
      </c>
      <c r="C30" s="30" t="s">
        <v>326</v>
      </c>
      <c r="D30" s="29"/>
      <c r="E30" s="31" t="n">
        <v>132.8756</v>
      </c>
      <c r="F30" s="7"/>
      <c r="G30" s="32" t="n">
        <f aca="false">E30*$F$29</f>
        <v>345476560</v>
      </c>
      <c r="H30" s="7"/>
    </row>
    <row r="31" customFormat="false" ht="23.85" hidden="false" customHeight="false" outlineLevel="1" collapsed="false">
      <c r="A31" s="7"/>
      <c r="B31" s="29" t="s">
        <v>325</v>
      </c>
      <c r="C31" s="30" t="s">
        <v>327</v>
      </c>
      <c r="D31" s="29"/>
      <c r="E31" s="31" t="n">
        <v>52.9644</v>
      </c>
      <c r="F31" s="7"/>
      <c r="G31" s="32" t="n">
        <f aca="false">E31*$F$29</f>
        <v>137707440</v>
      </c>
      <c r="H31" s="7"/>
    </row>
    <row r="32" customFormat="false" ht="23.85" hidden="false" customHeight="false" outlineLevel="1" collapsed="false">
      <c r="A32" s="7"/>
      <c r="B32" s="29" t="s">
        <v>325</v>
      </c>
      <c r="C32" s="30" t="s">
        <v>326</v>
      </c>
      <c r="D32" s="29"/>
      <c r="E32" s="31" t="n">
        <v>68.2053</v>
      </c>
      <c r="F32" s="7"/>
      <c r="G32" s="32" t="n">
        <f aca="false">E32*$F$29</f>
        <v>177333780</v>
      </c>
      <c r="H32" s="7"/>
    </row>
    <row r="33" customFormat="false" ht="23.85" hidden="false" customHeight="false" outlineLevel="1" collapsed="false">
      <c r="A33" s="7"/>
      <c r="B33" s="29" t="s">
        <v>325</v>
      </c>
      <c r="C33" s="30" t="s">
        <v>327</v>
      </c>
      <c r="D33" s="29"/>
      <c r="E33" s="31" t="n">
        <v>40.8747</v>
      </c>
      <c r="F33" s="7"/>
      <c r="G33" s="32" t="n">
        <f aca="false">E33*$F$29</f>
        <v>106274220</v>
      </c>
      <c r="H33" s="7"/>
    </row>
    <row r="34" customFormat="false" ht="15" hidden="false" customHeight="false" outlineLevel="0" collapsed="false">
      <c r="A34" s="23" t="n">
        <v>6</v>
      </c>
      <c r="B34" s="23" t="s">
        <v>157</v>
      </c>
      <c r="C34" s="24" t="s">
        <v>30</v>
      </c>
      <c r="D34" s="23" t="s">
        <v>20</v>
      </c>
      <c r="E34" s="25" t="n">
        <f aca="false">SUM(E35:E35)</f>
        <v>11.70338</v>
      </c>
      <c r="F34" s="26" t="n">
        <v>13730</v>
      </c>
      <c r="G34" s="27" t="n">
        <f aca="false">E34*F34</f>
        <v>160687.4074</v>
      </c>
      <c r="H34" s="28" t="s">
        <v>158</v>
      </c>
    </row>
    <row r="35" customFormat="false" ht="15" hidden="false" customHeight="false" outlineLevel="1" collapsed="false">
      <c r="A35" s="7"/>
      <c r="B35" s="29" t="s">
        <v>123</v>
      </c>
      <c r="C35" s="30" t="s">
        <v>159</v>
      </c>
      <c r="D35" s="29"/>
      <c r="E35" s="31" t="n">
        <v>11.70338</v>
      </c>
      <c r="F35" s="7"/>
      <c r="G35" s="32" t="n">
        <f aca="false">E35*$F$34</f>
        <v>160687.4074</v>
      </c>
      <c r="H35" s="7"/>
    </row>
    <row r="36" customFormat="false" ht="15" hidden="false" customHeight="false" outlineLevel="0" collapsed="false">
      <c r="A36" s="23" t="n">
        <v>7</v>
      </c>
      <c r="B36" s="23" t="s">
        <v>164</v>
      </c>
      <c r="C36" s="24" t="s">
        <v>33</v>
      </c>
      <c r="D36" s="23" t="s">
        <v>20</v>
      </c>
      <c r="E36" s="25" t="n">
        <f aca="false">SUM(E37:E37)</f>
        <v>2.389595</v>
      </c>
      <c r="F36" s="26" t="n">
        <v>15000</v>
      </c>
      <c r="G36" s="27" t="n">
        <f aca="false">E36*F36</f>
        <v>35843.925</v>
      </c>
      <c r="H36" s="28" t="s">
        <v>165</v>
      </c>
    </row>
    <row r="37" customFormat="false" ht="23.85" hidden="false" customHeight="false" outlineLevel="1" collapsed="false">
      <c r="A37" s="7"/>
      <c r="B37" s="29" t="s">
        <v>168</v>
      </c>
      <c r="C37" s="30" t="s">
        <v>169</v>
      </c>
      <c r="D37" s="29"/>
      <c r="E37" s="31" t="n">
        <v>2.389595</v>
      </c>
      <c r="F37" s="7"/>
      <c r="G37" s="32" t="n">
        <f aca="false">E37*$F$36</f>
        <v>35843.925</v>
      </c>
      <c r="H37" s="7"/>
    </row>
    <row r="38" customFormat="false" ht="15" hidden="false" customHeight="false" outlineLevel="0" collapsed="false">
      <c r="A38" s="23" t="n">
        <v>8</v>
      </c>
      <c r="B38" s="23" t="s">
        <v>170</v>
      </c>
      <c r="C38" s="24" t="s">
        <v>34</v>
      </c>
      <c r="D38" s="23" t="s">
        <v>20</v>
      </c>
      <c r="E38" s="25" t="n">
        <f aca="false">SUM(E39:E40)</f>
        <v>15567.476181</v>
      </c>
      <c r="F38" s="26" t="n">
        <v>16480</v>
      </c>
      <c r="G38" s="27" t="n">
        <f aca="false">E38*F38</f>
        <v>256552007.46288</v>
      </c>
      <c r="H38" s="28" t="s">
        <v>171</v>
      </c>
    </row>
    <row r="39" customFormat="false" ht="15" hidden="false" customHeight="false" outlineLevel="1" collapsed="false">
      <c r="A39" s="7"/>
      <c r="B39" s="29" t="s">
        <v>172</v>
      </c>
      <c r="C39" s="30" t="s">
        <v>173</v>
      </c>
      <c r="D39" s="29"/>
      <c r="E39" s="31" t="n">
        <v>15407.98983</v>
      </c>
      <c r="F39" s="7"/>
      <c r="G39" s="32" t="n">
        <f aca="false">E39*$F$38</f>
        <v>253923672.3984</v>
      </c>
      <c r="H39" s="7"/>
    </row>
    <row r="40" customFormat="false" ht="15" hidden="false" customHeight="false" outlineLevel="1" collapsed="false">
      <c r="A40" s="7"/>
      <c r="B40" s="29" t="s">
        <v>172</v>
      </c>
      <c r="C40" s="30" t="s">
        <v>173</v>
      </c>
      <c r="D40" s="29"/>
      <c r="E40" s="31" t="n">
        <v>159.486351</v>
      </c>
      <c r="F40" s="7"/>
      <c r="G40" s="32" t="n">
        <f aca="false">E40*$F$38</f>
        <v>2628335.06448</v>
      </c>
      <c r="H40" s="7"/>
    </row>
    <row r="41" customFormat="false" ht="15" hidden="false" customHeight="false" outlineLevel="0" collapsed="false">
      <c r="A41" s="23" t="n">
        <v>9</v>
      </c>
      <c r="B41" s="23" t="s">
        <v>170</v>
      </c>
      <c r="C41" s="24" t="s">
        <v>34</v>
      </c>
      <c r="D41" s="23" t="s">
        <v>20</v>
      </c>
      <c r="E41" s="25" t="n">
        <f aca="false">SUM(E42:E42)</f>
        <v>17.673982</v>
      </c>
      <c r="F41" s="26" t="n">
        <v>16480</v>
      </c>
      <c r="G41" s="27" t="n">
        <f aca="false">E41*F41</f>
        <v>291267.22336</v>
      </c>
      <c r="H41" s="28" t="s">
        <v>171</v>
      </c>
    </row>
    <row r="42" customFormat="false" ht="23.85" hidden="false" customHeight="false" outlineLevel="1" collapsed="false">
      <c r="A42" s="7"/>
      <c r="B42" s="29" t="s">
        <v>328</v>
      </c>
      <c r="C42" s="30" t="s">
        <v>329</v>
      </c>
      <c r="D42" s="29"/>
      <c r="E42" s="31" t="n">
        <v>17.673982</v>
      </c>
      <c r="F42" s="7"/>
      <c r="G42" s="32" t="n">
        <f aca="false">E42*$F$41</f>
        <v>291267.22336</v>
      </c>
      <c r="H42" s="7"/>
    </row>
    <row r="43" customFormat="false" ht="15" hidden="false" customHeight="false" outlineLevel="0" collapsed="false">
      <c r="A43" s="23" t="n">
        <v>10</v>
      </c>
      <c r="B43" s="23" t="s">
        <v>330</v>
      </c>
      <c r="C43" s="24" t="s">
        <v>35</v>
      </c>
      <c r="D43" s="23" t="s">
        <v>22</v>
      </c>
      <c r="E43" s="25" t="n">
        <f aca="false">SUM(E44:E47)</f>
        <v>1.2848</v>
      </c>
      <c r="F43" s="26" t="n">
        <v>19570</v>
      </c>
      <c r="G43" s="27" t="n">
        <f aca="false">E43*F43</f>
        <v>25143.536</v>
      </c>
      <c r="H43" s="28" t="s">
        <v>331</v>
      </c>
    </row>
    <row r="44" customFormat="false" ht="23.85" hidden="false" customHeight="false" outlineLevel="1" collapsed="false">
      <c r="A44" s="7"/>
      <c r="B44" s="29" t="s">
        <v>325</v>
      </c>
      <c r="C44" s="30" t="s">
        <v>326</v>
      </c>
      <c r="D44" s="29"/>
      <c r="E44" s="31" t="n">
        <v>0.578864</v>
      </c>
      <c r="F44" s="7"/>
      <c r="G44" s="32" t="n">
        <f aca="false">E44*$F$43</f>
        <v>11328.36848</v>
      </c>
      <c r="H44" s="7"/>
    </row>
    <row r="45" customFormat="false" ht="23.85" hidden="false" customHeight="false" outlineLevel="1" collapsed="false">
      <c r="A45" s="7"/>
      <c r="B45" s="29" t="s">
        <v>325</v>
      </c>
      <c r="C45" s="30" t="s">
        <v>327</v>
      </c>
      <c r="D45" s="29"/>
      <c r="E45" s="31" t="n">
        <v>0.230736</v>
      </c>
      <c r="F45" s="7"/>
      <c r="G45" s="32" t="n">
        <f aca="false">E45*$F$43</f>
        <v>4515.50352</v>
      </c>
      <c r="H45" s="7"/>
    </row>
    <row r="46" customFormat="false" ht="23.85" hidden="false" customHeight="false" outlineLevel="1" collapsed="false">
      <c r="A46" s="7"/>
      <c r="B46" s="29" t="s">
        <v>325</v>
      </c>
      <c r="C46" s="30" t="s">
        <v>326</v>
      </c>
      <c r="D46" s="29"/>
      <c r="E46" s="31" t="n">
        <v>0.297132</v>
      </c>
      <c r="F46" s="7"/>
      <c r="G46" s="32" t="n">
        <f aca="false">E46*$F$43</f>
        <v>5814.87324</v>
      </c>
      <c r="H46" s="7"/>
    </row>
    <row r="47" customFormat="false" ht="23.85" hidden="false" customHeight="false" outlineLevel="1" collapsed="false">
      <c r="A47" s="7"/>
      <c r="B47" s="29" t="s">
        <v>325</v>
      </c>
      <c r="C47" s="30" t="s">
        <v>327</v>
      </c>
      <c r="D47" s="29"/>
      <c r="E47" s="31" t="n">
        <v>0.178068</v>
      </c>
      <c r="F47" s="7"/>
      <c r="G47" s="32" t="n">
        <f aca="false">E47*$F$43</f>
        <v>3484.79076</v>
      </c>
      <c r="H47" s="7"/>
    </row>
    <row r="48" customFormat="false" ht="15" hidden="false" customHeight="false" outlineLevel="0" collapsed="false">
      <c r="A48" s="23" t="n">
        <v>11</v>
      </c>
      <c r="B48" s="23" t="s">
        <v>363</v>
      </c>
      <c r="C48" s="24" t="s">
        <v>36</v>
      </c>
      <c r="D48" s="23" t="s">
        <v>24</v>
      </c>
      <c r="E48" s="25" t="n">
        <f aca="false">SUM(E49:E49)</f>
        <v>0</v>
      </c>
      <c r="F48" s="26" t="n">
        <v>180000</v>
      </c>
      <c r="G48" s="27" t="n">
        <f aca="false">E48*F48</f>
        <v>0</v>
      </c>
      <c r="H48" s="28" t="s">
        <v>364</v>
      </c>
    </row>
    <row r="49" customFormat="false" ht="15" hidden="false" customHeight="false" outlineLevel="1" collapsed="false">
      <c r="A49" s="7"/>
      <c r="B49" s="29" t="s">
        <v>361</v>
      </c>
      <c r="C49" s="30" t="s">
        <v>362</v>
      </c>
      <c r="D49" s="29"/>
      <c r="E49" s="31" t="n">
        <v>0</v>
      </c>
      <c r="F49" s="7"/>
      <c r="G49" s="32" t="n">
        <f aca="false">E49*$F$48</f>
        <v>0</v>
      </c>
      <c r="H49" s="7"/>
    </row>
    <row r="50" customFormat="false" ht="15" hidden="false" customHeight="false" outlineLevel="0" collapsed="false">
      <c r="A50" s="23" t="n">
        <v>12</v>
      </c>
      <c r="B50" s="23" t="s">
        <v>174</v>
      </c>
      <c r="C50" s="24" t="s">
        <v>37</v>
      </c>
      <c r="D50" s="23" t="s">
        <v>24</v>
      </c>
      <c r="E50" s="25" t="n">
        <f aca="false">SUM(E51:E63)</f>
        <v>4605.5946414</v>
      </c>
      <c r="F50" s="26" t="n">
        <v>473574</v>
      </c>
      <c r="G50" s="27" t="n">
        <f aca="false">E50*F50</f>
        <v>2181089876.70636</v>
      </c>
      <c r="H50" s="28" t="s">
        <v>175</v>
      </c>
    </row>
    <row r="51" customFormat="false" ht="23.85" hidden="false" customHeight="false" outlineLevel="1" collapsed="false">
      <c r="A51" s="7"/>
      <c r="B51" s="29" t="s">
        <v>133</v>
      </c>
      <c r="C51" s="30" t="s">
        <v>134</v>
      </c>
      <c r="D51" s="29"/>
      <c r="E51" s="31" t="n">
        <v>202.944096</v>
      </c>
      <c r="F51" s="7"/>
      <c r="G51" s="32" t="n">
        <f aca="false">E51*$F$50</f>
        <v>96109047.319104</v>
      </c>
      <c r="H51" s="7"/>
    </row>
    <row r="52" customFormat="false" ht="23.85" hidden="false" customHeight="false" outlineLevel="1" collapsed="false">
      <c r="A52" s="7"/>
      <c r="B52" s="29" t="s">
        <v>135</v>
      </c>
      <c r="C52" s="30" t="s">
        <v>136</v>
      </c>
      <c r="D52" s="29"/>
      <c r="E52" s="31" t="n">
        <v>2887.6670424</v>
      </c>
      <c r="F52" s="7"/>
      <c r="G52" s="32" t="n">
        <f aca="false">E52*$F$50</f>
        <v>1367524031.93754</v>
      </c>
      <c r="H52" s="7"/>
    </row>
    <row r="53" customFormat="false" ht="23.85" hidden="false" customHeight="false" outlineLevel="1" collapsed="false">
      <c r="A53" s="7"/>
      <c r="B53" s="29" t="s">
        <v>135</v>
      </c>
      <c r="C53" s="30" t="s">
        <v>320</v>
      </c>
      <c r="D53" s="29"/>
      <c r="E53" s="31" t="n">
        <v>44.4599232</v>
      </c>
      <c r="F53" s="7"/>
      <c r="G53" s="32" t="n">
        <f aca="false">E53*$F$50</f>
        <v>21055063.6695168</v>
      </c>
      <c r="H53" s="7"/>
    </row>
    <row r="54" customFormat="false" ht="23.85" hidden="false" customHeight="false" outlineLevel="1" collapsed="false">
      <c r="A54" s="7"/>
      <c r="B54" s="29" t="s">
        <v>135</v>
      </c>
      <c r="C54" s="30" t="s">
        <v>321</v>
      </c>
      <c r="D54" s="29"/>
      <c r="E54" s="31" t="n">
        <v>33.75078</v>
      </c>
      <c r="F54" s="7"/>
      <c r="G54" s="32" t="n">
        <f aca="false">E54*$F$50</f>
        <v>15983491.88772</v>
      </c>
      <c r="H54" s="7"/>
    </row>
    <row r="55" customFormat="false" ht="23.85" hidden="false" customHeight="false" outlineLevel="1" collapsed="false">
      <c r="A55" s="7"/>
      <c r="B55" s="29" t="s">
        <v>135</v>
      </c>
      <c r="C55" s="30" t="s">
        <v>137</v>
      </c>
      <c r="D55" s="29"/>
      <c r="E55" s="31" t="n">
        <v>632.9492904</v>
      </c>
      <c r="F55" s="7"/>
      <c r="G55" s="32" t="n">
        <f aca="false">E55*$F$50</f>
        <v>299748327.25189</v>
      </c>
      <c r="H55" s="7"/>
    </row>
    <row r="56" customFormat="false" ht="23.85" hidden="false" customHeight="false" outlineLevel="1" collapsed="false">
      <c r="A56" s="7"/>
      <c r="B56" s="29" t="s">
        <v>135</v>
      </c>
      <c r="C56" s="30" t="s">
        <v>138</v>
      </c>
      <c r="D56" s="29"/>
      <c r="E56" s="31" t="n">
        <v>174.6675336</v>
      </c>
      <c r="F56" s="7"/>
      <c r="G56" s="32" t="n">
        <f aca="false">E56*$F$50</f>
        <v>82718002.5570864</v>
      </c>
      <c r="H56" s="7"/>
    </row>
    <row r="57" customFormat="false" ht="23.85" hidden="false" customHeight="false" outlineLevel="1" collapsed="false">
      <c r="A57" s="7"/>
      <c r="B57" s="29" t="s">
        <v>135</v>
      </c>
      <c r="C57" s="30" t="s">
        <v>138</v>
      </c>
      <c r="D57" s="29"/>
      <c r="E57" s="31" t="n">
        <v>170.9404536</v>
      </c>
      <c r="F57" s="7"/>
      <c r="G57" s="32" t="n">
        <f aca="false">E57*$F$50</f>
        <v>80952954.3731664</v>
      </c>
      <c r="H57" s="7"/>
    </row>
    <row r="58" customFormat="false" ht="15" hidden="false" customHeight="false" outlineLevel="1" collapsed="false">
      <c r="A58" s="7"/>
      <c r="B58" s="29" t="s">
        <v>141</v>
      </c>
      <c r="C58" s="30" t="s">
        <v>142</v>
      </c>
      <c r="D58" s="29"/>
      <c r="E58" s="31" t="n">
        <v>103.42086</v>
      </c>
      <c r="F58" s="7"/>
      <c r="G58" s="32" t="n">
        <f aca="false">E58*$F$50</f>
        <v>48977430.35364</v>
      </c>
      <c r="H58" s="7"/>
    </row>
    <row r="59" customFormat="false" ht="15" hidden="false" customHeight="false" outlineLevel="1" collapsed="false">
      <c r="A59" s="7"/>
      <c r="B59" s="29" t="s">
        <v>141</v>
      </c>
      <c r="C59" s="30" t="s">
        <v>142</v>
      </c>
      <c r="D59" s="29"/>
      <c r="E59" s="31" t="n">
        <v>113.934408</v>
      </c>
      <c r="F59" s="7"/>
      <c r="G59" s="32" t="n">
        <f aca="false">E59*$F$50</f>
        <v>53956373.334192</v>
      </c>
      <c r="H59" s="7"/>
    </row>
    <row r="60" customFormat="false" ht="23.85" hidden="false" customHeight="false" outlineLevel="1" collapsed="false">
      <c r="A60" s="7"/>
      <c r="B60" s="29" t="s">
        <v>143</v>
      </c>
      <c r="C60" s="30" t="s">
        <v>144</v>
      </c>
      <c r="D60" s="29"/>
      <c r="E60" s="31" t="n">
        <v>129.215436</v>
      </c>
      <c r="F60" s="7"/>
      <c r="G60" s="32" t="n">
        <f aca="false">E60*$F$50</f>
        <v>61193070.888264</v>
      </c>
      <c r="H60" s="7"/>
    </row>
    <row r="61" customFormat="false" ht="15" hidden="false" customHeight="false" outlineLevel="1" collapsed="false">
      <c r="A61" s="7"/>
      <c r="B61" s="29" t="s">
        <v>145</v>
      </c>
      <c r="C61" s="30" t="s">
        <v>146</v>
      </c>
      <c r="D61" s="29"/>
      <c r="E61" s="31" t="n">
        <v>24.933084</v>
      </c>
      <c r="F61" s="7"/>
      <c r="G61" s="32" t="n">
        <f aca="false">E61*$F$50</f>
        <v>11807660.322216</v>
      </c>
      <c r="H61" s="7"/>
    </row>
    <row r="62" customFormat="false" ht="15" hidden="false" customHeight="false" outlineLevel="1" collapsed="false">
      <c r="A62" s="7"/>
      <c r="B62" s="29" t="s">
        <v>152</v>
      </c>
      <c r="C62" s="30" t="s">
        <v>153</v>
      </c>
      <c r="D62" s="29"/>
      <c r="E62" s="31" t="n">
        <v>77.695205</v>
      </c>
      <c r="F62" s="7"/>
      <c r="G62" s="32" t="n">
        <f aca="false">E62*$F$50</f>
        <v>36794429.01267</v>
      </c>
      <c r="H62" s="7"/>
    </row>
    <row r="63" customFormat="false" ht="23.85" hidden="false" customHeight="false" outlineLevel="1" collapsed="false">
      <c r="A63" s="7"/>
      <c r="B63" s="29" t="s">
        <v>147</v>
      </c>
      <c r="C63" s="30" t="s">
        <v>148</v>
      </c>
      <c r="D63" s="29"/>
      <c r="E63" s="31" t="n">
        <v>9.0165292</v>
      </c>
      <c r="F63" s="7"/>
      <c r="G63" s="32" t="n">
        <f aca="false">E63*$F$50</f>
        <v>4269993.7993608</v>
      </c>
      <c r="H63" s="7"/>
    </row>
    <row r="64" customFormat="false" ht="15" hidden="false" customHeight="false" outlineLevel="0" collapsed="false">
      <c r="A64" s="23" t="n">
        <v>13</v>
      </c>
      <c r="B64" s="23" t="s">
        <v>174</v>
      </c>
      <c r="C64" s="24" t="s">
        <v>37</v>
      </c>
      <c r="D64" s="23" t="s">
        <v>24</v>
      </c>
      <c r="E64" s="25" t="n">
        <f aca="false">SUM(E65:E65)</f>
        <v>11.007024</v>
      </c>
      <c r="F64" s="26" t="n">
        <v>427665</v>
      </c>
      <c r="G64" s="27" t="n">
        <f aca="false">E64*F64</f>
        <v>4707318.91896</v>
      </c>
      <c r="H64" s="28" t="s">
        <v>175</v>
      </c>
    </row>
    <row r="65" customFormat="false" ht="23.85" hidden="false" customHeight="false" outlineLevel="1" collapsed="false">
      <c r="A65" s="7"/>
      <c r="B65" s="29" t="s">
        <v>139</v>
      </c>
      <c r="C65" s="30" t="s">
        <v>322</v>
      </c>
      <c r="D65" s="29"/>
      <c r="E65" s="31" t="n">
        <v>11.007024</v>
      </c>
      <c r="F65" s="7"/>
      <c r="G65" s="32" t="n">
        <f aca="false">E65*$F$64</f>
        <v>4707318.91896</v>
      </c>
      <c r="H65" s="7"/>
    </row>
    <row r="66" customFormat="false" ht="15" hidden="false" customHeight="false" outlineLevel="0" collapsed="false">
      <c r="A66" s="23" t="n">
        <v>14</v>
      </c>
      <c r="B66" s="23" t="s">
        <v>174</v>
      </c>
      <c r="C66" s="24" t="s">
        <v>37</v>
      </c>
      <c r="D66" s="23" t="s">
        <v>24</v>
      </c>
      <c r="E66" s="25" t="n">
        <f aca="false">SUM(E67:E67)</f>
        <v>127.96658625</v>
      </c>
      <c r="F66" s="26" t="n">
        <v>357665</v>
      </c>
      <c r="G66" s="27" t="n">
        <f aca="false">E66*F66</f>
        <v>45769169.0711063</v>
      </c>
      <c r="H66" s="28" t="s">
        <v>175</v>
      </c>
    </row>
    <row r="67" customFormat="false" ht="15" hidden="false" customHeight="false" outlineLevel="1" collapsed="false">
      <c r="A67" s="7"/>
      <c r="B67" s="29" t="s">
        <v>154</v>
      </c>
      <c r="C67" s="30" t="s">
        <v>155</v>
      </c>
      <c r="D67" s="29"/>
      <c r="E67" s="31" t="n">
        <v>127.96658625</v>
      </c>
      <c r="F67" s="7"/>
      <c r="G67" s="32" t="n">
        <f aca="false">E67*$F$66</f>
        <v>45769169.0711063</v>
      </c>
      <c r="H67" s="7"/>
    </row>
    <row r="68" customFormat="false" ht="15" hidden="false" customHeight="false" outlineLevel="0" collapsed="false">
      <c r="A68" s="23" t="n">
        <v>15</v>
      </c>
      <c r="B68" s="23" t="s">
        <v>176</v>
      </c>
      <c r="C68" s="24" t="s">
        <v>38</v>
      </c>
      <c r="D68" s="23" t="s">
        <v>24</v>
      </c>
      <c r="E68" s="25" t="n">
        <f aca="false">SUM(E69:E69)</f>
        <v>3478.728</v>
      </c>
      <c r="F68" s="26" t="n">
        <v>370419</v>
      </c>
      <c r="G68" s="27" t="n">
        <f aca="false">E68*F68</f>
        <v>1288586947.032</v>
      </c>
      <c r="H68" s="28" t="s">
        <v>177</v>
      </c>
    </row>
    <row r="69" customFormat="false" ht="15" hidden="false" customHeight="false" outlineLevel="1" collapsed="false">
      <c r="A69" s="7"/>
      <c r="B69" s="29" t="s">
        <v>178</v>
      </c>
      <c r="C69" s="30" t="s">
        <v>179</v>
      </c>
      <c r="D69" s="29"/>
      <c r="E69" s="31" t="n">
        <v>3478.728</v>
      </c>
      <c r="F69" s="7"/>
      <c r="G69" s="32" t="n">
        <f aca="false">E69*$F$68</f>
        <v>1288586947.032</v>
      </c>
      <c r="H69" s="7"/>
    </row>
    <row r="70" customFormat="false" ht="15" hidden="false" customHeight="false" outlineLevel="0" collapsed="false">
      <c r="A70" s="23" t="n">
        <v>16</v>
      </c>
      <c r="B70" s="23" t="s">
        <v>188</v>
      </c>
      <c r="C70" s="24" t="s">
        <v>41</v>
      </c>
      <c r="D70" s="23" t="s">
        <v>24</v>
      </c>
      <c r="E70" s="25" t="n">
        <f aca="false">SUM(E71:E71)</f>
        <v>743.8338</v>
      </c>
      <c r="F70" s="26" t="n">
        <v>379446</v>
      </c>
      <c r="G70" s="27" t="n">
        <f aca="false">E70*F70</f>
        <v>282244760.0748</v>
      </c>
      <c r="H70" s="28" t="s">
        <v>189</v>
      </c>
    </row>
    <row r="71" customFormat="false" ht="15" hidden="false" customHeight="false" outlineLevel="1" collapsed="false">
      <c r="A71" s="7"/>
      <c r="B71" s="29" t="s">
        <v>190</v>
      </c>
      <c r="C71" s="30" t="s">
        <v>191</v>
      </c>
      <c r="D71" s="29"/>
      <c r="E71" s="31" t="n">
        <v>743.8338</v>
      </c>
      <c r="F71" s="7"/>
      <c r="G71" s="32" t="n">
        <f aca="false">E71*$F$70</f>
        <v>282244760.0748</v>
      </c>
      <c r="H71" s="7"/>
    </row>
    <row r="72" customFormat="false" ht="15" hidden="false" customHeight="false" outlineLevel="0" collapsed="false">
      <c r="A72" s="23" t="n">
        <v>17</v>
      </c>
      <c r="B72" s="23" t="s">
        <v>188</v>
      </c>
      <c r="C72" s="24" t="s">
        <v>42</v>
      </c>
      <c r="D72" s="23" t="s">
        <v>24</v>
      </c>
      <c r="E72" s="25" t="n">
        <f aca="false">SUM(E73:E75)</f>
        <v>20228.0735</v>
      </c>
      <c r="F72" s="26" t="n">
        <v>379446</v>
      </c>
      <c r="G72" s="27" t="n">
        <f aca="false">E72*F72</f>
        <v>7675461577.281</v>
      </c>
      <c r="H72" s="28" t="s">
        <v>192</v>
      </c>
    </row>
    <row r="73" customFormat="false" ht="15" hidden="false" customHeight="false" outlineLevel="1" collapsed="false">
      <c r="A73" s="7"/>
      <c r="B73" s="29" t="s">
        <v>193</v>
      </c>
      <c r="C73" s="30" t="s">
        <v>194</v>
      </c>
      <c r="D73" s="29"/>
      <c r="E73" s="31" t="n">
        <v>4741.141</v>
      </c>
      <c r="F73" s="7"/>
      <c r="G73" s="32" t="n">
        <f aca="false">E73*$F$72</f>
        <v>1799006987.886</v>
      </c>
      <c r="H73" s="7"/>
    </row>
    <row r="74" customFormat="false" ht="15" hidden="false" customHeight="false" outlineLevel="1" collapsed="false">
      <c r="A74" s="7"/>
      <c r="B74" s="29" t="s">
        <v>195</v>
      </c>
      <c r="C74" s="30" t="s">
        <v>196</v>
      </c>
      <c r="D74" s="29"/>
      <c r="E74" s="31" t="n">
        <v>3917.4275</v>
      </c>
      <c r="F74" s="7"/>
      <c r="G74" s="32" t="n">
        <f aca="false">E74*$F$72</f>
        <v>1486452195.165</v>
      </c>
      <c r="H74" s="7"/>
    </row>
    <row r="75" customFormat="false" ht="15" hidden="false" customHeight="false" outlineLevel="1" collapsed="false">
      <c r="A75" s="7"/>
      <c r="B75" s="29" t="s">
        <v>195</v>
      </c>
      <c r="C75" s="30" t="s">
        <v>197</v>
      </c>
      <c r="D75" s="29"/>
      <c r="E75" s="31" t="n">
        <v>11569.505</v>
      </c>
      <c r="F75" s="7"/>
      <c r="G75" s="32" t="n">
        <f aca="false">E75*$F$72</f>
        <v>4390002394.23</v>
      </c>
      <c r="H75" s="7"/>
    </row>
    <row r="76" customFormat="false" ht="15" hidden="false" customHeight="false" outlineLevel="0" collapsed="false">
      <c r="A76" s="23" t="n">
        <v>18</v>
      </c>
      <c r="B76" s="23" t="s">
        <v>332</v>
      </c>
      <c r="C76" s="24" t="s">
        <v>44</v>
      </c>
      <c r="D76" s="23" t="s">
        <v>24</v>
      </c>
      <c r="E76" s="25" t="n">
        <f aca="false">SUM(E77:E77)</f>
        <v>1.1601936</v>
      </c>
      <c r="F76" s="26" t="n">
        <v>50000</v>
      </c>
      <c r="G76" s="27" t="n">
        <f aca="false">E76*F76</f>
        <v>58009.68</v>
      </c>
      <c r="H76" s="28" t="s">
        <v>333</v>
      </c>
    </row>
    <row r="77" customFormat="false" ht="23.85" hidden="false" customHeight="false" outlineLevel="1" collapsed="false">
      <c r="A77" s="7"/>
      <c r="B77" s="29" t="s">
        <v>334</v>
      </c>
      <c r="C77" s="30" t="s">
        <v>335</v>
      </c>
      <c r="D77" s="29"/>
      <c r="E77" s="31" t="n">
        <v>1.1601936</v>
      </c>
      <c r="F77" s="7"/>
      <c r="G77" s="32" t="n">
        <f aca="false">E77*$F$76</f>
        <v>58009.68</v>
      </c>
      <c r="H77" s="7"/>
    </row>
    <row r="78" customFormat="false" ht="15" hidden="false" customHeight="false" outlineLevel="0" collapsed="false">
      <c r="A78" s="23" t="n">
        <v>19</v>
      </c>
      <c r="B78" s="23" t="s">
        <v>208</v>
      </c>
      <c r="C78" s="24" t="s">
        <v>49</v>
      </c>
      <c r="D78" s="23" t="s">
        <v>20</v>
      </c>
      <c r="E78" s="25" t="n">
        <f aca="false">SUM(E79:E87)</f>
        <v>281.1147003</v>
      </c>
      <c r="F78" s="26" t="n">
        <v>21000</v>
      </c>
      <c r="G78" s="27" t="n">
        <f aca="false">E78*F78</f>
        <v>5903408.7063</v>
      </c>
      <c r="H78" s="28" t="s">
        <v>209</v>
      </c>
    </row>
    <row r="79" customFormat="false" ht="15" hidden="false" customHeight="false" outlineLevel="1" collapsed="false">
      <c r="A79" s="7"/>
      <c r="B79" s="29" t="s">
        <v>210</v>
      </c>
      <c r="C79" s="30" t="s">
        <v>211</v>
      </c>
      <c r="D79" s="29"/>
      <c r="E79" s="31" t="n">
        <v>130.520416</v>
      </c>
      <c r="F79" s="7"/>
      <c r="G79" s="32" t="n">
        <f aca="false">E79*$F$78</f>
        <v>2740928.736</v>
      </c>
      <c r="H79" s="7"/>
    </row>
    <row r="80" customFormat="false" ht="15" hidden="false" customHeight="false" outlineLevel="1" collapsed="false">
      <c r="A80" s="7"/>
      <c r="B80" s="29" t="s">
        <v>210</v>
      </c>
      <c r="C80" s="30" t="s">
        <v>212</v>
      </c>
      <c r="D80" s="29"/>
      <c r="E80" s="31" t="n">
        <v>26.1040832</v>
      </c>
      <c r="F80" s="7"/>
      <c r="G80" s="32" t="n">
        <f aca="false">E80*$F$78</f>
        <v>548185.7472</v>
      </c>
      <c r="H80" s="7"/>
    </row>
    <row r="81" customFormat="false" ht="15" hidden="false" customHeight="false" outlineLevel="1" collapsed="false">
      <c r="A81" s="7"/>
      <c r="B81" s="29" t="s">
        <v>210</v>
      </c>
      <c r="C81" s="30" t="s">
        <v>336</v>
      </c>
      <c r="D81" s="29"/>
      <c r="E81" s="31" t="n">
        <v>2.6960256</v>
      </c>
      <c r="F81" s="7"/>
      <c r="G81" s="32" t="n">
        <f aca="false">E81*$F$78</f>
        <v>56616.5376</v>
      </c>
      <c r="H81" s="7"/>
    </row>
    <row r="82" customFormat="false" ht="15" hidden="false" customHeight="false" outlineLevel="1" collapsed="false">
      <c r="A82" s="7"/>
      <c r="B82" s="29" t="s">
        <v>210</v>
      </c>
      <c r="C82" s="30" t="s">
        <v>212</v>
      </c>
      <c r="D82" s="29"/>
      <c r="E82" s="31" t="n">
        <v>0.53920512</v>
      </c>
      <c r="F82" s="7"/>
      <c r="G82" s="32" t="n">
        <f aca="false">E82*$F$78</f>
        <v>11323.30752</v>
      </c>
      <c r="H82" s="7"/>
    </row>
    <row r="83" customFormat="false" ht="15" hidden="false" customHeight="false" outlineLevel="1" collapsed="false">
      <c r="A83" s="7"/>
      <c r="B83" s="29" t="s">
        <v>210</v>
      </c>
      <c r="C83" s="30" t="s">
        <v>337</v>
      </c>
      <c r="D83" s="29"/>
      <c r="E83" s="31" t="n">
        <v>2.0469824</v>
      </c>
      <c r="F83" s="7"/>
      <c r="G83" s="32" t="n">
        <f aca="false">E83*$F$78</f>
        <v>42986.6304</v>
      </c>
      <c r="H83" s="7"/>
    </row>
    <row r="84" customFormat="false" ht="15" hidden="false" customHeight="false" outlineLevel="1" collapsed="false">
      <c r="A84" s="7"/>
      <c r="B84" s="29" t="s">
        <v>210</v>
      </c>
      <c r="C84" s="30" t="s">
        <v>212</v>
      </c>
      <c r="D84" s="29"/>
      <c r="E84" s="31" t="n">
        <v>0.40939648</v>
      </c>
      <c r="F84" s="7"/>
      <c r="G84" s="32" t="n">
        <f aca="false">E84*$F$78</f>
        <v>8597.32608</v>
      </c>
      <c r="H84" s="7"/>
    </row>
    <row r="85" customFormat="false" ht="15" hidden="false" customHeight="false" outlineLevel="1" collapsed="false">
      <c r="A85" s="7"/>
      <c r="B85" s="29" t="s">
        <v>215</v>
      </c>
      <c r="C85" s="30" t="s">
        <v>217</v>
      </c>
      <c r="D85" s="29"/>
      <c r="E85" s="31" t="n">
        <v>84.9407169</v>
      </c>
      <c r="F85" s="7"/>
      <c r="G85" s="32" t="n">
        <f aca="false">E85*$F$78</f>
        <v>1783755.0549</v>
      </c>
      <c r="H85" s="7"/>
    </row>
    <row r="86" customFormat="false" ht="15" hidden="false" customHeight="false" outlineLevel="1" collapsed="false">
      <c r="A86" s="7"/>
      <c r="B86" s="29" t="s">
        <v>215</v>
      </c>
      <c r="C86" s="30" t="s">
        <v>218</v>
      </c>
      <c r="D86" s="29"/>
      <c r="E86" s="31" t="n">
        <v>24.2139546</v>
      </c>
      <c r="F86" s="7"/>
      <c r="G86" s="32" t="n">
        <f aca="false">E86*$F$78</f>
        <v>508493.0466</v>
      </c>
      <c r="H86" s="7"/>
    </row>
    <row r="87" customFormat="false" ht="15" hidden="false" customHeight="false" outlineLevel="1" collapsed="false">
      <c r="A87" s="7"/>
      <c r="B87" s="29" t="s">
        <v>219</v>
      </c>
      <c r="C87" s="30" t="s">
        <v>220</v>
      </c>
      <c r="D87" s="29"/>
      <c r="E87" s="31" t="n">
        <v>9.64392</v>
      </c>
      <c r="F87" s="7"/>
      <c r="G87" s="32" t="n">
        <f aca="false">E87*$F$78</f>
        <v>202522.32</v>
      </c>
      <c r="H87" s="7"/>
    </row>
    <row r="88" customFormat="false" ht="15" hidden="false" customHeight="false" outlineLevel="0" collapsed="false">
      <c r="A88" s="23" t="n">
        <v>20</v>
      </c>
      <c r="B88" s="23" t="s">
        <v>208</v>
      </c>
      <c r="C88" s="24" t="s">
        <v>49</v>
      </c>
      <c r="D88" s="23" t="s">
        <v>20</v>
      </c>
      <c r="E88" s="25" t="n">
        <f aca="false">SUM(E89:E90)</f>
        <v>12.2599981</v>
      </c>
      <c r="F88" s="26" t="n">
        <v>12200</v>
      </c>
      <c r="G88" s="27" t="n">
        <f aca="false">E88*F88</f>
        <v>149571.97682</v>
      </c>
      <c r="H88" s="28" t="s">
        <v>209</v>
      </c>
    </row>
    <row r="89" customFormat="false" ht="15" hidden="false" customHeight="false" outlineLevel="1" collapsed="false">
      <c r="A89" s="7"/>
      <c r="B89" s="29" t="s">
        <v>215</v>
      </c>
      <c r="C89" s="30" t="s">
        <v>338</v>
      </c>
      <c r="D89" s="29"/>
      <c r="E89" s="31" t="n">
        <v>2.0895821</v>
      </c>
      <c r="F89" s="7"/>
      <c r="G89" s="32" t="n">
        <f aca="false">E89*$F$88</f>
        <v>25492.90162</v>
      </c>
      <c r="H89" s="7"/>
    </row>
    <row r="90" customFormat="false" ht="15" hidden="false" customHeight="false" outlineLevel="1" collapsed="false">
      <c r="A90" s="7"/>
      <c r="B90" s="29" t="s">
        <v>213</v>
      </c>
      <c r="C90" s="30" t="s">
        <v>339</v>
      </c>
      <c r="D90" s="29"/>
      <c r="E90" s="31" t="n">
        <v>10.170416</v>
      </c>
      <c r="F90" s="7"/>
      <c r="G90" s="32" t="n">
        <f aca="false">E90*$F$88</f>
        <v>124079.0752</v>
      </c>
      <c r="H90" s="7"/>
    </row>
    <row r="91" customFormat="false" ht="15" hidden="false" customHeight="false" outlineLevel="0" collapsed="false">
      <c r="A91" s="23" t="n">
        <v>21</v>
      </c>
      <c r="B91" s="23" t="s">
        <v>225</v>
      </c>
      <c r="C91" s="24" t="s">
        <v>51</v>
      </c>
      <c r="D91" s="23" t="s">
        <v>52</v>
      </c>
      <c r="E91" s="25" t="n">
        <f aca="false">SUM(E92:E92)</f>
        <v>1281.0032</v>
      </c>
      <c r="F91" s="26" t="n">
        <v>150000</v>
      </c>
      <c r="G91" s="27" t="n">
        <f aca="false">E91*F91</f>
        <v>192150480</v>
      </c>
      <c r="H91" s="28" t="s">
        <v>226</v>
      </c>
    </row>
    <row r="92" customFormat="false" ht="15" hidden="false" customHeight="false" outlineLevel="1" collapsed="false">
      <c r="A92" s="7"/>
      <c r="B92" s="29" t="s">
        <v>127</v>
      </c>
      <c r="C92" s="30" t="s">
        <v>128</v>
      </c>
      <c r="D92" s="29"/>
      <c r="E92" s="31" t="n">
        <v>1281.0032</v>
      </c>
      <c r="F92" s="7"/>
      <c r="G92" s="32" t="n">
        <f aca="false">E92*$F$91</f>
        <v>192150480</v>
      </c>
      <c r="H92" s="7"/>
    </row>
    <row r="93" customFormat="false" ht="15" hidden="false" customHeight="false" outlineLevel="0" collapsed="false">
      <c r="A93" s="23" t="n">
        <v>22</v>
      </c>
      <c r="B93" s="23" t="s">
        <v>231</v>
      </c>
      <c r="C93" s="24" t="s">
        <v>54</v>
      </c>
      <c r="D93" s="23" t="s">
        <v>20</v>
      </c>
      <c r="E93" s="25" t="n">
        <f aca="false">SUM(E94:E96)</f>
        <v>15.429168</v>
      </c>
      <c r="F93" s="26" t="n">
        <v>17000</v>
      </c>
      <c r="G93" s="27" t="n">
        <f aca="false">E93*F93</f>
        <v>262295.856</v>
      </c>
      <c r="H93" s="28" t="s">
        <v>232</v>
      </c>
    </row>
    <row r="94" customFormat="false" ht="23.85" hidden="false" customHeight="false" outlineLevel="1" collapsed="false">
      <c r="A94" s="7"/>
      <c r="B94" s="29" t="s">
        <v>340</v>
      </c>
      <c r="C94" s="30" t="s">
        <v>341</v>
      </c>
      <c r="D94" s="29"/>
      <c r="E94" s="31" t="n">
        <v>8.810424</v>
      </c>
      <c r="F94" s="7"/>
      <c r="G94" s="32" t="n">
        <f aca="false">E94*$F$93</f>
        <v>149777.208</v>
      </c>
      <c r="H94" s="7"/>
    </row>
    <row r="95" customFormat="false" ht="23.85" hidden="false" customHeight="false" outlineLevel="1" collapsed="false">
      <c r="A95" s="7"/>
      <c r="B95" s="29" t="s">
        <v>340</v>
      </c>
      <c r="C95" s="30" t="s">
        <v>342</v>
      </c>
      <c r="D95" s="29"/>
      <c r="E95" s="31" t="n">
        <v>0.189924</v>
      </c>
      <c r="F95" s="7"/>
      <c r="G95" s="32" t="n">
        <f aca="false">E95*$F$93</f>
        <v>3228.708</v>
      </c>
      <c r="H95" s="7"/>
    </row>
    <row r="96" customFormat="false" ht="15" hidden="false" customHeight="false" outlineLevel="1" collapsed="false">
      <c r="A96" s="7"/>
      <c r="B96" s="29" t="s">
        <v>343</v>
      </c>
      <c r="C96" s="30" t="s">
        <v>344</v>
      </c>
      <c r="D96" s="29"/>
      <c r="E96" s="31" t="n">
        <v>6.42882</v>
      </c>
      <c r="F96" s="7"/>
      <c r="G96" s="32" t="n">
        <f aca="false">E96*$F$93</f>
        <v>109289.94</v>
      </c>
      <c r="H96" s="7"/>
    </row>
    <row r="97" customFormat="false" ht="22.35" hidden="false" customHeight="false" outlineLevel="0" collapsed="false">
      <c r="A97" s="23" t="n">
        <v>23</v>
      </c>
      <c r="B97" s="23" t="s">
        <v>123</v>
      </c>
      <c r="C97" s="24" t="s">
        <v>56</v>
      </c>
      <c r="D97" s="23" t="s">
        <v>57</v>
      </c>
      <c r="E97" s="33" t="n">
        <v>36</v>
      </c>
      <c r="F97" s="26" t="n">
        <v>1265000</v>
      </c>
      <c r="G97" s="27" t="n">
        <f aca="false">E97*F97</f>
        <v>45540000</v>
      </c>
      <c r="H97" s="28" t="s">
        <v>238</v>
      </c>
    </row>
    <row r="98" customFormat="false" ht="15" hidden="false" customHeight="false" outlineLevel="0" collapsed="false">
      <c r="A98" s="23" t="n">
        <v>24</v>
      </c>
      <c r="B98" s="23" t="s">
        <v>239</v>
      </c>
      <c r="C98" s="24" t="s">
        <v>58</v>
      </c>
      <c r="D98" s="23" t="s">
        <v>20</v>
      </c>
      <c r="E98" s="25" t="n">
        <f aca="false">SUM(E99:E99)</f>
        <v>0.808786</v>
      </c>
      <c r="F98" s="26" t="n">
        <v>118000</v>
      </c>
      <c r="G98" s="27" t="n">
        <f aca="false">E98*F98</f>
        <v>95436.748</v>
      </c>
      <c r="H98" s="28" t="s">
        <v>240</v>
      </c>
    </row>
    <row r="99" customFormat="false" ht="23.85" hidden="false" customHeight="false" outlineLevel="1" collapsed="false">
      <c r="A99" s="7"/>
      <c r="B99" s="29" t="s">
        <v>168</v>
      </c>
      <c r="C99" s="30" t="s">
        <v>169</v>
      </c>
      <c r="D99" s="29"/>
      <c r="E99" s="31" t="n">
        <v>0.808786</v>
      </c>
      <c r="F99" s="7"/>
      <c r="G99" s="32" t="n">
        <f aca="false">E99*$F$98</f>
        <v>95436.748</v>
      </c>
      <c r="H99" s="7"/>
    </row>
    <row r="100" customFormat="false" ht="15" hidden="false" customHeight="false" outlineLevel="0" collapsed="false">
      <c r="A100" s="23" t="n">
        <v>25</v>
      </c>
      <c r="B100" s="23" t="s">
        <v>247</v>
      </c>
      <c r="C100" s="24" t="s">
        <v>61</v>
      </c>
      <c r="D100" s="23" t="s">
        <v>52</v>
      </c>
      <c r="E100" s="25" t="n">
        <f aca="false">SUM(E101:E102)</f>
        <v>1844.029</v>
      </c>
      <c r="F100" s="26" t="n">
        <v>14000</v>
      </c>
      <c r="G100" s="27" t="n">
        <f aca="false">E100*F100</f>
        <v>25816406</v>
      </c>
      <c r="H100" s="28" t="s">
        <v>248</v>
      </c>
    </row>
    <row r="101" customFormat="false" ht="15" hidden="false" customHeight="false" outlineLevel="1" collapsed="false">
      <c r="A101" s="7"/>
      <c r="B101" s="29" t="s">
        <v>249</v>
      </c>
      <c r="C101" s="30" t="s">
        <v>250</v>
      </c>
      <c r="D101" s="29"/>
      <c r="E101" s="31" t="n">
        <v>448.877</v>
      </c>
      <c r="F101" s="7"/>
      <c r="G101" s="32" t="n">
        <f aca="false">E101*$F$100</f>
        <v>6284278</v>
      </c>
      <c r="H101" s="7"/>
    </row>
    <row r="102" customFormat="false" ht="15" hidden="false" customHeight="false" outlineLevel="1" collapsed="false">
      <c r="A102" s="7"/>
      <c r="B102" s="29" t="s">
        <v>251</v>
      </c>
      <c r="C102" s="30" t="s">
        <v>250</v>
      </c>
      <c r="D102" s="29"/>
      <c r="E102" s="31" t="n">
        <v>1395.152</v>
      </c>
      <c r="F102" s="7"/>
      <c r="G102" s="32" t="n">
        <f aca="false">E102*$F$100</f>
        <v>19532128</v>
      </c>
      <c r="H102" s="7"/>
    </row>
    <row r="103" customFormat="false" ht="15" hidden="false" customHeight="false" outlineLevel="0" collapsed="false">
      <c r="A103" s="23" t="n">
        <v>26</v>
      </c>
      <c r="B103" s="23" t="s">
        <v>253</v>
      </c>
      <c r="C103" s="24" t="s">
        <v>62</v>
      </c>
      <c r="D103" s="23" t="s">
        <v>46</v>
      </c>
      <c r="E103" s="25" t="n">
        <f aca="false">SUM(E104:E117)</f>
        <v>882204.4406495</v>
      </c>
      <c r="F103" s="26" t="n">
        <v>10</v>
      </c>
      <c r="G103" s="27" t="n">
        <f aca="false">E103*F103</f>
        <v>8822044.406495</v>
      </c>
      <c r="H103" s="28" t="s">
        <v>254</v>
      </c>
    </row>
    <row r="104" customFormat="false" ht="23.85" hidden="false" customHeight="false" outlineLevel="1" collapsed="false">
      <c r="A104" s="7"/>
      <c r="B104" s="29" t="s">
        <v>133</v>
      </c>
      <c r="C104" s="30" t="s">
        <v>134</v>
      </c>
      <c r="D104" s="29"/>
      <c r="E104" s="31" t="n">
        <v>47005.434</v>
      </c>
      <c r="F104" s="7"/>
      <c r="G104" s="32" t="n">
        <f aca="false">E104*$F$103</f>
        <v>470054.34</v>
      </c>
      <c r="H104" s="7"/>
    </row>
    <row r="105" customFormat="false" ht="23.85" hidden="false" customHeight="false" outlineLevel="1" collapsed="false">
      <c r="A105" s="7"/>
      <c r="B105" s="29" t="s">
        <v>135</v>
      </c>
      <c r="C105" s="30" t="s">
        <v>136</v>
      </c>
      <c r="D105" s="29"/>
      <c r="E105" s="31" t="n">
        <v>528379.3702215</v>
      </c>
      <c r="F105" s="7"/>
      <c r="G105" s="32" t="n">
        <f aca="false">E105*$F$103</f>
        <v>5283793.702215</v>
      </c>
      <c r="H105" s="7"/>
    </row>
    <row r="106" customFormat="false" ht="23.85" hidden="false" customHeight="false" outlineLevel="1" collapsed="false">
      <c r="A106" s="7"/>
      <c r="B106" s="29" t="s">
        <v>135</v>
      </c>
      <c r="C106" s="30" t="s">
        <v>320</v>
      </c>
      <c r="D106" s="29"/>
      <c r="E106" s="31" t="n">
        <v>8135.185212</v>
      </c>
      <c r="F106" s="7"/>
      <c r="G106" s="32" t="n">
        <f aca="false">E106*$F$103</f>
        <v>81351.85212</v>
      </c>
      <c r="H106" s="7"/>
    </row>
    <row r="107" customFormat="false" ht="23.85" hidden="false" customHeight="false" outlineLevel="1" collapsed="false">
      <c r="A107" s="7"/>
      <c r="B107" s="29" t="s">
        <v>135</v>
      </c>
      <c r="C107" s="30" t="s">
        <v>321</v>
      </c>
      <c r="D107" s="29"/>
      <c r="E107" s="31" t="n">
        <v>6175.6482375</v>
      </c>
      <c r="F107" s="7"/>
      <c r="G107" s="32" t="n">
        <f aca="false">E107*$F$103</f>
        <v>61756.482375</v>
      </c>
      <c r="H107" s="7"/>
    </row>
    <row r="108" customFormat="false" ht="23.85" hidden="false" customHeight="false" outlineLevel="1" collapsed="false">
      <c r="A108" s="7"/>
      <c r="B108" s="29" t="s">
        <v>135</v>
      </c>
      <c r="C108" s="30" t="s">
        <v>137</v>
      </c>
      <c r="D108" s="29"/>
      <c r="E108" s="31" t="n">
        <v>115815.7580265</v>
      </c>
      <c r="F108" s="7"/>
      <c r="G108" s="32" t="n">
        <f aca="false">E108*$F$103</f>
        <v>1158157.580265</v>
      </c>
      <c r="H108" s="7"/>
    </row>
    <row r="109" customFormat="false" ht="23.85" hidden="false" customHeight="false" outlineLevel="1" collapsed="false">
      <c r="A109" s="7"/>
      <c r="B109" s="29" t="s">
        <v>135</v>
      </c>
      <c r="C109" s="30" t="s">
        <v>138</v>
      </c>
      <c r="D109" s="29"/>
      <c r="E109" s="31" t="n">
        <v>31960.3056885</v>
      </c>
      <c r="F109" s="7"/>
      <c r="G109" s="32" t="n">
        <f aca="false">E109*$F$103</f>
        <v>319603.056885</v>
      </c>
      <c r="H109" s="7"/>
    </row>
    <row r="110" customFormat="false" ht="23.85" hidden="false" customHeight="false" outlineLevel="1" collapsed="false">
      <c r="A110" s="7"/>
      <c r="B110" s="29" t="s">
        <v>135</v>
      </c>
      <c r="C110" s="30" t="s">
        <v>138</v>
      </c>
      <c r="D110" s="29"/>
      <c r="E110" s="31" t="n">
        <v>31278.3322635</v>
      </c>
      <c r="F110" s="7"/>
      <c r="G110" s="32" t="n">
        <f aca="false">E110*$F$103</f>
        <v>312783.322635</v>
      </c>
      <c r="H110" s="7"/>
    </row>
    <row r="111" customFormat="false" ht="15" hidden="false" customHeight="false" outlineLevel="1" collapsed="false">
      <c r="A111" s="7"/>
      <c r="B111" s="29" t="s">
        <v>141</v>
      </c>
      <c r="C111" s="30" t="s">
        <v>142</v>
      </c>
      <c r="D111" s="29"/>
      <c r="E111" s="31" t="n">
        <v>23954.09625</v>
      </c>
      <c r="F111" s="7"/>
      <c r="G111" s="32" t="n">
        <f aca="false">E111*$F$103</f>
        <v>239540.9625</v>
      </c>
      <c r="H111" s="7"/>
    </row>
    <row r="112" customFormat="false" ht="15" hidden="false" customHeight="false" outlineLevel="1" collapsed="false">
      <c r="A112" s="7"/>
      <c r="B112" s="29" t="s">
        <v>141</v>
      </c>
      <c r="C112" s="30" t="s">
        <v>142</v>
      </c>
      <c r="D112" s="29"/>
      <c r="E112" s="31" t="n">
        <v>26389.2195</v>
      </c>
      <c r="F112" s="7"/>
      <c r="G112" s="32" t="n">
        <f aca="false">E112*$F$103</f>
        <v>263892.195</v>
      </c>
      <c r="H112" s="7"/>
    </row>
    <row r="113" customFormat="false" ht="23.85" hidden="false" customHeight="false" outlineLevel="1" collapsed="false">
      <c r="A113" s="7"/>
      <c r="B113" s="29" t="s">
        <v>143</v>
      </c>
      <c r="C113" s="30" t="s">
        <v>144</v>
      </c>
      <c r="D113" s="29"/>
      <c r="E113" s="31" t="n">
        <v>29928.57525</v>
      </c>
      <c r="F113" s="7"/>
      <c r="G113" s="32" t="n">
        <f aca="false">E113*$F$103</f>
        <v>299285.7525</v>
      </c>
      <c r="H113" s="7"/>
    </row>
    <row r="114" customFormat="false" ht="15" hidden="false" customHeight="false" outlineLevel="1" collapsed="false">
      <c r="A114" s="7"/>
      <c r="B114" s="29" t="s">
        <v>145</v>
      </c>
      <c r="C114" s="30" t="s">
        <v>146</v>
      </c>
      <c r="D114" s="29"/>
      <c r="E114" s="31" t="n">
        <v>5774.94225</v>
      </c>
      <c r="F114" s="7"/>
      <c r="G114" s="32" t="n">
        <f aca="false">E114*$F$103</f>
        <v>57749.4225</v>
      </c>
      <c r="H114" s="7"/>
    </row>
    <row r="115" customFormat="false" ht="15" hidden="false" customHeight="false" outlineLevel="1" collapsed="false">
      <c r="A115" s="7"/>
      <c r="B115" s="29" t="s">
        <v>127</v>
      </c>
      <c r="C115" s="30" t="s">
        <v>128</v>
      </c>
      <c r="D115" s="29"/>
      <c r="E115" s="31" t="n">
        <v>8719.7</v>
      </c>
      <c r="F115" s="7"/>
      <c r="G115" s="32" t="n">
        <f aca="false">E115*$F$103</f>
        <v>87197</v>
      </c>
      <c r="H115" s="7"/>
    </row>
    <row r="116" customFormat="false" ht="15" hidden="false" customHeight="false" outlineLevel="1" collapsed="false">
      <c r="A116" s="7"/>
      <c r="B116" s="29" t="s">
        <v>152</v>
      </c>
      <c r="C116" s="30" t="s">
        <v>153</v>
      </c>
      <c r="D116" s="29"/>
      <c r="E116" s="31" t="n">
        <v>16744.65625</v>
      </c>
      <c r="F116" s="7"/>
      <c r="G116" s="32" t="n">
        <f aca="false">E116*$F$103</f>
        <v>167446.5625</v>
      </c>
      <c r="H116" s="7"/>
    </row>
    <row r="117" customFormat="false" ht="23.85" hidden="false" customHeight="false" outlineLevel="1" collapsed="false">
      <c r="A117" s="7"/>
      <c r="B117" s="29" t="s">
        <v>147</v>
      </c>
      <c r="C117" s="30" t="s">
        <v>148</v>
      </c>
      <c r="D117" s="29"/>
      <c r="E117" s="31" t="n">
        <v>1943.2175</v>
      </c>
      <c r="F117" s="7"/>
      <c r="G117" s="32" t="n">
        <f aca="false">E117*$F$103</f>
        <v>19432.175</v>
      </c>
      <c r="H117" s="7"/>
    </row>
    <row r="118" customFormat="false" ht="15" hidden="false" customHeight="false" outlineLevel="0" collapsed="false">
      <c r="A118" s="23" t="n">
        <v>27</v>
      </c>
      <c r="B118" s="23" t="s">
        <v>253</v>
      </c>
      <c r="C118" s="24" t="s">
        <v>62</v>
      </c>
      <c r="D118" s="23" t="s">
        <v>46</v>
      </c>
      <c r="E118" s="25" t="n">
        <f aca="false">SUM(E119:E121)</f>
        <v>31036.68225</v>
      </c>
      <c r="F118" s="26" t="n">
        <v>10</v>
      </c>
      <c r="G118" s="27" t="n">
        <f aca="false">E118*F118</f>
        <v>310366.8225</v>
      </c>
      <c r="H118" s="28" t="s">
        <v>254</v>
      </c>
    </row>
    <row r="119" customFormat="false" ht="15" hidden="false" customHeight="false" outlineLevel="1" collapsed="false">
      <c r="A119" s="7"/>
      <c r="B119" s="29" t="s">
        <v>154</v>
      </c>
      <c r="C119" s="30" t="s">
        <v>155</v>
      </c>
      <c r="D119" s="29"/>
      <c r="E119" s="31" t="n">
        <v>28487.26125</v>
      </c>
      <c r="F119" s="7"/>
      <c r="G119" s="32" t="n">
        <f aca="false">E119*$F$118</f>
        <v>284872.6125</v>
      </c>
      <c r="H119" s="7"/>
    </row>
    <row r="120" customFormat="false" ht="23.85" hidden="false" customHeight="false" outlineLevel="1" collapsed="false">
      <c r="A120" s="7"/>
      <c r="B120" s="29" t="s">
        <v>139</v>
      </c>
      <c r="C120" s="30" t="s">
        <v>322</v>
      </c>
      <c r="D120" s="29"/>
      <c r="E120" s="31" t="n">
        <v>2549.421</v>
      </c>
      <c r="F120" s="7"/>
      <c r="G120" s="32" t="n">
        <f aca="false">E120*$F$118</f>
        <v>25494.21</v>
      </c>
      <c r="H120" s="7"/>
    </row>
    <row r="121" customFormat="false" ht="15" hidden="false" customHeight="false" outlineLevel="1" collapsed="false">
      <c r="A121" s="7"/>
      <c r="B121" s="29" t="s">
        <v>361</v>
      </c>
      <c r="C121" s="30" t="s">
        <v>362</v>
      </c>
      <c r="D121" s="29"/>
      <c r="E121" s="31" t="n">
        <v>0</v>
      </c>
      <c r="F121" s="7"/>
      <c r="G121" s="32" t="n">
        <f aca="false">E121*$F$118</f>
        <v>0</v>
      </c>
      <c r="H121" s="7"/>
    </row>
    <row r="122" customFormat="false" ht="15" hidden="false" customHeight="false" outlineLevel="0" collapsed="false">
      <c r="A122" s="23" t="n">
        <v>28</v>
      </c>
      <c r="B122" s="23" t="s">
        <v>345</v>
      </c>
      <c r="C122" s="24" t="s">
        <v>63</v>
      </c>
      <c r="D122" s="23" t="s">
        <v>18</v>
      </c>
      <c r="E122" s="25" t="n">
        <f aca="false">SUM(E123:E126)</f>
        <v>25.9588</v>
      </c>
      <c r="F122" s="26" t="n">
        <v>12300</v>
      </c>
      <c r="G122" s="27" t="n">
        <f aca="false">E122*F122</f>
        <v>319293.24</v>
      </c>
      <c r="H122" s="28" t="s">
        <v>346</v>
      </c>
    </row>
    <row r="123" customFormat="false" ht="23.85" hidden="false" customHeight="false" outlineLevel="1" collapsed="false">
      <c r="A123" s="7"/>
      <c r="B123" s="29" t="s">
        <v>325</v>
      </c>
      <c r="C123" s="30" t="s">
        <v>326</v>
      </c>
      <c r="D123" s="29"/>
      <c r="E123" s="31" t="n">
        <v>11.695684</v>
      </c>
      <c r="F123" s="7"/>
      <c r="G123" s="32" t="n">
        <f aca="false">E123*$F$122</f>
        <v>143856.9132</v>
      </c>
      <c r="H123" s="7"/>
    </row>
    <row r="124" customFormat="false" ht="23.85" hidden="false" customHeight="false" outlineLevel="1" collapsed="false">
      <c r="A124" s="7"/>
      <c r="B124" s="29" t="s">
        <v>325</v>
      </c>
      <c r="C124" s="30" t="s">
        <v>327</v>
      </c>
      <c r="D124" s="29"/>
      <c r="E124" s="31" t="n">
        <v>4.661916</v>
      </c>
      <c r="F124" s="7"/>
      <c r="G124" s="32" t="n">
        <f aca="false">E124*$F$122</f>
        <v>57341.5668</v>
      </c>
      <c r="H124" s="7"/>
    </row>
    <row r="125" customFormat="false" ht="23.85" hidden="false" customHeight="false" outlineLevel="1" collapsed="false">
      <c r="A125" s="7"/>
      <c r="B125" s="29" t="s">
        <v>325</v>
      </c>
      <c r="C125" s="30" t="s">
        <v>326</v>
      </c>
      <c r="D125" s="29"/>
      <c r="E125" s="31" t="n">
        <v>6.003417</v>
      </c>
      <c r="F125" s="7"/>
      <c r="G125" s="32" t="n">
        <f aca="false">E125*$F$122</f>
        <v>73842.0291</v>
      </c>
      <c r="H125" s="7"/>
    </row>
    <row r="126" customFormat="false" ht="23.85" hidden="false" customHeight="false" outlineLevel="1" collapsed="false">
      <c r="A126" s="7"/>
      <c r="B126" s="29" t="s">
        <v>325</v>
      </c>
      <c r="C126" s="30" t="s">
        <v>327</v>
      </c>
      <c r="D126" s="29"/>
      <c r="E126" s="31" t="n">
        <v>3.597783</v>
      </c>
      <c r="F126" s="7"/>
      <c r="G126" s="32" t="n">
        <f aca="false">E126*$F$122</f>
        <v>44252.7309</v>
      </c>
      <c r="H126" s="7"/>
    </row>
    <row r="127" customFormat="false" ht="15" hidden="false" customHeight="false" outlineLevel="0" collapsed="false">
      <c r="A127" s="23" t="n">
        <v>29</v>
      </c>
      <c r="B127" s="23" t="s">
        <v>347</v>
      </c>
      <c r="C127" s="24" t="s">
        <v>64</v>
      </c>
      <c r="D127" s="23" t="s">
        <v>18</v>
      </c>
      <c r="E127" s="25" t="n">
        <f aca="false">SUM(E128:E131)</f>
        <v>3.2412</v>
      </c>
      <c r="F127" s="26" t="n">
        <v>26800</v>
      </c>
      <c r="G127" s="27" t="n">
        <f aca="false">E127*F127</f>
        <v>86864.16</v>
      </c>
      <c r="H127" s="28" t="s">
        <v>348</v>
      </c>
    </row>
    <row r="128" customFormat="false" ht="23.85" hidden="false" customHeight="false" outlineLevel="1" collapsed="false">
      <c r="A128" s="7"/>
      <c r="B128" s="29" t="s">
        <v>325</v>
      </c>
      <c r="C128" s="30" t="s">
        <v>326</v>
      </c>
      <c r="D128" s="29"/>
      <c r="E128" s="31" t="n">
        <v>1.460316</v>
      </c>
      <c r="F128" s="7"/>
      <c r="G128" s="32" t="n">
        <f aca="false">E128*$F$127</f>
        <v>39136.4688</v>
      </c>
      <c r="H128" s="7"/>
    </row>
    <row r="129" customFormat="false" ht="23.85" hidden="false" customHeight="false" outlineLevel="1" collapsed="false">
      <c r="A129" s="7"/>
      <c r="B129" s="29" t="s">
        <v>325</v>
      </c>
      <c r="C129" s="30" t="s">
        <v>327</v>
      </c>
      <c r="D129" s="29"/>
      <c r="E129" s="31" t="n">
        <v>0.582084</v>
      </c>
      <c r="F129" s="7"/>
      <c r="G129" s="32" t="n">
        <f aca="false">E129*$F$127</f>
        <v>15599.8512</v>
      </c>
      <c r="H129" s="7"/>
    </row>
    <row r="130" customFormat="false" ht="23.85" hidden="false" customHeight="false" outlineLevel="1" collapsed="false">
      <c r="A130" s="7"/>
      <c r="B130" s="29" t="s">
        <v>325</v>
      </c>
      <c r="C130" s="30" t="s">
        <v>326</v>
      </c>
      <c r="D130" s="29"/>
      <c r="E130" s="31" t="n">
        <v>0.749583</v>
      </c>
      <c r="F130" s="7"/>
      <c r="G130" s="32" t="n">
        <f aca="false">E130*$F$127</f>
        <v>20088.8244</v>
      </c>
      <c r="H130" s="7"/>
    </row>
    <row r="131" customFormat="false" ht="23.85" hidden="false" customHeight="false" outlineLevel="1" collapsed="false">
      <c r="A131" s="7"/>
      <c r="B131" s="29" t="s">
        <v>325</v>
      </c>
      <c r="C131" s="30" t="s">
        <v>327</v>
      </c>
      <c r="D131" s="29"/>
      <c r="E131" s="31" t="n">
        <v>0.449217</v>
      </c>
      <c r="F131" s="7"/>
      <c r="G131" s="32" t="n">
        <f aca="false">E131*$F$127</f>
        <v>12039.0156</v>
      </c>
      <c r="H131" s="7"/>
    </row>
    <row r="132" customFormat="false" ht="15" hidden="false" customHeight="false" outlineLevel="0" collapsed="false">
      <c r="A132" s="23" t="n">
        <v>30</v>
      </c>
      <c r="B132" s="23" t="s">
        <v>255</v>
      </c>
      <c r="C132" s="24" t="s">
        <v>65</v>
      </c>
      <c r="D132" s="23" t="s">
        <v>18</v>
      </c>
      <c r="E132" s="25" t="n">
        <f aca="false">SUM(E133:E133)</f>
        <v>450.13</v>
      </c>
      <c r="F132" s="26" t="n">
        <v>3670000</v>
      </c>
      <c r="G132" s="27" t="n">
        <f aca="false">E132*F132</f>
        <v>1651977100</v>
      </c>
      <c r="H132" s="28" t="s">
        <v>256</v>
      </c>
    </row>
    <row r="133" customFormat="false" ht="15" hidden="false" customHeight="false" outlineLevel="1" collapsed="false">
      <c r="A133" s="7"/>
      <c r="B133" s="29" t="s">
        <v>123</v>
      </c>
      <c r="C133" s="30" t="s">
        <v>257</v>
      </c>
      <c r="D133" s="29"/>
      <c r="E133" s="31" t="n">
        <v>450.13</v>
      </c>
      <c r="F133" s="7"/>
      <c r="G133" s="32" t="n">
        <f aca="false">E133*$F$132</f>
        <v>1651977100</v>
      </c>
      <c r="H133" s="7"/>
    </row>
    <row r="134" customFormat="false" ht="15" hidden="false" customHeight="false" outlineLevel="0" collapsed="false">
      <c r="A134" s="23" t="n">
        <v>31</v>
      </c>
      <c r="B134" s="23" t="s">
        <v>260</v>
      </c>
      <c r="C134" s="24" t="s">
        <v>67</v>
      </c>
      <c r="D134" s="23" t="s">
        <v>18</v>
      </c>
      <c r="E134" s="25" t="n">
        <f aca="false">SUM(E135:E135)</f>
        <v>371.3063</v>
      </c>
      <c r="F134" s="26" t="n">
        <v>592400</v>
      </c>
      <c r="G134" s="27" t="n">
        <f aca="false">E134*F134</f>
        <v>219961852.12</v>
      </c>
      <c r="H134" s="28" t="s">
        <v>261</v>
      </c>
    </row>
    <row r="135" customFormat="false" ht="23.85" hidden="false" customHeight="false" outlineLevel="1" collapsed="false">
      <c r="A135" s="7"/>
      <c r="B135" s="29" t="s">
        <v>168</v>
      </c>
      <c r="C135" s="30" t="s">
        <v>169</v>
      </c>
      <c r="D135" s="29"/>
      <c r="E135" s="31" t="n">
        <v>371.3063</v>
      </c>
      <c r="F135" s="7"/>
      <c r="G135" s="32" t="n">
        <f aca="false">E135*$F$134</f>
        <v>219961852.12</v>
      </c>
      <c r="H135" s="7"/>
    </row>
    <row r="136" customFormat="false" ht="15" hidden="false" customHeight="false" outlineLevel="0" collapsed="false">
      <c r="A136" s="23" t="n">
        <v>32</v>
      </c>
      <c r="B136" s="23" t="s">
        <v>349</v>
      </c>
      <c r="C136" s="24" t="s">
        <v>68</v>
      </c>
      <c r="D136" s="23" t="s">
        <v>69</v>
      </c>
      <c r="E136" s="25" t="n">
        <f aca="false">SUM(E137:E139)</f>
        <v>7.714584</v>
      </c>
      <c r="F136" s="26" t="n">
        <v>70000</v>
      </c>
      <c r="G136" s="27" t="n">
        <f aca="false">E136*F136</f>
        <v>540020.88</v>
      </c>
      <c r="H136" s="28" t="s">
        <v>350</v>
      </c>
    </row>
    <row r="137" customFormat="false" ht="23.85" hidden="false" customHeight="false" outlineLevel="1" collapsed="false">
      <c r="A137" s="7"/>
      <c r="B137" s="29" t="s">
        <v>340</v>
      </c>
      <c r="C137" s="30" t="s">
        <v>341</v>
      </c>
      <c r="D137" s="29"/>
      <c r="E137" s="31" t="n">
        <v>4.405212</v>
      </c>
      <c r="F137" s="7"/>
      <c r="G137" s="32" t="n">
        <f aca="false">E137*$F$136</f>
        <v>308364.84</v>
      </c>
      <c r="H137" s="7"/>
    </row>
    <row r="138" customFormat="false" ht="23.85" hidden="false" customHeight="false" outlineLevel="1" collapsed="false">
      <c r="A138" s="7"/>
      <c r="B138" s="29" t="s">
        <v>340</v>
      </c>
      <c r="C138" s="30" t="s">
        <v>342</v>
      </c>
      <c r="D138" s="29"/>
      <c r="E138" s="31" t="n">
        <v>0.094962</v>
      </c>
      <c r="F138" s="7"/>
      <c r="G138" s="32" t="n">
        <f aca="false">E138*$F$136</f>
        <v>6647.34</v>
      </c>
      <c r="H138" s="7"/>
    </row>
    <row r="139" customFormat="false" ht="15" hidden="false" customHeight="false" outlineLevel="1" collapsed="false">
      <c r="A139" s="7"/>
      <c r="B139" s="29" t="s">
        <v>343</v>
      </c>
      <c r="C139" s="30" t="s">
        <v>344</v>
      </c>
      <c r="D139" s="29"/>
      <c r="E139" s="31" t="n">
        <v>3.21441</v>
      </c>
      <c r="F139" s="7"/>
      <c r="G139" s="32" t="n">
        <f aca="false">E139*$F$136</f>
        <v>225008.7</v>
      </c>
      <c r="H139" s="7"/>
    </row>
    <row r="140" customFormat="false" ht="15" hidden="false" customHeight="false" outlineLevel="0" collapsed="false">
      <c r="A140" s="23" t="n">
        <v>33</v>
      </c>
      <c r="B140" s="23" t="s">
        <v>365</v>
      </c>
      <c r="C140" s="24" t="s">
        <v>70</v>
      </c>
      <c r="D140" s="23" t="s">
        <v>20</v>
      </c>
      <c r="E140" s="25" t="n">
        <f aca="false">SUM(E141:E141)</f>
        <v>0</v>
      </c>
      <c r="F140" s="26" t="n">
        <v>22000</v>
      </c>
      <c r="G140" s="27" t="n">
        <f aca="false">E140*F140</f>
        <v>0</v>
      </c>
      <c r="H140" s="28" t="s">
        <v>366</v>
      </c>
    </row>
    <row r="141" customFormat="false" ht="15" hidden="false" customHeight="false" outlineLevel="1" collapsed="false">
      <c r="A141" s="7"/>
      <c r="B141" s="29" t="s">
        <v>361</v>
      </c>
      <c r="C141" s="30" t="s">
        <v>362</v>
      </c>
      <c r="D141" s="29"/>
      <c r="E141" s="31" t="n">
        <v>0</v>
      </c>
      <c r="F141" s="7"/>
      <c r="G141" s="32" t="n">
        <f aca="false">E141*$F$140</f>
        <v>0</v>
      </c>
      <c r="H141" s="7"/>
    </row>
    <row r="142" customFormat="false" ht="15" hidden="false" customHeight="false" outlineLevel="0" collapsed="false">
      <c r="A142" s="23" t="n">
        <v>34</v>
      </c>
      <c r="B142" s="23" t="s">
        <v>235</v>
      </c>
      <c r="C142" s="24" t="s">
        <v>71</v>
      </c>
      <c r="D142" s="23" t="s">
        <v>20</v>
      </c>
      <c r="E142" s="25" t="n">
        <f aca="false">SUM(E143:E148)</f>
        <v>8507.604952</v>
      </c>
      <c r="F142" s="26" t="n">
        <v>60000</v>
      </c>
      <c r="G142" s="27" t="n">
        <f aca="false">E142*F142</f>
        <v>510456297.12</v>
      </c>
      <c r="H142" s="28" t="s">
        <v>262</v>
      </c>
    </row>
    <row r="143" customFormat="false" ht="23.85" hidden="false" customHeight="false" outlineLevel="1" collapsed="false">
      <c r="A143" s="7"/>
      <c r="B143" s="29" t="s">
        <v>135</v>
      </c>
      <c r="C143" s="30" t="s">
        <v>136</v>
      </c>
      <c r="D143" s="29"/>
      <c r="E143" s="31" t="n">
        <v>6228.301464</v>
      </c>
      <c r="F143" s="7"/>
      <c r="G143" s="32" t="n">
        <f aca="false">E143*$F$142</f>
        <v>373698087.84</v>
      </c>
      <c r="H143" s="7"/>
    </row>
    <row r="144" customFormat="false" ht="23.85" hidden="false" customHeight="false" outlineLevel="1" collapsed="false">
      <c r="A144" s="7"/>
      <c r="B144" s="29" t="s">
        <v>135</v>
      </c>
      <c r="C144" s="30" t="s">
        <v>320</v>
      </c>
      <c r="D144" s="29"/>
      <c r="E144" s="31" t="n">
        <v>95.893952</v>
      </c>
      <c r="F144" s="7"/>
      <c r="G144" s="32" t="n">
        <f aca="false">E144*$F$142</f>
        <v>5753637.12</v>
      </c>
      <c r="H144" s="7"/>
    </row>
    <row r="145" customFormat="false" ht="23.85" hidden="false" customHeight="false" outlineLevel="1" collapsed="false">
      <c r="A145" s="7"/>
      <c r="B145" s="29" t="s">
        <v>135</v>
      </c>
      <c r="C145" s="30" t="s">
        <v>321</v>
      </c>
      <c r="D145" s="29"/>
      <c r="E145" s="31" t="n">
        <v>72.7958</v>
      </c>
      <c r="F145" s="7"/>
      <c r="G145" s="32" t="n">
        <f aca="false">E145*$F$142</f>
        <v>4367748</v>
      </c>
      <c r="H145" s="7"/>
    </row>
    <row r="146" customFormat="false" ht="23.85" hidden="false" customHeight="false" outlineLevel="1" collapsed="false">
      <c r="A146" s="7"/>
      <c r="B146" s="29" t="s">
        <v>135</v>
      </c>
      <c r="C146" s="30" t="s">
        <v>137</v>
      </c>
      <c r="D146" s="29"/>
      <c r="E146" s="31" t="n">
        <v>1365.184744</v>
      </c>
      <c r="F146" s="7"/>
      <c r="G146" s="32" t="n">
        <f aca="false">E146*$F$142</f>
        <v>81911084.64</v>
      </c>
      <c r="H146" s="7"/>
    </row>
    <row r="147" customFormat="false" ht="23.85" hidden="false" customHeight="false" outlineLevel="1" collapsed="false">
      <c r="A147" s="7"/>
      <c r="B147" s="29" t="s">
        <v>135</v>
      </c>
      <c r="C147" s="30" t="s">
        <v>138</v>
      </c>
      <c r="D147" s="29"/>
      <c r="E147" s="31" t="n">
        <v>376.733896</v>
      </c>
      <c r="F147" s="7"/>
      <c r="G147" s="32" t="n">
        <f aca="false">E147*$F$142</f>
        <v>22604033.76</v>
      </c>
      <c r="H147" s="7"/>
    </row>
    <row r="148" customFormat="false" ht="23.85" hidden="false" customHeight="false" outlineLevel="1" collapsed="false">
      <c r="A148" s="7"/>
      <c r="B148" s="29" t="s">
        <v>135</v>
      </c>
      <c r="C148" s="30" t="s">
        <v>138</v>
      </c>
      <c r="D148" s="29"/>
      <c r="E148" s="31" t="n">
        <v>368.695096</v>
      </c>
      <c r="F148" s="7"/>
      <c r="G148" s="32" t="n">
        <f aca="false">E148*$F$142</f>
        <v>22121705.76</v>
      </c>
      <c r="H148" s="7"/>
    </row>
    <row r="149" customFormat="false" ht="15" hidden="false" customHeight="false" outlineLevel="0" collapsed="false">
      <c r="A149" s="23" t="n">
        <v>35</v>
      </c>
      <c r="B149" s="23" t="s">
        <v>263</v>
      </c>
      <c r="C149" s="24" t="s">
        <v>72</v>
      </c>
      <c r="D149" s="23" t="s">
        <v>20</v>
      </c>
      <c r="E149" s="25" t="n">
        <f aca="false">SUM(E150:E151)</f>
        <v>217.31327475</v>
      </c>
      <c r="F149" s="26" t="n">
        <v>23000</v>
      </c>
      <c r="G149" s="27" t="n">
        <f aca="false">E149*F149</f>
        <v>4998205.31925</v>
      </c>
      <c r="H149" s="28" t="s">
        <v>264</v>
      </c>
    </row>
    <row r="150" customFormat="false" ht="15" hidden="false" customHeight="false" outlineLevel="1" collapsed="false">
      <c r="A150" s="7"/>
      <c r="B150" s="29" t="s">
        <v>152</v>
      </c>
      <c r="C150" s="30" t="s">
        <v>153</v>
      </c>
      <c r="D150" s="29"/>
      <c r="E150" s="31" t="n">
        <v>194.71643125</v>
      </c>
      <c r="F150" s="7"/>
      <c r="G150" s="32" t="n">
        <f aca="false">E150*$F$149</f>
        <v>4478477.91875</v>
      </c>
      <c r="H150" s="7"/>
    </row>
    <row r="151" customFormat="false" ht="23.85" hidden="false" customHeight="false" outlineLevel="1" collapsed="false">
      <c r="A151" s="7"/>
      <c r="B151" s="29" t="s">
        <v>147</v>
      </c>
      <c r="C151" s="30" t="s">
        <v>148</v>
      </c>
      <c r="D151" s="29"/>
      <c r="E151" s="31" t="n">
        <v>22.5968435</v>
      </c>
      <c r="F151" s="7"/>
      <c r="G151" s="32" t="n">
        <f aca="false">E151*$F$149</f>
        <v>519727.4005</v>
      </c>
      <c r="H151" s="7"/>
    </row>
    <row r="152" customFormat="false" ht="15" hidden="false" customHeight="false" outlineLevel="0" collapsed="false">
      <c r="A152" s="23" t="n">
        <v>36</v>
      </c>
      <c r="B152" s="23" t="s">
        <v>107</v>
      </c>
      <c r="C152" s="24" t="s">
        <v>73</v>
      </c>
      <c r="D152" s="23" t="s">
        <v>20</v>
      </c>
      <c r="E152" s="25" t="n">
        <f aca="false">SUM(E153:E157)</f>
        <v>74.7665658</v>
      </c>
      <c r="F152" s="26" t="n">
        <v>20220</v>
      </c>
      <c r="G152" s="27" t="n">
        <f aca="false">E152*F152</f>
        <v>1511779.960476</v>
      </c>
      <c r="H152" s="28" t="s">
        <v>108</v>
      </c>
    </row>
    <row r="153" customFormat="false" ht="15" hidden="false" customHeight="false" outlineLevel="1" collapsed="false">
      <c r="A153" s="7"/>
      <c r="B153" s="29" t="s">
        <v>213</v>
      </c>
      <c r="C153" s="30" t="s">
        <v>339</v>
      </c>
      <c r="D153" s="29"/>
      <c r="E153" s="31" t="n">
        <v>5.150965</v>
      </c>
      <c r="F153" s="7"/>
      <c r="G153" s="32" t="n">
        <f aca="false">E153*$F$152</f>
        <v>104152.5123</v>
      </c>
      <c r="H153" s="7"/>
    </row>
    <row r="154" customFormat="false" ht="23.85" hidden="false" customHeight="false" outlineLevel="1" collapsed="false">
      <c r="A154" s="7"/>
      <c r="B154" s="29" t="s">
        <v>328</v>
      </c>
      <c r="C154" s="30" t="s">
        <v>329</v>
      </c>
      <c r="D154" s="29"/>
      <c r="E154" s="31" t="n">
        <v>2.49872</v>
      </c>
      <c r="F154" s="7"/>
      <c r="G154" s="32" t="n">
        <f aca="false">E154*$F$152</f>
        <v>50524.1184</v>
      </c>
      <c r="H154" s="7"/>
    </row>
    <row r="155" customFormat="false" ht="23.85" hidden="false" customHeight="false" outlineLevel="1" collapsed="false">
      <c r="A155" s="7"/>
      <c r="B155" s="29" t="s">
        <v>340</v>
      </c>
      <c r="C155" s="30" t="s">
        <v>341</v>
      </c>
      <c r="D155" s="29"/>
      <c r="E155" s="31" t="n">
        <v>40.5279504</v>
      </c>
      <c r="F155" s="7"/>
      <c r="G155" s="32" t="n">
        <f aca="false">E155*$F$152</f>
        <v>819475.157088</v>
      </c>
      <c r="H155" s="7"/>
    </row>
    <row r="156" customFormat="false" ht="23.85" hidden="false" customHeight="false" outlineLevel="1" collapsed="false">
      <c r="A156" s="7"/>
      <c r="B156" s="29" t="s">
        <v>340</v>
      </c>
      <c r="C156" s="30" t="s">
        <v>342</v>
      </c>
      <c r="D156" s="29"/>
      <c r="E156" s="31" t="n">
        <v>0.8736504</v>
      </c>
      <c r="F156" s="7"/>
      <c r="G156" s="32" t="n">
        <f aca="false">E156*$F$152</f>
        <v>17665.211088</v>
      </c>
      <c r="H156" s="7"/>
    </row>
    <row r="157" customFormat="false" ht="15" hidden="false" customHeight="false" outlineLevel="1" collapsed="false">
      <c r="A157" s="7"/>
      <c r="B157" s="29" t="s">
        <v>311</v>
      </c>
      <c r="C157" s="30" t="s">
        <v>312</v>
      </c>
      <c r="D157" s="29"/>
      <c r="E157" s="31" t="n">
        <v>25.71528</v>
      </c>
      <c r="F157" s="7"/>
      <c r="G157" s="32" t="n">
        <f aca="false">E157*$F$152</f>
        <v>519962.9616</v>
      </c>
      <c r="H157" s="7"/>
    </row>
    <row r="158" customFormat="false" ht="15" hidden="false" customHeight="false" outlineLevel="0" collapsed="false">
      <c r="A158" s="23" t="n">
        <v>37</v>
      </c>
      <c r="B158" s="23" t="s">
        <v>107</v>
      </c>
      <c r="C158" s="24" t="s">
        <v>73</v>
      </c>
      <c r="D158" s="23" t="s">
        <v>20</v>
      </c>
      <c r="E158" s="25" t="n">
        <f aca="false">SUM(E159:E179)</f>
        <v>2921.4829352</v>
      </c>
      <c r="F158" s="26" t="n">
        <v>25000</v>
      </c>
      <c r="G158" s="27" t="n">
        <f aca="false">E158*F158</f>
        <v>73037073.38</v>
      </c>
      <c r="H158" s="28" t="s">
        <v>108</v>
      </c>
    </row>
    <row r="159" customFormat="false" ht="15" hidden="false" customHeight="false" outlineLevel="1" collapsed="false">
      <c r="A159" s="7"/>
      <c r="B159" s="29" t="s">
        <v>265</v>
      </c>
      <c r="C159" s="30" t="s">
        <v>266</v>
      </c>
      <c r="D159" s="29"/>
      <c r="E159" s="31" t="n">
        <v>10.940234</v>
      </c>
      <c r="F159" s="7"/>
      <c r="G159" s="32" t="n">
        <f aca="false">E159*$F$158</f>
        <v>273505.85</v>
      </c>
      <c r="H159" s="7"/>
    </row>
    <row r="160" customFormat="false" ht="15" hidden="false" customHeight="false" outlineLevel="1" collapsed="false">
      <c r="A160" s="7"/>
      <c r="B160" s="29" t="s">
        <v>267</v>
      </c>
      <c r="C160" s="30" t="s">
        <v>355</v>
      </c>
      <c r="D160" s="29"/>
      <c r="E160" s="31" t="n">
        <v>365.69965</v>
      </c>
      <c r="F160" s="7"/>
      <c r="G160" s="32" t="n">
        <f aca="false">E160*$F$158</f>
        <v>9142491.25</v>
      </c>
      <c r="H160" s="7"/>
    </row>
    <row r="161" customFormat="false" ht="15" hidden="false" customHeight="false" outlineLevel="1" collapsed="false">
      <c r="A161" s="7"/>
      <c r="B161" s="29" t="s">
        <v>210</v>
      </c>
      <c r="C161" s="30" t="s">
        <v>211</v>
      </c>
      <c r="D161" s="29"/>
      <c r="E161" s="31" t="n">
        <v>67.791854</v>
      </c>
      <c r="F161" s="7"/>
      <c r="G161" s="32" t="n">
        <f aca="false">E161*$F$158</f>
        <v>1694796.35</v>
      </c>
      <c r="H161" s="7"/>
    </row>
    <row r="162" customFormat="false" ht="15" hidden="false" customHeight="false" outlineLevel="1" collapsed="false">
      <c r="A162" s="7"/>
      <c r="B162" s="29" t="s">
        <v>210</v>
      </c>
      <c r="C162" s="30" t="s">
        <v>212</v>
      </c>
      <c r="D162" s="29"/>
      <c r="E162" s="31" t="n">
        <v>13.5583708</v>
      </c>
      <c r="F162" s="7"/>
      <c r="G162" s="32" t="n">
        <f aca="false">E162*$F$158</f>
        <v>338959.27</v>
      </c>
      <c r="H162" s="7"/>
    </row>
    <row r="163" customFormat="false" ht="15" hidden="false" customHeight="false" outlineLevel="1" collapsed="false">
      <c r="A163" s="7"/>
      <c r="B163" s="29" t="s">
        <v>267</v>
      </c>
      <c r="C163" s="30" t="s">
        <v>351</v>
      </c>
      <c r="D163" s="29"/>
      <c r="E163" s="31" t="n">
        <v>6.55196</v>
      </c>
      <c r="F163" s="7"/>
      <c r="G163" s="32" t="n">
        <f aca="false">E163*$F$158</f>
        <v>163799</v>
      </c>
      <c r="H163" s="7"/>
    </row>
    <row r="164" customFormat="false" ht="15" hidden="false" customHeight="false" outlineLevel="1" collapsed="false">
      <c r="A164" s="7"/>
      <c r="B164" s="29" t="s">
        <v>210</v>
      </c>
      <c r="C164" s="30" t="s">
        <v>336</v>
      </c>
      <c r="D164" s="29"/>
      <c r="E164" s="31" t="n">
        <v>1.4003064</v>
      </c>
      <c r="F164" s="7"/>
      <c r="G164" s="32" t="n">
        <f aca="false">E164*$F$158</f>
        <v>35007.66</v>
      </c>
      <c r="H164" s="7"/>
    </row>
    <row r="165" customFormat="false" ht="15" hidden="false" customHeight="false" outlineLevel="1" collapsed="false">
      <c r="A165" s="7"/>
      <c r="B165" s="29" t="s">
        <v>210</v>
      </c>
      <c r="C165" s="30" t="s">
        <v>212</v>
      </c>
      <c r="D165" s="29"/>
      <c r="E165" s="31" t="n">
        <v>0.28006128</v>
      </c>
      <c r="F165" s="7"/>
      <c r="G165" s="32" t="n">
        <f aca="false">E165*$F$158</f>
        <v>7001.532</v>
      </c>
      <c r="H165" s="7"/>
    </row>
    <row r="166" customFormat="false" ht="15" hidden="false" customHeight="false" outlineLevel="1" collapsed="false">
      <c r="A166" s="7"/>
      <c r="B166" s="29" t="s">
        <v>267</v>
      </c>
      <c r="C166" s="30" t="s">
        <v>352</v>
      </c>
      <c r="D166" s="29"/>
      <c r="E166" s="31" t="n">
        <v>4.97477</v>
      </c>
      <c r="F166" s="7"/>
      <c r="G166" s="32" t="n">
        <f aca="false">E166*$F$158</f>
        <v>124369.25</v>
      </c>
      <c r="H166" s="7"/>
    </row>
    <row r="167" customFormat="false" ht="15" hidden="false" customHeight="false" outlineLevel="1" collapsed="false">
      <c r="A167" s="7"/>
      <c r="B167" s="29" t="s">
        <v>210</v>
      </c>
      <c r="C167" s="30" t="s">
        <v>337</v>
      </c>
      <c r="D167" s="29"/>
      <c r="E167" s="31" t="n">
        <v>1.0631956</v>
      </c>
      <c r="F167" s="7"/>
      <c r="G167" s="32" t="n">
        <f aca="false">E167*$F$158</f>
        <v>26579.89</v>
      </c>
      <c r="H167" s="7"/>
    </row>
    <row r="168" customFormat="false" ht="15" hidden="false" customHeight="false" outlineLevel="1" collapsed="false">
      <c r="A168" s="7"/>
      <c r="B168" s="29" t="s">
        <v>210</v>
      </c>
      <c r="C168" s="30" t="s">
        <v>212</v>
      </c>
      <c r="D168" s="29"/>
      <c r="E168" s="31" t="n">
        <v>0.21263912</v>
      </c>
      <c r="F168" s="7"/>
      <c r="G168" s="32" t="n">
        <f aca="false">E168*$F$158</f>
        <v>5315.978</v>
      </c>
      <c r="H168" s="7"/>
    </row>
    <row r="169" customFormat="false" ht="15" hidden="false" customHeight="false" outlineLevel="1" collapsed="false">
      <c r="A169" s="7"/>
      <c r="B169" s="29" t="s">
        <v>267</v>
      </c>
      <c r="C169" s="30" t="s">
        <v>269</v>
      </c>
      <c r="D169" s="29"/>
      <c r="E169" s="31" t="n">
        <v>62.41918</v>
      </c>
      <c r="F169" s="7"/>
      <c r="G169" s="32" t="n">
        <f aca="false">E169*$F$158</f>
        <v>1560479.5</v>
      </c>
      <c r="H169" s="7"/>
    </row>
    <row r="170" customFormat="false" ht="15" hidden="false" customHeight="false" outlineLevel="1" collapsed="false">
      <c r="A170" s="7"/>
      <c r="B170" s="29" t="s">
        <v>267</v>
      </c>
      <c r="C170" s="30" t="s">
        <v>270</v>
      </c>
      <c r="D170" s="29"/>
      <c r="E170" s="31" t="n">
        <v>23.88699</v>
      </c>
      <c r="F170" s="7"/>
      <c r="G170" s="32" t="n">
        <f aca="false">E170*$F$158</f>
        <v>597174.75</v>
      </c>
      <c r="H170" s="7"/>
    </row>
    <row r="171" customFormat="false" ht="15" hidden="false" customHeight="false" outlineLevel="1" collapsed="false">
      <c r="A171" s="7"/>
      <c r="B171" s="29" t="s">
        <v>267</v>
      </c>
      <c r="C171" s="30" t="s">
        <v>270</v>
      </c>
      <c r="D171" s="29"/>
      <c r="E171" s="31" t="n">
        <v>23.45702</v>
      </c>
      <c r="F171" s="7"/>
      <c r="G171" s="32" t="n">
        <f aca="false">E171*$F$158</f>
        <v>586425.5</v>
      </c>
      <c r="H171" s="7"/>
    </row>
    <row r="172" customFormat="false" ht="15" hidden="false" customHeight="false" outlineLevel="1" collapsed="false">
      <c r="A172" s="7"/>
      <c r="B172" s="29" t="s">
        <v>272</v>
      </c>
      <c r="C172" s="30" t="s">
        <v>273</v>
      </c>
      <c r="D172" s="29"/>
      <c r="E172" s="31" t="n">
        <v>1.161774</v>
      </c>
      <c r="F172" s="7"/>
      <c r="G172" s="32" t="n">
        <f aca="false">E172*$F$158</f>
        <v>29044.35</v>
      </c>
      <c r="H172" s="7"/>
    </row>
    <row r="173" customFormat="false" ht="15" hidden="false" customHeight="false" outlineLevel="1" collapsed="false">
      <c r="A173" s="7"/>
      <c r="B173" s="29" t="s">
        <v>172</v>
      </c>
      <c r="C173" s="30" t="s">
        <v>173</v>
      </c>
      <c r="D173" s="29"/>
      <c r="E173" s="31" t="n">
        <v>2262.9096</v>
      </c>
      <c r="F173" s="7"/>
      <c r="G173" s="32" t="n">
        <f aca="false">E173*$F$158</f>
        <v>56572740</v>
      </c>
      <c r="H173" s="7"/>
    </row>
    <row r="174" customFormat="false" ht="15" hidden="false" customHeight="false" outlineLevel="1" collapsed="false">
      <c r="A174" s="7"/>
      <c r="B174" s="29" t="s">
        <v>172</v>
      </c>
      <c r="C174" s="30" t="s">
        <v>173</v>
      </c>
      <c r="D174" s="29"/>
      <c r="E174" s="31" t="n">
        <v>23.42312</v>
      </c>
      <c r="F174" s="7"/>
      <c r="G174" s="32" t="n">
        <f aca="false">E174*$F$158</f>
        <v>585578</v>
      </c>
      <c r="H174" s="7"/>
    </row>
    <row r="175" customFormat="false" ht="15" hidden="false" customHeight="false" outlineLevel="1" collapsed="false">
      <c r="A175" s="7"/>
      <c r="B175" s="29" t="s">
        <v>265</v>
      </c>
      <c r="C175" s="30" t="s">
        <v>274</v>
      </c>
      <c r="D175" s="29"/>
      <c r="E175" s="31" t="n">
        <v>23.33671</v>
      </c>
      <c r="F175" s="7"/>
      <c r="G175" s="32" t="n">
        <f aca="false">E175*$F$158</f>
        <v>583417.75</v>
      </c>
      <c r="H175" s="7"/>
    </row>
    <row r="176" customFormat="false" ht="15" hidden="false" customHeight="false" outlineLevel="1" collapsed="false">
      <c r="A176" s="7"/>
      <c r="B176" s="29" t="s">
        <v>265</v>
      </c>
      <c r="C176" s="30" t="s">
        <v>275</v>
      </c>
      <c r="D176" s="29"/>
      <c r="E176" s="31" t="n">
        <v>3.396268</v>
      </c>
      <c r="F176" s="7"/>
      <c r="G176" s="32" t="n">
        <f aca="false">E176*$F$158</f>
        <v>84906.7</v>
      </c>
      <c r="H176" s="7"/>
    </row>
    <row r="177" customFormat="false" ht="15" hidden="false" customHeight="false" outlineLevel="1" collapsed="false">
      <c r="A177" s="7"/>
      <c r="B177" s="29" t="s">
        <v>265</v>
      </c>
      <c r="C177" s="30" t="s">
        <v>276</v>
      </c>
      <c r="D177" s="29"/>
      <c r="E177" s="31" t="n">
        <v>20.559516</v>
      </c>
      <c r="F177" s="7"/>
      <c r="G177" s="32" t="n">
        <f aca="false">E177*$F$158</f>
        <v>513987.9</v>
      </c>
      <c r="H177" s="7"/>
    </row>
    <row r="178" customFormat="false" ht="15" hidden="false" customHeight="false" outlineLevel="1" collapsed="false">
      <c r="A178" s="7"/>
      <c r="B178" s="29" t="s">
        <v>267</v>
      </c>
      <c r="C178" s="30" t="s">
        <v>277</v>
      </c>
      <c r="D178" s="29"/>
      <c r="E178" s="31" t="n">
        <v>1.01859</v>
      </c>
      <c r="F178" s="7"/>
      <c r="G178" s="32" t="n">
        <f aca="false">E178*$F$158</f>
        <v>25464.75</v>
      </c>
      <c r="H178" s="7"/>
    </row>
    <row r="179" customFormat="false" ht="15" hidden="false" customHeight="false" outlineLevel="1" collapsed="false">
      <c r="A179" s="7"/>
      <c r="B179" s="29" t="s">
        <v>219</v>
      </c>
      <c r="C179" s="30" t="s">
        <v>220</v>
      </c>
      <c r="D179" s="29"/>
      <c r="E179" s="31" t="n">
        <v>3.441126</v>
      </c>
      <c r="F179" s="7"/>
      <c r="G179" s="32" t="n">
        <f aca="false">E179*$F$158</f>
        <v>86028.15</v>
      </c>
      <c r="H179" s="7"/>
    </row>
    <row r="180" customFormat="false" ht="15" hidden="false" customHeight="false" outlineLevel="0" collapsed="false">
      <c r="A180" s="23" t="n">
        <v>38</v>
      </c>
      <c r="B180" s="23" t="s">
        <v>287</v>
      </c>
      <c r="C180" s="24" t="s">
        <v>78</v>
      </c>
      <c r="D180" s="23" t="s">
        <v>20</v>
      </c>
      <c r="E180" s="25" t="n">
        <f aca="false">SUM(E181:E193)</f>
        <v>24693.513756</v>
      </c>
      <c r="F180" s="26" t="n">
        <v>14157</v>
      </c>
      <c r="G180" s="27" t="n">
        <f aca="false">E180*F180</f>
        <v>349586074.243692</v>
      </c>
      <c r="H180" s="28" t="s">
        <v>288</v>
      </c>
    </row>
    <row r="181" customFormat="false" ht="15" hidden="false" customHeight="false" outlineLevel="1" collapsed="false">
      <c r="A181" s="7"/>
      <c r="B181" s="29" t="s">
        <v>265</v>
      </c>
      <c r="C181" s="30" t="s">
        <v>266</v>
      </c>
      <c r="D181" s="29"/>
      <c r="E181" s="31" t="n">
        <v>107.455918</v>
      </c>
      <c r="F181" s="7"/>
      <c r="G181" s="32" t="n">
        <f aca="false">E181*$F$180</f>
        <v>1521253.431126</v>
      </c>
      <c r="H181" s="7"/>
    </row>
    <row r="182" customFormat="false" ht="15" hidden="false" customHeight="false" outlineLevel="1" collapsed="false">
      <c r="A182" s="7"/>
      <c r="B182" s="29" t="s">
        <v>267</v>
      </c>
      <c r="C182" s="30" t="s">
        <v>355</v>
      </c>
      <c r="D182" s="29"/>
      <c r="E182" s="31" t="n">
        <v>3133.46858</v>
      </c>
      <c r="F182" s="7"/>
      <c r="G182" s="32" t="n">
        <f aca="false">E182*$F$180</f>
        <v>44360514.68706</v>
      </c>
      <c r="H182" s="7"/>
    </row>
    <row r="183" customFormat="false" ht="15" hidden="false" customHeight="false" outlineLevel="1" collapsed="false">
      <c r="A183" s="7"/>
      <c r="B183" s="29" t="s">
        <v>267</v>
      </c>
      <c r="C183" s="30" t="s">
        <v>351</v>
      </c>
      <c r="D183" s="29"/>
      <c r="E183" s="31" t="n">
        <v>56.139952</v>
      </c>
      <c r="F183" s="7"/>
      <c r="G183" s="32" t="n">
        <f aca="false">E183*$F$180</f>
        <v>794773.300464</v>
      </c>
      <c r="H183" s="7"/>
    </row>
    <row r="184" customFormat="false" ht="15" hidden="false" customHeight="false" outlineLevel="1" collapsed="false">
      <c r="A184" s="7"/>
      <c r="B184" s="29" t="s">
        <v>267</v>
      </c>
      <c r="C184" s="30" t="s">
        <v>352</v>
      </c>
      <c r="D184" s="29"/>
      <c r="E184" s="31" t="n">
        <v>42.625924</v>
      </c>
      <c r="F184" s="7"/>
      <c r="G184" s="32" t="n">
        <f aca="false">E184*$F$180</f>
        <v>603455.206068</v>
      </c>
      <c r="H184" s="7"/>
    </row>
    <row r="185" customFormat="false" ht="15" hidden="false" customHeight="false" outlineLevel="1" collapsed="false">
      <c r="A185" s="7"/>
      <c r="B185" s="29" t="s">
        <v>267</v>
      </c>
      <c r="C185" s="30" t="s">
        <v>269</v>
      </c>
      <c r="D185" s="29"/>
      <c r="E185" s="31" t="n">
        <v>534.833816</v>
      </c>
      <c r="F185" s="7"/>
      <c r="G185" s="32" t="n">
        <f aca="false">E185*$F$180</f>
        <v>7571642.333112</v>
      </c>
      <c r="H185" s="7"/>
    </row>
    <row r="186" customFormat="false" ht="15" hidden="false" customHeight="false" outlineLevel="1" collapsed="false">
      <c r="A186" s="7"/>
      <c r="B186" s="29" t="s">
        <v>267</v>
      </c>
      <c r="C186" s="30" t="s">
        <v>270</v>
      </c>
      <c r="D186" s="29"/>
      <c r="E186" s="31" t="n">
        <v>204.673788</v>
      </c>
      <c r="F186" s="7"/>
      <c r="G186" s="32" t="n">
        <f aca="false">E186*$F$180</f>
        <v>2897566.816716</v>
      </c>
      <c r="H186" s="7"/>
    </row>
    <row r="187" customFormat="false" ht="15" hidden="false" customHeight="false" outlineLevel="1" collapsed="false">
      <c r="A187" s="7"/>
      <c r="B187" s="29" t="s">
        <v>267</v>
      </c>
      <c r="C187" s="30" t="s">
        <v>270</v>
      </c>
      <c r="D187" s="29"/>
      <c r="E187" s="31" t="n">
        <v>200.989624</v>
      </c>
      <c r="F187" s="7"/>
      <c r="G187" s="32" t="n">
        <f aca="false">E187*$F$180</f>
        <v>2845410.106968</v>
      </c>
      <c r="H187" s="7"/>
    </row>
    <row r="188" customFormat="false" ht="15" hidden="false" customHeight="false" outlineLevel="1" collapsed="false">
      <c r="A188" s="7"/>
      <c r="B188" s="29" t="s">
        <v>172</v>
      </c>
      <c r="C188" s="30" t="s">
        <v>173</v>
      </c>
      <c r="D188" s="29"/>
      <c r="E188" s="31" t="n">
        <v>19735.80444</v>
      </c>
      <c r="F188" s="7"/>
      <c r="G188" s="32" t="n">
        <f aca="false">E188*$F$180</f>
        <v>279399783.45708</v>
      </c>
      <c r="H188" s="7"/>
    </row>
    <row r="189" customFormat="false" ht="15" hidden="false" customHeight="false" outlineLevel="1" collapsed="false">
      <c r="A189" s="7"/>
      <c r="B189" s="29" t="s">
        <v>172</v>
      </c>
      <c r="C189" s="30" t="s">
        <v>173</v>
      </c>
      <c r="D189" s="29"/>
      <c r="E189" s="31" t="n">
        <v>204.283068</v>
      </c>
      <c r="F189" s="7"/>
      <c r="G189" s="32" t="n">
        <f aca="false">E189*$F$180</f>
        <v>2892035.393676</v>
      </c>
      <c r="H189" s="7"/>
    </row>
    <row r="190" customFormat="false" ht="15" hidden="false" customHeight="false" outlineLevel="1" collapsed="false">
      <c r="A190" s="7"/>
      <c r="B190" s="29" t="s">
        <v>265</v>
      </c>
      <c r="C190" s="30" t="s">
        <v>274</v>
      </c>
      <c r="D190" s="29"/>
      <c r="E190" s="31" t="n">
        <v>229.21517</v>
      </c>
      <c r="F190" s="7"/>
      <c r="G190" s="32" t="n">
        <f aca="false">E190*$F$180</f>
        <v>3244999.16169</v>
      </c>
      <c r="H190" s="7"/>
    </row>
    <row r="191" customFormat="false" ht="15" hidden="false" customHeight="false" outlineLevel="1" collapsed="false">
      <c r="A191" s="7"/>
      <c r="B191" s="29" t="s">
        <v>265</v>
      </c>
      <c r="C191" s="30" t="s">
        <v>275</v>
      </c>
      <c r="D191" s="29"/>
      <c r="E191" s="31" t="n">
        <v>33.358436</v>
      </c>
      <c r="F191" s="7"/>
      <c r="G191" s="32" t="n">
        <f aca="false">E191*$F$180</f>
        <v>472255.378452</v>
      </c>
      <c r="H191" s="7"/>
    </row>
    <row r="192" customFormat="false" ht="15" hidden="false" customHeight="false" outlineLevel="1" collapsed="false">
      <c r="A192" s="7"/>
      <c r="B192" s="29" t="s">
        <v>265</v>
      </c>
      <c r="C192" s="30" t="s">
        <v>276</v>
      </c>
      <c r="D192" s="29"/>
      <c r="E192" s="31" t="n">
        <v>201.937332</v>
      </c>
      <c r="F192" s="7"/>
      <c r="G192" s="32" t="n">
        <f aca="false">E192*$F$180</f>
        <v>2858826.809124</v>
      </c>
      <c r="H192" s="7"/>
    </row>
    <row r="193" customFormat="false" ht="15" hidden="false" customHeight="false" outlineLevel="1" collapsed="false">
      <c r="A193" s="7"/>
      <c r="B193" s="29" t="s">
        <v>267</v>
      </c>
      <c r="C193" s="30" t="s">
        <v>277</v>
      </c>
      <c r="D193" s="29"/>
      <c r="E193" s="31" t="n">
        <v>8.727708</v>
      </c>
      <c r="F193" s="7"/>
      <c r="G193" s="32" t="n">
        <f aca="false">E193*$F$180</f>
        <v>123558.162156</v>
      </c>
      <c r="H193" s="7"/>
    </row>
    <row r="194" customFormat="false" ht="15" hidden="false" customHeight="false" outlineLevel="0" collapsed="false">
      <c r="A194" s="23" t="n">
        <v>39</v>
      </c>
      <c r="B194" s="23" t="s">
        <v>287</v>
      </c>
      <c r="C194" s="24" t="s">
        <v>78</v>
      </c>
      <c r="D194" s="23" t="s">
        <v>20</v>
      </c>
      <c r="E194" s="25" t="n">
        <f aca="false">SUM(E195:E196)</f>
        <v>22.756731</v>
      </c>
      <c r="F194" s="26" t="n">
        <v>13857</v>
      </c>
      <c r="G194" s="27" t="n">
        <f aca="false">E194*F194</f>
        <v>315340.021467</v>
      </c>
      <c r="H194" s="28" t="s">
        <v>288</v>
      </c>
    </row>
    <row r="195" customFormat="false" ht="23.85" hidden="false" customHeight="false" outlineLevel="1" collapsed="false">
      <c r="A195" s="7"/>
      <c r="B195" s="29" t="s">
        <v>328</v>
      </c>
      <c r="C195" s="30" t="s">
        <v>329</v>
      </c>
      <c r="D195" s="29"/>
      <c r="E195" s="31" t="n">
        <v>21.792408</v>
      </c>
      <c r="F195" s="7"/>
      <c r="G195" s="32" t="n">
        <f aca="false">E195*$F$194</f>
        <v>301977.397656</v>
      </c>
      <c r="H195" s="7"/>
    </row>
    <row r="196" customFormat="false" ht="15" hidden="false" customHeight="false" outlineLevel="1" collapsed="false">
      <c r="A196" s="7"/>
      <c r="B196" s="29" t="s">
        <v>311</v>
      </c>
      <c r="C196" s="30" t="s">
        <v>312</v>
      </c>
      <c r="D196" s="29"/>
      <c r="E196" s="31" t="n">
        <v>0.964323</v>
      </c>
      <c r="F196" s="7"/>
      <c r="G196" s="32" t="n">
        <f aca="false">E196*$F$194</f>
        <v>13362.623811</v>
      </c>
      <c r="H196" s="7"/>
    </row>
    <row r="197" customFormat="false" ht="15" hidden="false" customHeight="false" outlineLevel="0" collapsed="false">
      <c r="A197" s="23" t="n">
        <v>40</v>
      </c>
      <c r="B197" s="23" t="s">
        <v>287</v>
      </c>
      <c r="C197" s="24" t="s">
        <v>78</v>
      </c>
      <c r="D197" s="23" t="s">
        <v>20</v>
      </c>
      <c r="E197" s="25" t="n">
        <f aca="false">SUM(E198:E198)</f>
        <v>115.6263264</v>
      </c>
      <c r="F197" s="26" t="n">
        <v>13857</v>
      </c>
      <c r="G197" s="27" t="n">
        <f aca="false">E197*F197</f>
        <v>1602234.0049248</v>
      </c>
      <c r="H197" s="28" t="s">
        <v>288</v>
      </c>
    </row>
    <row r="198" customFormat="false" ht="23.85" hidden="false" customHeight="false" outlineLevel="1" collapsed="false">
      <c r="A198" s="7"/>
      <c r="B198" s="29" t="s">
        <v>340</v>
      </c>
      <c r="C198" s="30" t="s">
        <v>341</v>
      </c>
      <c r="D198" s="29"/>
      <c r="E198" s="31" t="n">
        <v>115.6263264</v>
      </c>
      <c r="F198" s="7"/>
      <c r="G198" s="32" t="n">
        <f aca="false">E198*$F$197</f>
        <v>1602234.0049248</v>
      </c>
      <c r="H198" s="7"/>
    </row>
    <row r="199" customFormat="false" ht="15" hidden="false" customHeight="false" outlineLevel="0" collapsed="false">
      <c r="A199" s="23" t="n">
        <v>41</v>
      </c>
      <c r="B199" s="23" t="s">
        <v>157</v>
      </c>
      <c r="C199" s="24" t="s">
        <v>79</v>
      </c>
      <c r="D199" s="23" t="s">
        <v>20</v>
      </c>
      <c r="E199" s="25" t="n">
        <f aca="false">SUM(E200:E203)</f>
        <v>136.1012</v>
      </c>
      <c r="F199" s="26" t="n">
        <v>13430</v>
      </c>
      <c r="G199" s="27" t="n">
        <f aca="false">E199*F199</f>
        <v>1827839.116</v>
      </c>
      <c r="H199" s="28" t="s">
        <v>353</v>
      </c>
    </row>
    <row r="200" customFormat="false" ht="23.85" hidden="false" customHeight="false" outlineLevel="1" collapsed="false">
      <c r="A200" s="7"/>
      <c r="B200" s="29" t="s">
        <v>325</v>
      </c>
      <c r="C200" s="30" t="s">
        <v>326</v>
      </c>
      <c r="D200" s="29"/>
      <c r="E200" s="31" t="n">
        <v>61.320116</v>
      </c>
      <c r="F200" s="7"/>
      <c r="G200" s="32" t="n">
        <f aca="false">E200*$F$199</f>
        <v>823529.15788</v>
      </c>
      <c r="H200" s="7"/>
    </row>
    <row r="201" customFormat="false" ht="23.85" hidden="false" customHeight="false" outlineLevel="1" collapsed="false">
      <c r="A201" s="7"/>
      <c r="B201" s="29" t="s">
        <v>325</v>
      </c>
      <c r="C201" s="30" t="s">
        <v>327</v>
      </c>
      <c r="D201" s="29"/>
      <c r="E201" s="31" t="n">
        <v>24.442284</v>
      </c>
      <c r="F201" s="7"/>
      <c r="G201" s="32" t="n">
        <f aca="false">E201*$F$199</f>
        <v>328259.87412</v>
      </c>
      <c r="H201" s="7"/>
    </row>
    <row r="202" customFormat="false" ht="23.85" hidden="false" customHeight="false" outlineLevel="1" collapsed="false">
      <c r="A202" s="7"/>
      <c r="B202" s="29" t="s">
        <v>325</v>
      </c>
      <c r="C202" s="30" t="s">
        <v>326</v>
      </c>
      <c r="D202" s="29"/>
      <c r="E202" s="31" t="n">
        <v>31.475733</v>
      </c>
      <c r="F202" s="7"/>
      <c r="G202" s="32" t="n">
        <f aca="false">E202*$F$199</f>
        <v>422719.09419</v>
      </c>
      <c r="H202" s="7"/>
    </row>
    <row r="203" customFormat="false" ht="23.85" hidden="false" customHeight="false" outlineLevel="1" collapsed="false">
      <c r="A203" s="7"/>
      <c r="B203" s="29" t="s">
        <v>325</v>
      </c>
      <c r="C203" s="30" t="s">
        <v>327</v>
      </c>
      <c r="D203" s="29"/>
      <c r="E203" s="31" t="n">
        <v>18.863067</v>
      </c>
      <c r="F203" s="7"/>
      <c r="G203" s="32" t="n">
        <f aca="false">E203*$F$199</f>
        <v>253330.98981</v>
      </c>
      <c r="H203" s="7"/>
    </row>
    <row r="204" customFormat="false" ht="15" hidden="false" customHeight="false" outlineLevel="0" collapsed="false">
      <c r="A204" s="23" t="n">
        <v>42</v>
      </c>
      <c r="B204" s="23" t="s">
        <v>289</v>
      </c>
      <c r="C204" s="24" t="s">
        <v>80</v>
      </c>
      <c r="D204" s="23" t="s">
        <v>20</v>
      </c>
      <c r="E204" s="25" t="n">
        <f aca="false">SUM(E205:E205)</f>
        <v>23.16195</v>
      </c>
      <c r="F204" s="26" t="n">
        <v>14157</v>
      </c>
      <c r="G204" s="27" t="n">
        <f aca="false">E204*F204</f>
        <v>327903.72615</v>
      </c>
      <c r="H204" s="28" t="s">
        <v>290</v>
      </c>
    </row>
    <row r="205" customFormat="false" ht="15" hidden="false" customHeight="false" outlineLevel="1" collapsed="false">
      <c r="A205" s="7"/>
      <c r="B205" s="29" t="s">
        <v>272</v>
      </c>
      <c r="C205" s="30" t="s">
        <v>273</v>
      </c>
      <c r="D205" s="29"/>
      <c r="E205" s="31" t="n">
        <v>23.16195</v>
      </c>
      <c r="F205" s="7"/>
      <c r="G205" s="32" t="n">
        <f aca="false">E205*$F$204</f>
        <v>327903.72615</v>
      </c>
      <c r="H205" s="7"/>
    </row>
    <row r="206" customFormat="false" ht="15" hidden="false" customHeight="false" outlineLevel="0" collapsed="false">
      <c r="A206" s="23" t="n">
        <v>43</v>
      </c>
      <c r="B206" s="23" t="s">
        <v>291</v>
      </c>
      <c r="C206" s="24" t="s">
        <v>81</v>
      </c>
      <c r="D206" s="23" t="s">
        <v>20</v>
      </c>
      <c r="E206" s="25" t="n">
        <f aca="false">SUM(E207:E220)</f>
        <v>26536.987015</v>
      </c>
      <c r="F206" s="26" t="n">
        <v>13857</v>
      </c>
      <c r="G206" s="27" t="n">
        <f aca="false">E206*F206</f>
        <v>367723029.066855</v>
      </c>
      <c r="H206" s="28" t="s">
        <v>292</v>
      </c>
    </row>
    <row r="207" customFormat="false" ht="15" hidden="false" customHeight="false" outlineLevel="1" collapsed="false">
      <c r="A207" s="7"/>
      <c r="B207" s="29" t="s">
        <v>265</v>
      </c>
      <c r="C207" s="30" t="s">
        <v>266</v>
      </c>
      <c r="D207" s="29"/>
      <c r="E207" s="31" t="n">
        <v>173.869179</v>
      </c>
      <c r="F207" s="7"/>
      <c r="G207" s="32" t="n">
        <f aca="false">E207*$F$206</f>
        <v>2409305.213403</v>
      </c>
      <c r="H207" s="7"/>
    </row>
    <row r="208" customFormat="false" ht="15" hidden="false" customHeight="false" outlineLevel="1" collapsed="false">
      <c r="A208" s="7"/>
      <c r="B208" s="29" t="s">
        <v>267</v>
      </c>
      <c r="C208" s="30" t="s">
        <v>355</v>
      </c>
      <c r="D208" s="29"/>
      <c r="E208" s="31" t="n">
        <v>3324.017345</v>
      </c>
      <c r="F208" s="7"/>
      <c r="G208" s="32" t="n">
        <f aca="false">E208*$F$206</f>
        <v>46060908.349665</v>
      </c>
      <c r="H208" s="7"/>
    </row>
    <row r="209" customFormat="false" ht="15" hidden="false" customHeight="false" outlineLevel="1" collapsed="false">
      <c r="A209" s="7"/>
      <c r="B209" s="29" t="s">
        <v>267</v>
      </c>
      <c r="C209" s="30" t="s">
        <v>351</v>
      </c>
      <c r="D209" s="29"/>
      <c r="E209" s="31" t="n">
        <v>59.553868</v>
      </c>
      <c r="F209" s="7"/>
      <c r="G209" s="32" t="n">
        <f aca="false">E209*$F$206</f>
        <v>825237.948876</v>
      </c>
      <c r="H209" s="7"/>
    </row>
    <row r="210" customFormat="false" ht="15" hidden="false" customHeight="false" outlineLevel="1" collapsed="false">
      <c r="A210" s="7"/>
      <c r="B210" s="29" t="s">
        <v>267</v>
      </c>
      <c r="C210" s="30" t="s">
        <v>352</v>
      </c>
      <c r="D210" s="29"/>
      <c r="E210" s="31" t="n">
        <v>45.218041</v>
      </c>
      <c r="F210" s="7"/>
      <c r="G210" s="32" t="n">
        <f aca="false">E210*$F$206</f>
        <v>626586.394137</v>
      </c>
      <c r="H210" s="7"/>
    </row>
    <row r="211" customFormat="false" ht="15" hidden="false" customHeight="false" outlineLevel="1" collapsed="false">
      <c r="A211" s="7"/>
      <c r="B211" s="29" t="s">
        <v>267</v>
      </c>
      <c r="C211" s="30" t="s">
        <v>269</v>
      </c>
      <c r="D211" s="29"/>
      <c r="E211" s="31" t="n">
        <v>567.357494</v>
      </c>
      <c r="F211" s="7"/>
      <c r="G211" s="32" t="n">
        <f aca="false">E211*$F$206</f>
        <v>7861872.794358</v>
      </c>
      <c r="H211" s="7"/>
    </row>
    <row r="212" customFormat="false" ht="15" hidden="false" customHeight="false" outlineLevel="1" collapsed="false">
      <c r="A212" s="7"/>
      <c r="B212" s="29" t="s">
        <v>267</v>
      </c>
      <c r="C212" s="30" t="s">
        <v>270</v>
      </c>
      <c r="D212" s="29"/>
      <c r="E212" s="31" t="n">
        <v>217.120167</v>
      </c>
      <c r="F212" s="7"/>
      <c r="G212" s="32" t="n">
        <f aca="false">E212*$F$206</f>
        <v>3008634.154119</v>
      </c>
      <c r="H212" s="7"/>
    </row>
    <row r="213" customFormat="false" ht="15" hidden="false" customHeight="false" outlineLevel="1" collapsed="false">
      <c r="A213" s="7"/>
      <c r="B213" s="29" t="s">
        <v>267</v>
      </c>
      <c r="C213" s="30" t="s">
        <v>270</v>
      </c>
      <c r="D213" s="29"/>
      <c r="E213" s="31" t="n">
        <v>213.211966</v>
      </c>
      <c r="F213" s="7"/>
      <c r="G213" s="32" t="n">
        <f aca="false">E213*$F$206</f>
        <v>2954478.212862</v>
      </c>
      <c r="H213" s="7"/>
    </row>
    <row r="214" customFormat="false" ht="15" hidden="false" customHeight="false" outlineLevel="1" collapsed="false">
      <c r="A214" s="7"/>
      <c r="B214" s="29" t="s">
        <v>172</v>
      </c>
      <c r="C214" s="30" t="s">
        <v>173</v>
      </c>
      <c r="D214" s="29"/>
      <c r="E214" s="31" t="n">
        <v>20935.95471</v>
      </c>
      <c r="F214" s="7"/>
      <c r="G214" s="32" t="n">
        <f aca="false">E214*$F$206</f>
        <v>290109524.41647</v>
      </c>
      <c r="H214" s="7"/>
    </row>
    <row r="215" customFormat="false" ht="15" hidden="false" customHeight="false" outlineLevel="1" collapsed="false">
      <c r="A215" s="7"/>
      <c r="B215" s="29" t="s">
        <v>172</v>
      </c>
      <c r="C215" s="30" t="s">
        <v>173</v>
      </c>
      <c r="D215" s="29"/>
      <c r="E215" s="31" t="n">
        <v>216.705687</v>
      </c>
      <c r="F215" s="7"/>
      <c r="G215" s="32" t="n">
        <f aca="false">E215*$F$206</f>
        <v>3002890.704759</v>
      </c>
      <c r="H215" s="7"/>
    </row>
    <row r="216" customFormat="false" ht="15" hidden="false" customHeight="false" outlineLevel="1" collapsed="false">
      <c r="A216" s="7"/>
      <c r="B216" s="29" t="s">
        <v>265</v>
      </c>
      <c r="C216" s="30" t="s">
        <v>274</v>
      </c>
      <c r="D216" s="29"/>
      <c r="E216" s="31" t="n">
        <v>370.881885</v>
      </c>
      <c r="F216" s="7"/>
      <c r="G216" s="32" t="n">
        <f aca="false">E216*$F$206</f>
        <v>5139310.280445</v>
      </c>
      <c r="H216" s="7"/>
    </row>
    <row r="217" customFormat="false" ht="15" hidden="false" customHeight="false" outlineLevel="1" collapsed="false">
      <c r="A217" s="7"/>
      <c r="B217" s="29" t="s">
        <v>265</v>
      </c>
      <c r="C217" s="30" t="s">
        <v>275</v>
      </c>
      <c r="D217" s="29"/>
      <c r="E217" s="31" t="n">
        <v>53.975658</v>
      </c>
      <c r="F217" s="7"/>
      <c r="G217" s="32" t="n">
        <f aca="false">E217*$F$206</f>
        <v>747940.692906</v>
      </c>
      <c r="H217" s="7"/>
    </row>
    <row r="218" customFormat="false" ht="15" hidden="false" customHeight="false" outlineLevel="1" collapsed="false">
      <c r="A218" s="7"/>
      <c r="B218" s="29" t="s">
        <v>265</v>
      </c>
      <c r="C218" s="30" t="s">
        <v>276</v>
      </c>
      <c r="D218" s="29"/>
      <c r="E218" s="31" t="n">
        <v>326.744946</v>
      </c>
      <c r="F218" s="7"/>
      <c r="G218" s="32" t="n">
        <f aca="false">E218*$F$206</f>
        <v>4527704.716722</v>
      </c>
      <c r="H218" s="7"/>
    </row>
    <row r="219" customFormat="false" ht="15" hidden="false" customHeight="false" outlineLevel="1" collapsed="false">
      <c r="A219" s="7"/>
      <c r="B219" s="29" t="s">
        <v>267</v>
      </c>
      <c r="C219" s="30" t="s">
        <v>277</v>
      </c>
      <c r="D219" s="29"/>
      <c r="E219" s="31" t="n">
        <v>9.258447</v>
      </c>
      <c r="F219" s="7"/>
      <c r="G219" s="32" t="n">
        <f aca="false">E219*$F$206</f>
        <v>128294.300079</v>
      </c>
      <c r="H219" s="7"/>
    </row>
    <row r="220" customFormat="false" ht="23.85" hidden="false" customHeight="false" outlineLevel="1" collapsed="false">
      <c r="A220" s="7"/>
      <c r="B220" s="29" t="s">
        <v>328</v>
      </c>
      <c r="C220" s="30" t="s">
        <v>329</v>
      </c>
      <c r="D220" s="29"/>
      <c r="E220" s="31" t="n">
        <v>23.117622</v>
      </c>
      <c r="F220" s="7"/>
      <c r="G220" s="32" t="n">
        <f aca="false">E220*$F$206</f>
        <v>320340.888054</v>
      </c>
      <c r="H220" s="7"/>
    </row>
    <row r="221" customFormat="false" ht="15" hidden="false" customHeight="false" outlineLevel="0" collapsed="false">
      <c r="A221" s="23" t="n">
        <v>44</v>
      </c>
      <c r="B221" s="23" t="s">
        <v>291</v>
      </c>
      <c r="C221" s="24" t="s">
        <v>81</v>
      </c>
      <c r="D221" s="23" t="s">
        <v>20</v>
      </c>
      <c r="E221" s="25" t="n">
        <f aca="false">SUM(E222:E222)</f>
        <v>2.4925264</v>
      </c>
      <c r="F221" s="26" t="n">
        <v>13857</v>
      </c>
      <c r="G221" s="27" t="n">
        <f aca="false">E221*F221</f>
        <v>34538.9383248</v>
      </c>
      <c r="H221" s="28" t="s">
        <v>292</v>
      </c>
    </row>
    <row r="222" customFormat="false" ht="23.85" hidden="false" customHeight="false" outlineLevel="1" collapsed="false">
      <c r="A222" s="7"/>
      <c r="B222" s="29" t="s">
        <v>340</v>
      </c>
      <c r="C222" s="30" t="s">
        <v>342</v>
      </c>
      <c r="D222" s="29"/>
      <c r="E222" s="31" t="n">
        <v>2.4925264</v>
      </c>
      <c r="F222" s="7"/>
      <c r="G222" s="32" t="n">
        <f aca="false">E222*$F$221</f>
        <v>34538.9383248</v>
      </c>
      <c r="H222" s="7"/>
    </row>
    <row r="223" customFormat="false" ht="15" hidden="false" customHeight="false" outlineLevel="0" collapsed="false">
      <c r="A223" s="23" t="n">
        <v>45</v>
      </c>
      <c r="B223" s="23" t="s">
        <v>293</v>
      </c>
      <c r="C223" s="24" t="s">
        <v>82</v>
      </c>
      <c r="D223" s="23" t="s">
        <v>20</v>
      </c>
      <c r="E223" s="25" t="n">
        <f aca="false">SUM(E224:E224)</f>
        <v>15.3426</v>
      </c>
      <c r="F223" s="26" t="n">
        <v>14344</v>
      </c>
      <c r="G223" s="27" t="n">
        <f aca="false">E223*F223</f>
        <v>220074.2544</v>
      </c>
      <c r="H223" s="28" t="s">
        <v>294</v>
      </c>
    </row>
    <row r="224" customFormat="false" ht="15" hidden="false" customHeight="false" outlineLevel="1" collapsed="false">
      <c r="A224" s="7"/>
      <c r="B224" s="29" t="s">
        <v>219</v>
      </c>
      <c r="C224" s="30" t="s">
        <v>220</v>
      </c>
      <c r="D224" s="29"/>
      <c r="E224" s="31" t="n">
        <v>15.3426</v>
      </c>
      <c r="F224" s="7"/>
      <c r="G224" s="32" t="n">
        <f aca="false">E224*$F$223</f>
        <v>220074.2544</v>
      </c>
      <c r="H224" s="7"/>
    </row>
    <row r="225" customFormat="false" ht="15" hidden="false" customHeight="false" outlineLevel="0" collapsed="false">
      <c r="A225" s="23" t="n">
        <v>46</v>
      </c>
      <c r="B225" s="23" t="s">
        <v>295</v>
      </c>
      <c r="C225" s="24" t="s">
        <v>83</v>
      </c>
      <c r="D225" s="23" t="s">
        <v>20</v>
      </c>
      <c r="E225" s="25" t="n">
        <f aca="false">SUM(E226:E227)</f>
        <v>6826.41225</v>
      </c>
      <c r="F225" s="26" t="n">
        <v>14594</v>
      </c>
      <c r="G225" s="27" t="n">
        <f aca="false">E225*F225</f>
        <v>99624660.3765</v>
      </c>
      <c r="H225" s="28" t="s">
        <v>296</v>
      </c>
    </row>
    <row r="226" customFormat="false" ht="15" hidden="false" customHeight="false" outlineLevel="1" collapsed="false">
      <c r="A226" s="7"/>
      <c r="B226" s="29" t="s">
        <v>215</v>
      </c>
      <c r="C226" s="30" t="s">
        <v>217</v>
      </c>
      <c r="D226" s="29"/>
      <c r="E226" s="31" t="n">
        <v>5312.09835</v>
      </c>
      <c r="F226" s="7"/>
      <c r="G226" s="32" t="n">
        <f aca="false">E226*$F$225</f>
        <v>77524763.3199</v>
      </c>
      <c r="H226" s="7"/>
    </row>
    <row r="227" customFormat="false" ht="15" hidden="false" customHeight="false" outlineLevel="1" collapsed="false">
      <c r="A227" s="7"/>
      <c r="B227" s="29" t="s">
        <v>215</v>
      </c>
      <c r="C227" s="30" t="s">
        <v>218</v>
      </c>
      <c r="D227" s="29"/>
      <c r="E227" s="31" t="n">
        <v>1514.3139</v>
      </c>
      <c r="F227" s="7"/>
      <c r="G227" s="32" t="n">
        <f aca="false">E227*$F$225</f>
        <v>22099897.0566</v>
      </c>
      <c r="H227" s="7"/>
    </row>
    <row r="228" customFormat="false" ht="15" hidden="false" customHeight="false" outlineLevel="0" collapsed="false">
      <c r="A228" s="23" t="n">
        <v>47</v>
      </c>
      <c r="B228" s="23" t="s">
        <v>295</v>
      </c>
      <c r="C228" s="24" t="s">
        <v>83</v>
      </c>
      <c r="D228" s="23" t="s">
        <v>20</v>
      </c>
      <c r="E228" s="25" t="n">
        <f aca="false">SUM(E229:E229)</f>
        <v>130.68015</v>
      </c>
      <c r="F228" s="26" t="n">
        <v>14174</v>
      </c>
      <c r="G228" s="27" t="n">
        <f aca="false">E228*F228</f>
        <v>1852260.4461</v>
      </c>
      <c r="H228" s="28" t="s">
        <v>296</v>
      </c>
    </row>
    <row r="229" customFormat="false" ht="15" hidden="false" customHeight="false" outlineLevel="1" collapsed="false">
      <c r="A229" s="7"/>
      <c r="B229" s="29" t="s">
        <v>215</v>
      </c>
      <c r="C229" s="30" t="s">
        <v>338</v>
      </c>
      <c r="D229" s="29"/>
      <c r="E229" s="31" t="n">
        <v>130.68015</v>
      </c>
      <c r="F229" s="7"/>
      <c r="G229" s="32" t="n">
        <f aca="false">E229*$F$228</f>
        <v>1852260.4461</v>
      </c>
      <c r="H229" s="7"/>
    </row>
    <row r="230" customFormat="false" ht="15" hidden="false" customHeight="false" outlineLevel="0" collapsed="false">
      <c r="A230" s="23" t="n">
        <v>48</v>
      </c>
      <c r="B230" s="23" t="s">
        <v>297</v>
      </c>
      <c r="C230" s="24" t="s">
        <v>84</v>
      </c>
      <c r="D230" s="23" t="s">
        <v>20</v>
      </c>
      <c r="E230" s="25" t="n">
        <f aca="false">SUM(E231:E236)</f>
        <v>17840.7792</v>
      </c>
      <c r="F230" s="26" t="n">
        <v>14394</v>
      </c>
      <c r="G230" s="27" t="n">
        <f aca="false">E230*F230</f>
        <v>256800175.8048</v>
      </c>
      <c r="H230" s="28" t="s">
        <v>298</v>
      </c>
    </row>
    <row r="231" customFormat="false" ht="15" hidden="false" customHeight="false" outlineLevel="1" collapsed="false">
      <c r="A231" s="7"/>
      <c r="B231" s="29" t="s">
        <v>210</v>
      </c>
      <c r="C231" s="30" t="s">
        <v>211</v>
      </c>
      <c r="D231" s="29"/>
      <c r="E231" s="31" t="n">
        <v>14345.994</v>
      </c>
      <c r="F231" s="7"/>
      <c r="G231" s="32" t="n">
        <f aca="false">E231*$F$230</f>
        <v>206496237.636</v>
      </c>
      <c r="H231" s="7"/>
    </row>
    <row r="232" customFormat="false" ht="15" hidden="false" customHeight="false" outlineLevel="1" collapsed="false">
      <c r="A232" s="7"/>
      <c r="B232" s="29" t="s">
        <v>210</v>
      </c>
      <c r="C232" s="30" t="s">
        <v>212</v>
      </c>
      <c r="D232" s="29"/>
      <c r="E232" s="31" t="n">
        <v>2869.1988</v>
      </c>
      <c r="F232" s="7"/>
      <c r="G232" s="32" t="n">
        <f aca="false">E232*$F$230</f>
        <v>41299247.5272</v>
      </c>
      <c r="H232" s="7"/>
    </row>
    <row r="233" customFormat="false" ht="15" hidden="false" customHeight="false" outlineLevel="1" collapsed="false">
      <c r="A233" s="7"/>
      <c r="B233" s="29" t="s">
        <v>210</v>
      </c>
      <c r="C233" s="30" t="s">
        <v>336</v>
      </c>
      <c r="D233" s="29"/>
      <c r="E233" s="31" t="n">
        <v>296.3304</v>
      </c>
      <c r="F233" s="7"/>
      <c r="G233" s="32" t="n">
        <f aca="false">E233*$F$230</f>
        <v>4265379.7776</v>
      </c>
      <c r="H233" s="7"/>
    </row>
    <row r="234" customFormat="false" ht="15" hidden="false" customHeight="false" outlineLevel="1" collapsed="false">
      <c r="A234" s="7"/>
      <c r="B234" s="29" t="s">
        <v>210</v>
      </c>
      <c r="C234" s="30" t="s">
        <v>212</v>
      </c>
      <c r="D234" s="29"/>
      <c r="E234" s="31" t="n">
        <v>59.26608</v>
      </c>
      <c r="F234" s="7"/>
      <c r="G234" s="32" t="n">
        <f aca="false">E234*$F$230</f>
        <v>853075.95552</v>
      </c>
      <c r="H234" s="7"/>
    </row>
    <row r="235" customFormat="false" ht="15" hidden="false" customHeight="false" outlineLevel="1" collapsed="false">
      <c r="A235" s="7"/>
      <c r="B235" s="29" t="s">
        <v>210</v>
      </c>
      <c r="C235" s="30" t="s">
        <v>337</v>
      </c>
      <c r="D235" s="29"/>
      <c r="E235" s="31" t="n">
        <v>224.9916</v>
      </c>
      <c r="F235" s="7"/>
      <c r="G235" s="32" t="n">
        <f aca="false">E235*$F$230</f>
        <v>3238529.0904</v>
      </c>
      <c r="H235" s="7"/>
    </row>
    <row r="236" customFormat="false" ht="15" hidden="false" customHeight="false" outlineLevel="1" collapsed="false">
      <c r="A236" s="7"/>
      <c r="B236" s="29" t="s">
        <v>210</v>
      </c>
      <c r="C236" s="30" t="s">
        <v>212</v>
      </c>
      <c r="D236" s="29"/>
      <c r="E236" s="31" t="n">
        <v>44.99832</v>
      </c>
      <c r="F236" s="7"/>
      <c r="G236" s="32" t="n">
        <f aca="false">E236*$F$230</f>
        <v>647705.81808</v>
      </c>
      <c r="H236" s="7"/>
    </row>
    <row r="237" customFormat="false" ht="15" hidden="false" customHeight="false" outlineLevel="0" collapsed="false">
      <c r="A237" s="23" t="n">
        <v>49</v>
      </c>
      <c r="B237" s="23" t="s">
        <v>297</v>
      </c>
      <c r="C237" s="24" t="s">
        <v>84</v>
      </c>
      <c r="D237" s="23" t="s">
        <v>20</v>
      </c>
      <c r="E237" s="25" t="n">
        <f aca="false">SUM(E238:E238)</f>
        <v>1117.869</v>
      </c>
      <c r="F237" s="26" t="n">
        <v>14034</v>
      </c>
      <c r="G237" s="27" t="n">
        <f aca="false">E237*F237</f>
        <v>15688173.546</v>
      </c>
      <c r="H237" s="28" t="s">
        <v>298</v>
      </c>
    </row>
    <row r="238" customFormat="false" ht="15" hidden="false" customHeight="false" outlineLevel="1" collapsed="false">
      <c r="A238" s="7"/>
      <c r="B238" s="29" t="s">
        <v>213</v>
      </c>
      <c r="C238" s="30" t="s">
        <v>339</v>
      </c>
      <c r="D238" s="29"/>
      <c r="E238" s="31" t="n">
        <v>1117.869</v>
      </c>
      <c r="F238" s="7"/>
      <c r="G238" s="32" t="n">
        <f aca="false">E238*$F$237</f>
        <v>15688173.546</v>
      </c>
      <c r="H238" s="7"/>
    </row>
    <row r="239" customFormat="false" ht="15" hidden="false" customHeight="false" outlineLevel="0" collapsed="false">
      <c r="A239" s="23" t="n">
        <v>50</v>
      </c>
      <c r="B239" s="23" t="s">
        <v>299</v>
      </c>
      <c r="C239" s="24" t="s">
        <v>85</v>
      </c>
      <c r="D239" s="23" t="s">
        <v>52</v>
      </c>
      <c r="E239" s="25" t="n">
        <f aca="false">SUM(E240:E240)</f>
        <v>19419.729</v>
      </c>
      <c r="F239" s="26" t="n">
        <v>24000</v>
      </c>
      <c r="G239" s="27" t="n">
        <f aca="false">E239*F239</f>
        <v>466073496</v>
      </c>
      <c r="H239" s="28" t="s">
        <v>300</v>
      </c>
    </row>
    <row r="240" customFormat="false" ht="15" hidden="false" customHeight="false" outlineLevel="1" collapsed="false">
      <c r="A240" s="7"/>
      <c r="B240" s="29" t="s">
        <v>301</v>
      </c>
      <c r="C240" s="30" t="s">
        <v>302</v>
      </c>
      <c r="D240" s="29"/>
      <c r="E240" s="31" t="n">
        <v>19419.729</v>
      </c>
      <c r="F240" s="7"/>
      <c r="G240" s="32" t="n">
        <f aca="false">E240*$F$239</f>
        <v>466073496</v>
      </c>
      <c r="H240" s="7"/>
    </row>
    <row r="241" customFormat="false" ht="15" hidden="false" customHeight="false" outlineLevel="0" collapsed="false">
      <c r="A241" s="23" t="n">
        <v>51</v>
      </c>
      <c r="B241" s="23" t="s">
        <v>367</v>
      </c>
      <c r="C241" s="24" t="s">
        <v>86</v>
      </c>
      <c r="D241" s="23" t="s">
        <v>20</v>
      </c>
      <c r="E241" s="25" t="n">
        <f aca="false">SUM(E242:E242)</f>
        <v>0</v>
      </c>
      <c r="F241" s="26" t="n">
        <v>0</v>
      </c>
      <c r="G241" s="27" t="n">
        <f aca="false">E241*F241</f>
        <v>0</v>
      </c>
      <c r="H241" s="28" t="s">
        <v>368</v>
      </c>
    </row>
    <row r="242" customFormat="false" ht="15" hidden="false" customHeight="false" outlineLevel="1" collapsed="false">
      <c r="A242" s="7"/>
      <c r="B242" s="29" t="s">
        <v>361</v>
      </c>
      <c r="C242" s="30" t="s">
        <v>362</v>
      </c>
      <c r="D242" s="29"/>
      <c r="E242" s="31" t="n">
        <v>0</v>
      </c>
      <c r="F242" s="7"/>
      <c r="G242" s="32" t="n">
        <f aca="false">E242*$F$241</f>
        <v>0</v>
      </c>
      <c r="H242" s="7"/>
    </row>
    <row r="243" customFormat="false" ht="15" hidden="false" customHeight="false" outlineLevel="0" collapsed="false">
      <c r="A243" s="23" t="n">
        <v>52</v>
      </c>
      <c r="B243" s="23" t="s">
        <v>303</v>
      </c>
      <c r="C243" s="24" t="s">
        <v>87</v>
      </c>
      <c r="D243" s="23" t="s">
        <v>20</v>
      </c>
      <c r="E243" s="25" t="n">
        <f aca="false">SUM(E244:E244)</f>
        <v>40243.90875</v>
      </c>
      <c r="F243" s="26" t="n">
        <v>1601</v>
      </c>
      <c r="G243" s="27" t="n">
        <f aca="false">E243*F243</f>
        <v>64430497.90875</v>
      </c>
      <c r="H243" s="28" t="s">
        <v>304</v>
      </c>
    </row>
    <row r="244" customFormat="false" ht="15" hidden="false" customHeight="false" outlineLevel="1" collapsed="false">
      <c r="A244" s="7"/>
      <c r="B244" s="29" t="s">
        <v>154</v>
      </c>
      <c r="C244" s="30" t="s">
        <v>155</v>
      </c>
      <c r="D244" s="29"/>
      <c r="E244" s="31" t="n">
        <v>40243.90875</v>
      </c>
      <c r="F244" s="7"/>
      <c r="G244" s="32" t="n">
        <f aca="false">E244*$F$243</f>
        <v>64430497.90875</v>
      </c>
      <c r="H244" s="7"/>
    </row>
    <row r="245" customFormat="false" ht="15" hidden="false" customHeight="false" outlineLevel="0" collapsed="false">
      <c r="A245" s="23" t="n">
        <v>53</v>
      </c>
      <c r="B245" s="23" t="s">
        <v>303</v>
      </c>
      <c r="C245" s="24" t="s">
        <v>87</v>
      </c>
      <c r="D245" s="23" t="s">
        <v>20</v>
      </c>
      <c r="E245" s="25" t="n">
        <f aca="false">SUM(E246:E246)</f>
        <v>4748.128</v>
      </c>
      <c r="F245" s="26" t="n">
        <v>1213</v>
      </c>
      <c r="G245" s="27" t="n">
        <f aca="false">E245*F245</f>
        <v>5759479.264</v>
      </c>
      <c r="H245" s="28" t="s">
        <v>304</v>
      </c>
    </row>
    <row r="246" customFormat="false" ht="23.85" hidden="false" customHeight="false" outlineLevel="1" collapsed="false">
      <c r="A246" s="7"/>
      <c r="B246" s="29" t="s">
        <v>139</v>
      </c>
      <c r="C246" s="30" t="s">
        <v>322</v>
      </c>
      <c r="D246" s="29"/>
      <c r="E246" s="31" t="n">
        <v>4748.128</v>
      </c>
      <c r="F246" s="7"/>
      <c r="G246" s="32" t="n">
        <f aca="false">E246*$F$245</f>
        <v>5759479.264</v>
      </c>
      <c r="H246" s="7"/>
    </row>
    <row r="247" customFormat="false" ht="15" hidden="false" customHeight="false" outlineLevel="0" collapsed="false">
      <c r="A247" s="23" t="n">
        <v>54</v>
      </c>
      <c r="B247" s="23" t="s">
        <v>303</v>
      </c>
      <c r="C247" s="24" t="s">
        <v>88</v>
      </c>
      <c r="D247" s="23" t="s">
        <v>20</v>
      </c>
      <c r="E247" s="25" t="n">
        <f aca="false">SUM(E248:E261)</f>
        <v>2001257.07095</v>
      </c>
      <c r="F247" s="26" t="n">
        <v>1442</v>
      </c>
      <c r="G247" s="27" t="n">
        <f aca="false">E247*F247</f>
        <v>2885812696.3099</v>
      </c>
      <c r="H247" s="28" t="s">
        <v>305</v>
      </c>
    </row>
    <row r="248" customFormat="false" ht="23.85" hidden="false" customHeight="false" outlineLevel="1" collapsed="false">
      <c r="A248" s="7"/>
      <c r="B248" s="29" t="s">
        <v>133</v>
      </c>
      <c r="C248" s="30" t="s">
        <v>134</v>
      </c>
      <c r="D248" s="29"/>
      <c r="E248" s="31" t="n">
        <v>87544.512</v>
      </c>
      <c r="F248" s="7"/>
      <c r="G248" s="32" t="n">
        <f aca="false">E248*$F$247</f>
        <v>126239186.304</v>
      </c>
      <c r="H248" s="7"/>
    </row>
    <row r="249" customFormat="false" ht="23.85" hidden="false" customHeight="false" outlineLevel="1" collapsed="false">
      <c r="A249" s="7"/>
      <c r="B249" s="29" t="s">
        <v>135</v>
      </c>
      <c r="C249" s="30" t="s">
        <v>136</v>
      </c>
      <c r="D249" s="29"/>
      <c r="E249" s="31" t="n">
        <v>1245660.2928</v>
      </c>
      <c r="F249" s="7"/>
      <c r="G249" s="32" t="n">
        <f aca="false">E249*$F$247</f>
        <v>1796242142.2176</v>
      </c>
      <c r="H249" s="7"/>
    </row>
    <row r="250" customFormat="false" ht="23.85" hidden="false" customHeight="false" outlineLevel="1" collapsed="false">
      <c r="A250" s="7"/>
      <c r="B250" s="29" t="s">
        <v>135</v>
      </c>
      <c r="C250" s="30" t="s">
        <v>320</v>
      </c>
      <c r="D250" s="29"/>
      <c r="E250" s="31" t="n">
        <v>19178.7904</v>
      </c>
      <c r="F250" s="7"/>
      <c r="G250" s="32" t="n">
        <f aca="false">E250*$F$247</f>
        <v>27655815.7568</v>
      </c>
      <c r="H250" s="7"/>
    </row>
    <row r="251" customFormat="false" ht="23.85" hidden="false" customHeight="false" outlineLevel="1" collapsed="false">
      <c r="A251" s="7"/>
      <c r="B251" s="29" t="s">
        <v>135</v>
      </c>
      <c r="C251" s="30" t="s">
        <v>321</v>
      </c>
      <c r="D251" s="29"/>
      <c r="E251" s="31" t="n">
        <v>14559.16</v>
      </c>
      <c r="F251" s="7"/>
      <c r="G251" s="32" t="n">
        <f aca="false">E251*$F$247</f>
        <v>20994308.72</v>
      </c>
      <c r="H251" s="7"/>
    </row>
    <row r="252" customFormat="false" ht="23.85" hidden="false" customHeight="false" outlineLevel="1" collapsed="false">
      <c r="A252" s="7"/>
      <c r="B252" s="29" t="s">
        <v>135</v>
      </c>
      <c r="C252" s="30" t="s">
        <v>137</v>
      </c>
      <c r="D252" s="29"/>
      <c r="E252" s="31" t="n">
        <v>273036.9488</v>
      </c>
      <c r="F252" s="7"/>
      <c r="G252" s="32" t="n">
        <f aca="false">E252*$F$247</f>
        <v>393719280.1696</v>
      </c>
      <c r="H252" s="7"/>
    </row>
    <row r="253" customFormat="false" ht="23.85" hidden="false" customHeight="false" outlineLevel="1" collapsed="false">
      <c r="A253" s="7"/>
      <c r="B253" s="29" t="s">
        <v>135</v>
      </c>
      <c r="C253" s="30" t="s">
        <v>138</v>
      </c>
      <c r="D253" s="29"/>
      <c r="E253" s="31" t="n">
        <v>75346.7792</v>
      </c>
      <c r="F253" s="7"/>
      <c r="G253" s="32" t="n">
        <f aca="false">E253*$F$247</f>
        <v>108650055.6064</v>
      </c>
      <c r="H253" s="7"/>
    </row>
    <row r="254" customFormat="false" ht="23.85" hidden="false" customHeight="false" outlineLevel="1" collapsed="false">
      <c r="A254" s="7"/>
      <c r="B254" s="29" t="s">
        <v>135</v>
      </c>
      <c r="C254" s="30" t="s">
        <v>138</v>
      </c>
      <c r="D254" s="29"/>
      <c r="E254" s="31" t="n">
        <v>73739.0192</v>
      </c>
      <c r="F254" s="7"/>
      <c r="G254" s="32" t="n">
        <f aca="false">E254*$F$247</f>
        <v>106331665.6864</v>
      </c>
      <c r="H254" s="7"/>
    </row>
    <row r="255" customFormat="false" ht="15" hidden="false" customHeight="false" outlineLevel="1" collapsed="false">
      <c r="A255" s="7"/>
      <c r="B255" s="29" t="s">
        <v>141</v>
      </c>
      <c r="C255" s="30" t="s">
        <v>142</v>
      </c>
      <c r="D255" s="29"/>
      <c r="E255" s="31" t="n">
        <v>44612.92</v>
      </c>
      <c r="F255" s="7"/>
      <c r="G255" s="32" t="n">
        <f aca="false">E255*$F$247</f>
        <v>64331830.64</v>
      </c>
      <c r="H255" s="7"/>
    </row>
    <row r="256" customFormat="false" ht="15" hidden="false" customHeight="false" outlineLevel="1" collapsed="false">
      <c r="A256" s="7"/>
      <c r="B256" s="29" t="s">
        <v>141</v>
      </c>
      <c r="C256" s="30" t="s">
        <v>142</v>
      </c>
      <c r="D256" s="29"/>
      <c r="E256" s="31" t="n">
        <v>49148.176</v>
      </c>
      <c r="F256" s="7"/>
      <c r="G256" s="32" t="n">
        <f aca="false">E256*$F$247</f>
        <v>70871669.792</v>
      </c>
      <c r="H256" s="7"/>
    </row>
    <row r="257" customFormat="false" ht="23.85" hidden="false" customHeight="false" outlineLevel="1" collapsed="false">
      <c r="A257" s="7"/>
      <c r="B257" s="29" t="s">
        <v>143</v>
      </c>
      <c r="C257" s="30" t="s">
        <v>144</v>
      </c>
      <c r="D257" s="29"/>
      <c r="E257" s="31" t="n">
        <v>55739.992</v>
      </c>
      <c r="F257" s="7"/>
      <c r="G257" s="32" t="n">
        <f aca="false">E257*$F$247</f>
        <v>80377068.464</v>
      </c>
      <c r="H257" s="7"/>
    </row>
    <row r="258" customFormat="false" ht="15" hidden="false" customHeight="false" outlineLevel="1" collapsed="false">
      <c r="A258" s="7"/>
      <c r="B258" s="29" t="s">
        <v>145</v>
      </c>
      <c r="C258" s="30" t="s">
        <v>146</v>
      </c>
      <c r="D258" s="29"/>
      <c r="E258" s="31" t="n">
        <v>10755.448</v>
      </c>
      <c r="F258" s="7"/>
      <c r="G258" s="32" t="n">
        <f aca="false">E258*$F$247</f>
        <v>15509356.016</v>
      </c>
      <c r="H258" s="7"/>
    </row>
    <row r="259" customFormat="false" ht="15" hidden="false" customHeight="false" outlineLevel="1" collapsed="false">
      <c r="A259" s="7"/>
      <c r="B259" s="29" t="s">
        <v>127</v>
      </c>
      <c r="C259" s="30" t="s">
        <v>128</v>
      </c>
      <c r="D259" s="29"/>
      <c r="E259" s="31" t="n">
        <v>8472.3776</v>
      </c>
      <c r="F259" s="7"/>
      <c r="G259" s="32" t="n">
        <f aca="false">E259*$F$247</f>
        <v>12217168.4992</v>
      </c>
      <c r="H259" s="7"/>
    </row>
    <row r="260" customFormat="false" ht="15" hidden="false" customHeight="false" outlineLevel="1" collapsed="false">
      <c r="A260" s="7"/>
      <c r="B260" s="29" t="s">
        <v>152</v>
      </c>
      <c r="C260" s="30" t="s">
        <v>153</v>
      </c>
      <c r="D260" s="29"/>
      <c r="E260" s="31" t="n">
        <v>38943.28625</v>
      </c>
      <c r="F260" s="7"/>
      <c r="G260" s="32" t="n">
        <f aca="false">E260*$F$247</f>
        <v>56156218.7725</v>
      </c>
      <c r="H260" s="7"/>
    </row>
    <row r="261" customFormat="false" ht="23.85" hidden="false" customHeight="false" outlineLevel="1" collapsed="false">
      <c r="A261" s="7"/>
      <c r="B261" s="29" t="s">
        <v>147</v>
      </c>
      <c r="C261" s="30" t="s">
        <v>148</v>
      </c>
      <c r="D261" s="29"/>
      <c r="E261" s="31" t="n">
        <v>4519.3687</v>
      </c>
      <c r="F261" s="7"/>
      <c r="G261" s="32" t="n">
        <f aca="false">E261*$F$247</f>
        <v>6516929.6654</v>
      </c>
      <c r="H261" s="7"/>
    </row>
    <row r="262" customFormat="false" ht="15" hidden="false" customHeight="false" outlineLevel="0" collapsed="false">
      <c r="A262" s="23" t="n">
        <v>55</v>
      </c>
      <c r="B262" s="23" t="s">
        <v>306</v>
      </c>
      <c r="C262" s="24" t="s">
        <v>89</v>
      </c>
      <c r="D262" s="23" t="s">
        <v>90</v>
      </c>
      <c r="E262" s="34"/>
      <c r="F262" s="34"/>
      <c r="G262" s="27" t="n">
        <f aca="false">SUM(G263:G306)</f>
        <v>210679196.84646</v>
      </c>
      <c r="H262" s="28" t="s">
        <v>307</v>
      </c>
    </row>
    <row r="263" customFormat="false" ht="15" hidden="false" customHeight="false" outlineLevel="1" collapsed="false">
      <c r="A263" s="7"/>
      <c r="B263" s="29" t="s">
        <v>301</v>
      </c>
      <c r="C263" s="30" t="s">
        <v>302</v>
      </c>
      <c r="D263" s="29" t="s">
        <v>90</v>
      </c>
      <c r="E263" s="31" t="n">
        <v>0.2</v>
      </c>
      <c r="F263" s="7"/>
      <c r="G263" s="35" t="n">
        <v>932146.992</v>
      </c>
      <c r="H263" s="7"/>
    </row>
    <row r="264" customFormat="false" ht="15" hidden="false" customHeight="false" outlineLevel="1" collapsed="false">
      <c r="A264" s="7"/>
      <c r="B264" s="29" t="s">
        <v>249</v>
      </c>
      <c r="C264" s="30" t="s">
        <v>250</v>
      </c>
      <c r="D264" s="29" t="s">
        <v>90</v>
      </c>
      <c r="E264" s="31" t="n">
        <v>0.2</v>
      </c>
      <c r="F264" s="7"/>
      <c r="G264" s="35" t="n">
        <v>12568.556</v>
      </c>
      <c r="H264" s="7"/>
    </row>
    <row r="265" customFormat="false" ht="15" hidden="false" customHeight="false" outlineLevel="1" collapsed="false">
      <c r="A265" s="7"/>
      <c r="B265" s="29" t="s">
        <v>265</v>
      </c>
      <c r="C265" s="30" t="s">
        <v>266</v>
      </c>
      <c r="D265" s="29" t="s">
        <v>90</v>
      </c>
      <c r="E265" s="31" t="n">
        <v>5</v>
      </c>
      <c r="F265" s="7"/>
      <c r="G265" s="35" t="n">
        <v>210203.22472645</v>
      </c>
      <c r="H265" s="7"/>
    </row>
    <row r="266" customFormat="false" ht="23.85" hidden="false" customHeight="false" outlineLevel="1" collapsed="false">
      <c r="A266" s="7"/>
      <c r="B266" s="29" t="s">
        <v>133</v>
      </c>
      <c r="C266" s="30" t="s">
        <v>134</v>
      </c>
      <c r="D266" s="29" t="s">
        <v>90</v>
      </c>
      <c r="E266" s="31" t="n">
        <v>5</v>
      </c>
      <c r="F266" s="7"/>
      <c r="G266" s="35" t="n">
        <v>14257602.5492277</v>
      </c>
      <c r="H266" s="7"/>
    </row>
    <row r="267" customFormat="false" ht="23.85" hidden="false" customHeight="false" outlineLevel="1" collapsed="false">
      <c r="A267" s="7"/>
      <c r="B267" s="29" t="s">
        <v>135</v>
      </c>
      <c r="C267" s="30" t="s">
        <v>136</v>
      </c>
      <c r="D267" s="29" t="s">
        <v>90</v>
      </c>
      <c r="E267" s="31" t="n">
        <v>1</v>
      </c>
      <c r="F267" s="7"/>
      <c r="G267" s="35" t="n">
        <v>44296876.4474464</v>
      </c>
      <c r="H267" s="7"/>
    </row>
    <row r="268" customFormat="false" ht="15" hidden="false" customHeight="false" outlineLevel="1" collapsed="false">
      <c r="A268" s="7"/>
      <c r="B268" s="29" t="s">
        <v>267</v>
      </c>
      <c r="C268" s="30" t="s">
        <v>355</v>
      </c>
      <c r="D268" s="29" t="s">
        <v>90</v>
      </c>
      <c r="E268" s="31" t="n">
        <v>5</v>
      </c>
      <c r="F268" s="7"/>
      <c r="G268" s="35" t="n">
        <v>4978195.71433625</v>
      </c>
      <c r="H268" s="7"/>
    </row>
    <row r="269" customFormat="false" ht="23.85" hidden="false" customHeight="false" outlineLevel="1" collapsed="false">
      <c r="A269" s="7"/>
      <c r="B269" s="29" t="s">
        <v>135</v>
      </c>
      <c r="C269" s="30" t="s">
        <v>320</v>
      </c>
      <c r="D269" s="29" t="s">
        <v>90</v>
      </c>
      <c r="E269" s="31" t="n">
        <v>1</v>
      </c>
      <c r="F269" s="7"/>
      <c r="G269" s="35" t="n">
        <v>682016.207525268</v>
      </c>
      <c r="H269" s="7"/>
    </row>
    <row r="270" customFormat="false" ht="15" hidden="false" customHeight="false" outlineLevel="1" collapsed="false">
      <c r="A270" s="7"/>
      <c r="B270" s="29" t="s">
        <v>267</v>
      </c>
      <c r="C270" s="30" t="s">
        <v>351</v>
      </c>
      <c r="D270" s="29" t="s">
        <v>90</v>
      </c>
      <c r="E270" s="31" t="n">
        <v>5</v>
      </c>
      <c r="F270" s="7"/>
      <c r="G270" s="35" t="n">
        <v>89190.512467</v>
      </c>
      <c r="H270" s="7"/>
    </row>
    <row r="271" customFormat="false" ht="23.85" hidden="false" customHeight="false" outlineLevel="1" collapsed="false">
      <c r="A271" s="7"/>
      <c r="B271" s="29" t="s">
        <v>135</v>
      </c>
      <c r="C271" s="30" t="s">
        <v>321</v>
      </c>
      <c r="D271" s="29" t="s">
        <v>90</v>
      </c>
      <c r="E271" s="31" t="n">
        <v>1</v>
      </c>
      <c r="F271" s="7"/>
      <c r="G271" s="35" t="n">
        <v>517737.713425012</v>
      </c>
      <c r="H271" s="7"/>
    </row>
    <row r="272" customFormat="false" ht="15" hidden="false" customHeight="false" outlineLevel="1" collapsed="false">
      <c r="A272" s="7"/>
      <c r="B272" s="29" t="s">
        <v>267</v>
      </c>
      <c r="C272" s="30" t="s">
        <v>352</v>
      </c>
      <c r="D272" s="29" t="s">
        <v>90</v>
      </c>
      <c r="E272" s="31" t="n">
        <v>5</v>
      </c>
      <c r="F272" s="7"/>
      <c r="G272" s="35" t="n">
        <v>67720.54251025</v>
      </c>
      <c r="H272" s="7"/>
    </row>
    <row r="273" customFormat="false" ht="23.85" hidden="false" customHeight="false" outlineLevel="1" collapsed="false">
      <c r="A273" s="7"/>
      <c r="B273" s="29" t="s">
        <v>135</v>
      </c>
      <c r="C273" s="30" t="s">
        <v>137</v>
      </c>
      <c r="D273" s="29" t="s">
        <v>90</v>
      </c>
      <c r="E273" s="31" t="n">
        <v>1</v>
      </c>
      <c r="F273" s="7"/>
      <c r="G273" s="35" t="n">
        <v>9709456.14666328</v>
      </c>
      <c r="H273" s="7"/>
    </row>
    <row r="274" customFormat="false" ht="15" hidden="false" customHeight="false" outlineLevel="1" collapsed="false">
      <c r="A274" s="7"/>
      <c r="B274" s="29" t="s">
        <v>267</v>
      </c>
      <c r="C274" s="30" t="s">
        <v>269</v>
      </c>
      <c r="D274" s="29" t="s">
        <v>90</v>
      </c>
      <c r="E274" s="31" t="n">
        <v>5</v>
      </c>
      <c r="F274" s="7"/>
      <c r="G274" s="35" t="n">
        <v>849699.7313735</v>
      </c>
      <c r="H274" s="7"/>
    </row>
    <row r="275" customFormat="false" ht="23.85" hidden="false" customHeight="false" outlineLevel="1" collapsed="false">
      <c r="A275" s="7"/>
      <c r="B275" s="29" t="s">
        <v>135</v>
      </c>
      <c r="C275" s="30" t="s">
        <v>138</v>
      </c>
      <c r="D275" s="29" t="s">
        <v>90</v>
      </c>
      <c r="E275" s="31" t="n">
        <v>1</v>
      </c>
      <c r="F275" s="7"/>
      <c r="G275" s="35" t="n">
        <v>2679403.8376491</v>
      </c>
      <c r="H275" s="7"/>
    </row>
    <row r="276" customFormat="false" ht="15" hidden="false" customHeight="false" outlineLevel="1" collapsed="false">
      <c r="A276" s="7"/>
      <c r="B276" s="29" t="s">
        <v>267</v>
      </c>
      <c r="C276" s="30" t="s">
        <v>270</v>
      </c>
      <c r="D276" s="29" t="s">
        <v>90</v>
      </c>
      <c r="E276" s="31" t="n">
        <v>5</v>
      </c>
      <c r="F276" s="7"/>
      <c r="G276" s="35" t="n">
        <v>325168.78604175</v>
      </c>
      <c r="H276" s="7"/>
    </row>
    <row r="277" customFormat="false" ht="23.85" hidden="false" customHeight="false" outlineLevel="1" collapsed="false">
      <c r="A277" s="7"/>
      <c r="B277" s="29" t="s">
        <v>135</v>
      </c>
      <c r="C277" s="30" t="s">
        <v>138</v>
      </c>
      <c r="D277" s="29" t="s">
        <v>90</v>
      </c>
      <c r="E277" s="31" t="n">
        <v>1</v>
      </c>
      <c r="F277" s="7"/>
      <c r="G277" s="35" t="n">
        <v>2622230.34782303</v>
      </c>
      <c r="H277" s="7"/>
    </row>
    <row r="278" customFormat="false" ht="15" hidden="false" customHeight="false" outlineLevel="1" collapsed="false">
      <c r="A278" s="7"/>
      <c r="B278" s="29" t="s">
        <v>267</v>
      </c>
      <c r="C278" s="30" t="s">
        <v>270</v>
      </c>
      <c r="D278" s="29" t="s">
        <v>90</v>
      </c>
      <c r="E278" s="31" t="n">
        <v>5</v>
      </c>
      <c r="F278" s="7"/>
      <c r="G278" s="35" t="n">
        <v>319315.6909915</v>
      </c>
      <c r="H278" s="7"/>
    </row>
    <row r="279" customFormat="false" ht="15" hidden="false" customHeight="false" outlineLevel="1" collapsed="false">
      <c r="A279" s="7"/>
      <c r="B279" s="29" t="s">
        <v>154</v>
      </c>
      <c r="C279" s="30" t="s">
        <v>155</v>
      </c>
      <c r="D279" s="29" t="s">
        <v>90</v>
      </c>
      <c r="E279" s="31" t="n">
        <v>1</v>
      </c>
      <c r="F279" s="7"/>
      <c r="G279" s="35" t="n">
        <v>1496883.69390544</v>
      </c>
      <c r="H279" s="7"/>
    </row>
    <row r="280" customFormat="false" ht="15" hidden="false" customHeight="false" outlineLevel="1" collapsed="false">
      <c r="A280" s="7"/>
      <c r="B280" s="29" t="s">
        <v>272</v>
      </c>
      <c r="C280" s="30" t="s">
        <v>273</v>
      </c>
      <c r="D280" s="29" t="s">
        <v>90</v>
      </c>
      <c r="E280" s="31" t="n">
        <v>5</v>
      </c>
      <c r="F280" s="7"/>
      <c r="G280" s="35" t="n">
        <v>17847.4038075</v>
      </c>
      <c r="H280" s="7"/>
    </row>
    <row r="281" customFormat="false" ht="15" hidden="false" customHeight="false" outlineLevel="1" collapsed="false">
      <c r="A281" s="7"/>
      <c r="B281" s="29" t="s">
        <v>141</v>
      </c>
      <c r="C281" s="30" t="s">
        <v>142</v>
      </c>
      <c r="D281" s="29" t="s">
        <v>90</v>
      </c>
      <c r="E281" s="31" t="n">
        <v>5</v>
      </c>
      <c r="F281" s="7"/>
      <c r="G281" s="35" t="n">
        <v>7265712.80585231</v>
      </c>
      <c r="H281" s="7"/>
    </row>
    <row r="282" customFormat="false" ht="15" hidden="false" customHeight="false" outlineLevel="1" collapsed="false">
      <c r="A282" s="7"/>
      <c r="B282" s="29" t="s">
        <v>141</v>
      </c>
      <c r="C282" s="30" t="s">
        <v>142</v>
      </c>
      <c r="D282" s="29" t="s">
        <v>90</v>
      </c>
      <c r="E282" s="31" t="n">
        <v>5</v>
      </c>
      <c r="F282" s="7"/>
      <c r="G282" s="35" t="n">
        <v>8004329.95077397</v>
      </c>
      <c r="H282" s="7"/>
    </row>
    <row r="283" customFormat="false" ht="15" hidden="false" customHeight="false" outlineLevel="1" collapsed="false">
      <c r="A283" s="7"/>
      <c r="B283" s="29" t="s">
        <v>265</v>
      </c>
      <c r="C283" s="30" t="s">
        <v>274</v>
      </c>
      <c r="D283" s="29" t="s">
        <v>90</v>
      </c>
      <c r="E283" s="31" t="n">
        <v>5</v>
      </c>
      <c r="F283" s="7"/>
      <c r="G283" s="35" t="n">
        <v>448386.35960675</v>
      </c>
      <c r="H283" s="7"/>
    </row>
    <row r="284" customFormat="false" ht="23.85" hidden="false" customHeight="false" outlineLevel="1" collapsed="false">
      <c r="A284" s="7"/>
      <c r="B284" s="29" t="s">
        <v>143</v>
      </c>
      <c r="C284" s="30" t="s">
        <v>144</v>
      </c>
      <c r="D284" s="29" t="s">
        <v>90</v>
      </c>
      <c r="E284" s="31" t="n">
        <v>5</v>
      </c>
      <c r="F284" s="7"/>
      <c r="G284" s="35" t="n">
        <v>9077880.88456226</v>
      </c>
      <c r="H284" s="7"/>
    </row>
    <row r="285" customFormat="false" ht="15" hidden="false" customHeight="false" outlineLevel="1" collapsed="false">
      <c r="A285" s="7"/>
      <c r="B285" s="29" t="s">
        <v>265</v>
      </c>
      <c r="C285" s="30" t="s">
        <v>275</v>
      </c>
      <c r="D285" s="29" t="s">
        <v>90</v>
      </c>
      <c r="E285" s="31" t="n">
        <v>5</v>
      </c>
      <c r="F285" s="7"/>
      <c r="G285" s="35" t="n">
        <v>65255.1385679</v>
      </c>
      <c r="H285" s="7"/>
    </row>
    <row r="286" customFormat="false" ht="15" hidden="false" customHeight="false" outlineLevel="1" collapsed="false">
      <c r="A286" s="7"/>
      <c r="B286" s="29" t="s">
        <v>145</v>
      </c>
      <c r="C286" s="30" t="s">
        <v>146</v>
      </c>
      <c r="D286" s="29" t="s">
        <v>90</v>
      </c>
      <c r="E286" s="31" t="n">
        <v>1</v>
      </c>
      <c r="F286" s="7"/>
      <c r="G286" s="35" t="n">
        <v>350328.991091722</v>
      </c>
      <c r="H286" s="7"/>
    </row>
    <row r="287" customFormat="false" ht="15" hidden="false" customHeight="false" outlineLevel="1" collapsed="false">
      <c r="A287" s="7"/>
      <c r="B287" s="29" t="s">
        <v>265</v>
      </c>
      <c r="C287" s="30" t="s">
        <v>276</v>
      </c>
      <c r="D287" s="29" t="s">
        <v>90</v>
      </c>
      <c r="E287" s="31" t="n">
        <v>5</v>
      </c>
      <c r="F287" s="7"/>
      <c r="G287" s="35" t="n">
        <v>395025.9712923</v>
      </c>
      <c r="H287" s="7"/>
    </row>
    <row r="288" customFormat="false" ht="15" hidden="false" customHeight="false" outlineLevel="1" collapsed="false">
      <c r="A288" s="7"/>
      <c r="B288" s="29" t="s">
        <v>267</v>
      </c>
      <c r="C288" s="30" t="s">
        <v>277</v>
      </c>
      <c r="D288" s="29" t="s">
        <v>90</v>
      </c>
      <c r="E288" s="31" t="n">
        <v>5</v>
      </c>
      <c r="F288" s="7"/>
      <c r="G288" s="35" t="n">
        <v>13865.86061175</v>
      </c>
      <c r="H288" s="7"/>
    </row>
    <row r="289" customFormat="false" ht="23.85" hidden="false" customHeight="false" outlineLevel="1" collapsed="false">
      <c r="A289" s="7"/>
      <c r="B289" s="29" t="s">
        <v>147</v>
      </c>
      <c r="C289" s="30" t="s">
        <v>148</v>
      </c>
      <c r="D289" s="29" t="s">
        <v>90</v>
      </c>
      <c r="E289" s="31" t="n">
        <v>0.5</v>
      </c>
      <c r="F289" s="7"/>
      <c r="G289" s="35" t="n">
        <v>70462.653770054</v>
      </c>
      <c r="H289" s="7"/>
    </row>
    <row r="290" customFormat="false" ht="15" hidden="false" customHeight="false" outlineLevel="1" collapsed="false">
      <c r="A290" s="7"/>
      <c r="B290" s="29" t="s">
        <v>219</v>
      </c>
      <c r="C290" s="30" t="s">
        <v>220</v>
      </c>
      <c r="D290" s="29" t="s">
        <v>90</v>
      </c>
      <c r="E290" s="31" t="n">
        <v>0.5</v>
      </c>
      <c r="F290" s="7"/>
      <c r="G290" s="35" t="n">
        <v>2543.123622</v>
      </c>
      <c r="H290" s="7"/>
    </row>
    <row r="291" customFormat="false" ht="15" hidden="false" customHeight="false" outlineLevel="1" collapsed="false">
      <c r="A291" s="7"/>
      <c r="B291" s="29" t="s">
        <v>251</v>
      </c>
      <c r="C291" s="30" t="s">
        <v>250</v>
      </c>
      <c r="D291" s="29" t="s">
        <v>90</v>
      </c>
      <c r="E291" s="31" t="n">
        <v>0.2</v>
      </c>
      <c r="F291" s="7"/>
      <c r="G291" s="35" t="n">
        <v>39064.256</v>
      </c>
      <c r="H291" s="7"/>
    </row>
    <row r="292" customFormat="false" ht="23.85" hidden="false" customHeight="false" outlineLevel="1" collapsed="false">
      <c r="A292" s="7"/>
      <c r="B292" s="29" t="s">
        <v>168</v>
      </c>
      <c r="C292" s="30" t="s">
        <v>169</v>
      </c>
      <c r="D292" s="29" t="s">
        <v>90</v>
      </c>
      <c r="E292" s="31" t="n">
        <v>0.01</v>
      </c>
      <c r="F292" s="7"/>
      <c r="G292" s="35" t="n">
        <v>22009.3132793</v>
      </c>
      <c r="H292" s="7"/>
    </row>
    <row r="293" customFormat="false" ht="15" hidden="false" customHeight="false" outlineLevel="1" collapsed="false">
      <c r="A293" s="7"/>
      <c r="B293" s="29" t="s">
        <v>152</v>
      </c>
      <c r="C293" s="30" t="s">
        <v>153</v>
      </c>
      <c r="D293" s="29" t="s">
        <v>90</v>
      </c>
      <c r="E293" s="31" t="n">
        <v>1</v>
      </c>
      <c r="F293" s="7"/>
      <c r="G293" s="35" t="n">
        <v>1214349.82532045</v>
      </c>
      <c r="H293" s="7"/>
    </row>
    <row r="294" customFormat="false" ht="15" hidden="false" customHeight="false" outlineLevel="1" collapsed="false">
      <c r="A294" s="7"/>
      <c r="B294" s="29" t="s">
        <v>172</v>
      </c>
      <c r="C294" s="30" t="s">
        <v>173</v>
      </c>
      <c r="D294" s="29" t="s">
        <v>90</v>
      </c>
      <c r="E294" s="31" t="n">
        <v>5</v>
      </c>
      <c r="F294" s="7"/>
      <c r="G294" s="35" t="n">
        <v>455441.95814575</v>
      </c>
      <c r="H294" s="7"/>
    </row>
    <row r="295" customFormat="false" ht="15" hidden="false" customHeight="false" outlineLevel="1" collapsed="false">
      <c r="A295" s="7"/>
      <c r="B295" s="29" t="s">
        <v>172</v>
      </c>
      <c r="C295" s="30" t="s">
        <v>173</v>
      </c>
      <c r="D295" s="29" t="s">
        <v>90</v>
      </c>
      <c r="E295" s="31" t="n">
        <v>5</v>
      </c>
      <c r="F295" s="7"/>
      <c r="G295" s="35" t="n">
        <v>44000286.0135975</v>
      </c>
      <c r="H295" s="7"/>
    </row>
    <row r="296" customFormat="false" ht="23.85" hidden="false" customHeight="false" outlineLevel="1" collapsed="false">
      <c r="A296" s="7"/>
      <c r="B296" s="29" t="s">
        <v>325</v>
      </c>
      <c r="C296" s="30" t="s">
        <v>326</v>
      </c>
      <c r="D296" s="29" t="s">
        <v>90</v>
      </c>
      <c r="E296" s="31" t="n">
        <v>5</v>
      </c>
      <c r="F296" s="7"/>
      <c r="G296" s="35" t="n">
        <v>17324720.545418</v>
      </c>
      <c r="H296" s="7"/>
    </row>
    <row r="297" customFormat="false" ht="23.85" hidden="false" customHeight="false" outlineLevel="1" collapsed="false">
      <c r="A297" s="7"/>
      <c r="B297" s="29" t="s">
        <v>325</v>
      </c>
      <c r="C297" s="30" t="s">
        <v>327</v>
      </c>
      <c r="D297" s="29" t="s">
        <v>90</v>
      </c>
      <c r="E297" s="31" t="n">
        <v>5</v>
      </c>
      <c r="F297" s="7"/>
      <c r="G297" s="35" t="n">
        <v>6905657.839782</v>
      </c>
      <c r="H297" s="7"/>
    </row>
    <row r="298" customFormat="false" ht="23.85" hidden="false" customHeight="false" outlineLevel="1" collapsed="false">
      <c r="A298" s="7"/>
      <c r="B298" s="29" t="s">
        <v>325</v>
      </c>
      <c r="C298" s="30" t="s">
        <v>326</v>
      </c>
      <c r="D298" s="29" t="s">
        <v>90</v>
      </c>
      <c r="E298" s="31" t="n">
        <v>5</v>
      </c>
      <c r="F298" s="7"/>
      <c r="G298" s="35" t="n">
        <v>8892812.2410465</v>
      </c>
      <c r="H298" s="7"/>
    </row>
    <row r="299" customFormat="false" ht="23.85" hidden="false" customHeight="false" outlineLevel="1" collapsed="false">
      <c r="A299" s="7"/>
      <c r="B299" s="29" t="s">
        <v>325</v>
      </c>
      <c r="C299" s="30" t="s">
        <v>327</v>
      </c>
      <c r="D299" s="29" t="s">
        <v>90</v>
      </c>
      <c r="E299" s="31" t="n">
        <v>5</v>
      </c>
      <c r="F299" s="7"/>
      <c r="G299" s="35" t="n">
        <v>5329366.3763535</v>
      </c>
      <c r="H299" s="7"/>
    </row>
    <row r="300" customFormat="false" ht="23.85" hidden="false" customHeight="false" outlineLevel="1" collapsed="false">
      <c r="A300" s="7"/>
      <c r="B300" s="29" t="s">
        <v>139</v>
      </c>
      <c r="C300" s="30" t="s">
        <v>322</v>
      </c>
      <c r="D300" s="29" t="s">
        <v>90</v>
      </c>
      <c r="E300" s="31" t="n">
        <v>1</v>
      </c>
      <c r="F300" s="7"/>
      <c r="G300" s="35" t="n">
        <v>138730.71824885</v>
      </c>
      <c r="H300" s="7"/>
    </row>
    <row r="301" customFormat="false" ht="23.85" hidden="false" customHeight="false" outlineLevel="1" collapsed="false">
      <c r="A301" s="7"/>
      <c r="B301" s="29" t="s">
        <v>328</v>
      </c>
      <c r="C301" s="30" t="s">
        <v>329</v>
      </c>
      <c r="D301" s="29" t="s">
        <v>90</v>
      </c>
      <c r="E301" s="31" t="n">
        <v>5</v>
      </c>
      <c r="F301" s="7"/>
      <c r="G301" s="35" t="n">
        <v>48205.4813735</v>
      </c>
      <c r="H301" s="7"/>
    </row>
    <row r="302" customFormat="false" ht="15" hidden="false" customHeight="false" outlineLevel="1" collapsed="false">
      <c r="A302" s="7"/>
      <c r="B302" s="29" t="s">
        <v>311</v>
      </c>
      <c r="C302" s="30" t="s">
        <v>312</v>
      </c>
      <c r="D302" s="29" t="s">
        <v>90</v>
      </c>
      <c r="E302" s="31" t="n">
        <v>1</v>
      </c>
      <c r="F302" s="7"/>
      <c r="G302" s="35" t="n">
        <v>5976.13785411</v>
      </c>
      <c r="H302" s="7"/>
    </row>
    <row r="303" customFormat="false" ht="15" hidden="false" customHeight="false" outlineLevel="1" collapsed="false">
      <c r="A303" s="7"/>
      <c r="B303" s="29" t="s">
        <v>343</v>
      </c>
      <c r="C303" s="30" t="s">
        <v>344</v>
      </c>
      <c r="D303" s="29" t="s">
        <v>90</v>
      </c>
      <c r="E303" s="31" t="n">
        <v>5</v>
      </c>
      <c r="F303" s="7"/>
      <c r="G303" s="35" t="n">
        <v>16714.932</v>
      </c>
      <c r="H303" s="7"/>
    </row>
    <row r="304" customFormat="false" ht="15" hidden="false" customHeight="false" outlineLevel="1" collapsed="false">
      <c r="A304" s="7"/>
      <c r="B304" s="29" t="s">
        <v>361</v>
      </c>
      <c r="C304" s="30" t="s">
        <v>362</v>
      </c>
      <c r="D304" s="29" t="s">
        <v>90</v>
      </c>
      <c r="E304" s="31" t="n">
        <v>1</v>
      </c>
      <c r="F304" s="7"/>
      <c r="G304" s="35" t="n">
        <v>0</v>
      </c>
      <c r="H304" s="7"/>
    </row>
    <row r="305" customFormat="false" ht="15" hidden="false" customHeight="false" outlineLevel="1" collapsed="false">
      <c r="A305" s="7"/>
      <c r="B305" s="29" t="s">
        <v>123</v>
      </c>
      <c r="C305" s="30" t="s">
        <v>257</v>
      </c>
      <c r="D305" s="29" t="s">
        <v>90</v>
      </c>
      <c r="E305" s="31" t="n">
        <v>1</v>
      </c>
      <c r="F305" s="7"/>
      <c r="G305" s="35" t="n">
        <v>16519771</v>
      </c>
      <c r="H305" s="7"/>
    </row>
    <row r="306" customFormat="false" ht="15" hidden="false" customHeight="false" outlineLevel="1" collapsed="false">
      <c r="A306" s="7"/>
      <c r="B306" s="29" t="s">
        <v>123</v>
      </c>
      <c r="C306" s="30" t="s">
        <v>159</v>
      </c>
      <c r="D306" s="29" t="s">
        <v>90</v>
      </c>
      <c r="E306" s="31" t="n">
        <v>5</v>
      </c>
      <c r="F306" s="7"/>
      <c r="G306" s="35" t="n">
        <v>8034.37037</v>
      </c>
      <c r="H306" s="7"/>
    </row>
    <row r="307" customFormat="false" ht="15" hidden="false" customHeight="true" outlineLevel="0" collapsed="false">
      <c r="A307" s="12" t="s">
        <v>91</v>
      </c>
      <c r="B307" s="12"/>
      <c r="C307" s="12"/>
      <c r="D307" s="12"/>
      <c r="E307" s="12"/>
      <c r="F307" s="12"/>
      <c r="G307" s="13" t="n">
        <f aca="false">SUMIFS(G6:G306,H6:H306,"?*")</f>
        <v>21441511578.7715</v>
      </c>
      <c r="H307" s="14"/>
    </row>
    <row r="308" customFormat="false" ht="30" hidden="false" customHeight="true" outlineLevel="0" collapsed="false">
      <c r="A308" s="22" t="s">
        <v>114</v>
      </c>
      <c r="B308" s="22"/>
      <c r="C308" s="22"/>
      <c r="D308" s="22"/>
      <c r="E308" s="22"/>
      <c r="F308" s="22"/>
      <c r="G308" s="22"/>
      <c r="H308" s="22"/>
    </row>
  </sheetData>
  <mergeCells count="5">
    <mergeCell ref="A1:H1"/>
    <mergeCell ref="A2:H2"/>
    <mergeCell ref="A3:H3"/>
    <mergeCell ref="A307:F307"/>
    <mergeCell ref="A308:H30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8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62"/>
    <col collapsed="false" customWidth="true" hidden="false" outlineLevel="0" max="4" min="4" style="0" width="10"/>
    <col collapsed="false" customWidth="true" hidden="false" outlineLevel="0" max="5" min="5" style="0" width="15"/>
    <col collapsed="false" customWidth="true" hidden="false" outlineLevel="0" max="6" min="6" style="0" width="14"/>
    <col collapsed="false" customWidth="true" hidden="false" outlineLevel="0" max="7" min="7" style="0" width="18"/>
    <col collapsed="false" customWidth="true" hidden="true" outlineLevel="0" max="8" min="8" style="0" width="30"/>
  </cols>
  <sheetData>
    <row r="1" customFormat="false" ht="17.35" hidden="false" customHeight="true" outlineLevel="0" collapsed="false">
      <c r="A1" s="1" t="s">
        <v>369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true" outlineLevel="0" collapsed="false">
      <c r="A3" s="3" t="s">
        <v>116</v>
      </c>
      <c r="B3" s="3"/>
      <c r="C3" s="3"/>
      <c r="D3" s="3"/>
      <c r="E3" s="3"/>
      <c r="F3" s="3"/>
      <c r="G3" s="3"/>
      <c r="H3" s="3"/>
    </row>
    <row r="5" customFormat="false" ht="31.5" hidden="false" customHeight="true" outlineLevel="0" collapsed="false">
      <c r="A5" s="4" t="s">
        <v>3</v>
      </c>
      <c r="B5" s="4" t="s">
        <v>102</v>
      </c>
      <c r="C5" s="4" t="s">
        <v>103</v>
      </c>
      <c r="D5" s="4" t="s">
        <v>5</v>
      </c>
      <c r="E5" s="4" t="s">
        <v>104</v>
      </c>
      <c r="F5" s="4" t="s">
        <v>105</v>
      </c>
      <c r="G5" s="4" t="s">
        <v>7</v>
      </c>
      <c r="H5" s="4" t="s">
        <v>106</v>
      </c>
    </row>
    <row r="6" customFormat="false" ht="15" hidden="false" customHeight="false" outlineLevel="0" collapsed="false">
      <c r="A6" s="23" t="n">
        <v>1</v>
      </c>
      <c r="B6" s="23" t="s">
        <v>309</v>
      </c>
      <c r="C6" s="24" t="s">
        <v>21</v>
      </c>
      <c r="D6" s="23" t="s">
        <v>22</v>
      </c>
      <c r="E6" s="25" t="n">
        <f aca="false">SUM(E7:E7)</f>
        <v>25.71528</v>
      </c>
      <c r="F6" s="26" t="n">
        <v>2500</v>
      </c>
      <c r="G6" s="27" t="n">
        <f aca="false">E6*F6</f>
        <v>64288.2</v>
      </c>
      <c r="H6" s="28" t="s">
        <v>310</v>
      </c>
    </row>
    <row r="7" customFormat="false" ht="15" hidden="false" customHeight="false" outlineLevel="1" collapsed="false">
      <c r="A7" s="7"/>
      <c r="B7" s="29" t="s">
        <v>311</v>
      </c>
      <c r="C7" s="30" t="s">
        <v>312</v>
      </c>
      <c r="D7" s="29"/>
      <c r="E7" s="31" t="n">
        <v>25.71528</v>
      </c>
      <c r="F7" s="7"/>
      <c r="G7" s="32" t="n">
        <f aca="false">E7*$F$6</f>
        <v>64288.2</v>
      </c>
      <c r="H7" s="7"/>
    </row>
    <row r="8" customFormat="false" ht="15" hidden="false" customHeight="false" outlineLevel="0" collapsed="false">
      <c r="A8" s="23" t="n">
        <v>2</v>
      </c>
      <c r="B8" s="23" t="s">
        <v>125</v>
      </c>
      <c r="C8" s="24" t="s">
        <v>26</v>
      </c>
      <c r="D8" s="23" t="s">
        <v>24</v>
      </c>
      <c r="E8" s="25" t="n">
        <f aca="false">SUM(E9:E9)</f>
        <v>44.5681775</v>
      </c>
      <c r="F8" s="26" t="n">
        <v>254920</v>
      </c>
      <c r="G8" s="27" t="n">
        <f aca="false">E8*F8</f>
        <v>11361319.8083</v>
      </c>
      <c r="H8" s="28" t="s">
        <v>126</v>
      </c>
    </row>
    <row r="9" customFormat="false" ht="15" hidden="false" customHeight="false" outlineLevel="1" collapsed="false">
      <c r="A9" s="7"/>
      <c r="B9" s="29" t="s">
        <v>127</v>
      </c>
      <c r="C9" s="30" t="s">
        <v>128</v>
      </c>
      <c r="D9" s="29"/>
      <c r="E9" s="31" t="n">
        <v>44.5681775</v>
      </c>
      <c r="F9" s="7"/>
      <c r="G9" s="32" t="n">
        <f aca="false">E9*$F$8</f>
        <v>11361319.8083</v>
      </c>
      <c r="H9" s="7"/>
    </row>
    <row r="10" customFormat="false" ht="15" hidden="false" customHeight="false" outlineLevel="0" collapsed="false">
      <c r="A10" s="23" t="n">
        <v>3</v>
      </c>
      <c r="B10" s="23" t="s">
        <v>357</v>
      </c>
      <c r="C10" s="24" t="s">
        <v>27</v>
      </c>
      <c r="D10" s="23" t="s">
        <v>24</v>
      </c>
      <c r="E10" s="25" t="n">
        <f aca="false">SUM(E11:E11)</f>
        <v>15741.355</v>
      </c>
      <c r="F10" s="26" t="n">
        <v>120000</v>
      </c>
      <c r="G10" s="27" t="n">
        <f aca="false">E10*F10</f>
        <v>1888962600</v>
      </c>
      <c r="H10" s="28" t="s">
        <v>358</v>
      </c>
    </row>
    <row r="11" customFormat="false" ht="15" hidden="false" customHeight="false" outlineLevel="1" collapsed="false">
      <c r="A11" s="7"/>
      <c r="B11" s="29" t="s">
        <v>370</v>
      </c>
      <c r="C11" s="30" t="s">
        <v>360</v>
      </c>
      <c r="D11" s="29"/>
      <c r="E11" s="31" t="n">
        <v>15741.355</v>
      </c>
      <c r="F11" s="7"/>
      <c r="G11" s="32" t="n">
        <f aca="false">E11*$F$10</f>
        <v>1888962600</v>
      </c>
      <c r="H11" s="7"/>
    </row>
    <row r="12" customFormat="false" ht="15" hidden="false" customHeight="false" outlineLevel="0" collapsed="false">
      <c r="A12" s="23" t="n">
        <v>4</v>
      </c>
      <c r="B12" s="23" t="s">
        <v>131</v>
      </c>
      <c r="C12" s="24" t="s">
        <v>28</v>
      </c>
      <c r="D12" s="23" t="s">
        <v>24</v>
      </c>
      <c r="E12" s="25" t="n">
        <f aca="false">SUM(E13:E27)</f>
        <v>3441.42478105</v>
      </c>
      <c r="F12" s="26" t="n">
        <v>498275</v>
      </c>
      <c r="G12" s="27" t="n">
        <f aca="false">E12*F12</f>
        <v>1714775932.77769</v>
      </c>
      <c r="H12" s="28" t="s">
        <v>132</v>
      </c>
    </row>
    <row r="13" customFormat="false" ht="23.85" hidden="false" customHeight="false" outlineLevel="1" collapsed="false">
      <c r="A13" s="7"/>
      <c r="B13" s="29" t="s">
        <v>133</v>
      </c>
      <c r="C13" s="30" t="s">
        <v>134</v>
      </c>
      <c r="D13" s="29"/>
      <c r="E13" s="31" t="n">
        <v>147.75863925</v>
      </c>
      <c r="F13" s="7"/>
      <c r="G13" s="32" t="n">
        <f aca="false">E13*$F$12</f>
        <v>73624435.9722938</v>
      </c>
      <c r="H13" s="7"/>
    </row>
    <row r="14" customFormat="false" ht="23.85" hidden="false" customHeight="false" outlineLevel="1" collapsed="false">
      <c r="A14" s="7"/>
      <c r="B14" s="29" t="s">
        <v>135</v>
      </c>
      <c r="C14" s="30" t="s">
        <v>136</v>
      </c>
      <c r="D14" s="29"/>
      <c r="E14" s="31" t="n">
        <v>2088.59364595</v>
      </c>
      <c r="F14" s="7"/>
      <c r="G14" s="32" t="n">
        <f aca="false">E14*$F$12</f>
        <v>1040693998.93574</v>
      </c>
      <c r="H14" s="7"/>
    </row>
    <row r="15" customFormat="false" ht="23.85" hidden="false" customHeight="false" outlineLevel="1" collapsed="false">
      <c r="A15" s="7"/>
      <c r="B15" s="29" t="s">
        <v>135</v>
      </c>
      <c r="C15" s="30" t="s">
        <v>320</v>
      </c>
      <c r="D15" s="29"/>
      <c r="E15" s="31" t="n">
        <v>35.2684486</v>
      </c>
      <c r="F15" s="7"/>
      <c r="G15" s="32" t="n">
        <f aca="false">E15*$F$12</f>
        <v>17573386.226165</v>
      </c>
      <c r="H15" s="7"/>
    </row>
    <row r="16" customFormat="false" ht="23.85" hidden="false" customHeight="false" outlineLevel="1" collapsed="false">
      <c r="A16" s="7"/>
      <c r="B16" s="29" t="s">
        <v>135</v>
      </c>
      <c r="C16" s="30" t="s">
        <v>321</v>
      </c>
      <c r="D16" s="29"/>
      <c r="E16" s="31" t="n">
        <v>24.35810195</v>
      </c>
      <c r="F16" s="7"/>
      <c r="G16" s="32" t="n">
        <f aca="false">E16*$F$12</f>
        <v>12137033.2491362</v>
      </c>
      <c r="H16" s="7"/>
    </row>
    <row r="17" customFormat="false" ht="23.85" hidden="false" customHeight="false" outlineLevel="1" collapsed="false">
      <c r="A17" s="7"/>
      <c r="B17" s="29" t="s">
        <v>133</v>
      </c>
      <c r="C17" s="30" t="s">
        <v>151</v>
      </c>
      <c r="D17" s="29"/>
      <c r="E17" s="31" t="n">
        <v>4.60408475</v>
      </c>
      <c r="F17" s="7"/>
      <c r="G17" s="32" t="n">
        <f aca="false">E17*$F$12</f>
        <v>2294100.32880625</v>
      </c>
      <c r="H17" s="7"/>
    </row>
    <row r="18" customFormat="false" ht="23.85" hidden="false" customHeight="false" outlineLevel="1" collapsed="false">
      <c r="A18" s="7"/>
      <c r="B18" s="29" t="s">
        <v>135</v>
      </c>
      <c r="C18" s="30" t="s">
        <v>137</v>
      </c>
      <c r="D18" s="29"/>
      <c r="E18" s="31" t="n">
        <v>460.5218009</v>
      </c>
      <c r="F18" s="7"/>
      <c r="G18" s="32" t="n">
        <f aca="false">E18*$F$12</f>
        <v>229466500.343447</v>
      </c>
      <c r="H18" s="7"/>
    </row>
    <row r="19" customFormat="false" ht="23.85" hidden="false" customHeight="false" outlineLevel="1" collapsed="false">
      <c r="A19" s="7"/>
      <c r="B19" s="29" t="s">
        <v>135</v>
      </c>
      <c r="C19" s="30" t="s">
        <v>138</v>
      </c>
      <c r="D19" s="29"/>
      <c r="E19" s="31" t="n">
        <v>126.6968472</v>
      </c>
      <c r="F19" s="7"/>
      <c r="G19" s="32" t="n">
        <f aca="false">E19*$F$12</f>
        <v>63129871.53858</v>
      </c>
      <c r="H19" s="7"/>
    </row>
    <row r="20" customFormat="false" ht="23.85" hidden="false" customHeight="false" outlineLevel="1" collapsed="false">
      <c r="A20" s="7"/>
      <c r="B20" s="29" t="s">
        <v>135</v>
      </c>
      <c r="C20" s="30" t="s">
        <v>138</v>
      </c>
      <c r="D20" s="29"/>
      <c r="E20" s="31" t="n">
        <v>124.73124895</v>
      </c>
      <c r="F20" s="7"/>
      <c r="G20" s="32" t="n">
        <f aca="false">E20*$F$12</f>
        <v>62150463.0705612</v>
      </c>
      <c r="H20" s="7"/>
    </row>
    <row r="21" customFormat="false" ht="15" hidden="false" customHeight="false" outlineLevel="1" collapsed="false">
      <c r="A21" s="7"/>
      <c r="B21" s="29" t="s">
        <v>141</v>
      </c>
      <c r="C21" s="30" t="s">
        <v>142</v>
      </c>
      <c r="D21" s="29"/>
      <c r="E21" s="31" t="n">
        <v>75.81530375</v>
      </c>
      <c r="F21" s="7"/>
      <c r="G21" s="32" t="n">
        <f aca="false">E21*$F$12</f>
        <v>37776870.4760313</v>
      </c>
      <c r="H21" s="7"/>
    </row>
    <row r="22" customFormat="false" ht="15" hidden="false" customHeight="false" outlineLevel="1" collapsed="false">
      <c r="A22" s="7"/>
      <c r="B22" s="29" t="s">
        <v>141</v>
      </c>
      <c r="C22" s="30" t="s">
        <v>142</v>
      </c>
      <c r="D22" s="29"/>
      <c r="E22" s="31" t="n">
        <v>83.88920825</v>
      </c>
      <c r="F22" s="7"/>
      <c r="G22" s="32" t="n">
        <f aca="false">E22*$F$12</f>
        <v>41799895.2407688</v>
      </c>
      <c r="H22" s="7"/>
    </row>
    <row r="23" customFormat="false" ht="23.85" hidden="false" customHeight="false" outlineLevel="1" collapsed="false">
      <c r="A23" s="7"/>
      <c r="B23" s="29" t="s">
        <v>143</v>
      </c>
      <c r="C23" s="30" t="s">
        <v>144</v>
      </c>
      <c r="D23" s="29"/>
      <c r="E23" s="31" t="n">
        <v>94.5461435</v>
      </c>
      <c r="F23" s="7"/>
      <c r="G23" s="32" t="n">
        <f aca="false">E23*$F$12</f>
        <v>47109979.6524625</v>
      </c>
      <c r="H23" s="7"/>
    </row>
    <row r="24" customFormat="false" ht="15" hidden="false" customHeight="false" outlineLevel="1" collapsed="false">
      <c r="A24" s="7"/>
      <c r="B24" s="29" t="s">
        <v>145</v>
      </c>
      <c r="C24" s="30" t="s">
        <v>146</v>
      </c>
      <c r="D24" s="29"/>
      <c r="E24" s="31" t="n">
        <v>17.9316985</v>
      </c>
      <c r="F24" s="7"/>
      <c r="G24" s="32" t="n">
        <f aca="false">E24*$F$12</f>
        <v>8934917.0700875</v>
      </c>
      <c r="H24" s="7"/>
    </row>
    <row r="25" customFormat="false" ht="15" hidden="false" customHeight="false" outlineLevel="1" collapsed="false">
      <c r="A25" s="7"/>
      <c r="B25" s="29" t="s">
        <v>152</v>
      </c>
      <c r="C25" s="30" t="s">
        <v>153</v>
      </c>
      <c r="D25" s="29"/>
      <c r="E25" s="31" t="n">
        <v>57.14375</v>
      </c>
      <c r="F25" s="7"/>
      <c r="G25" s="32" t="n">
        <f aca="false">E25*$F$12</f>
        <v>28473302.03125</v>
      </c>
      <c r="H25" s="7"/>
    </row>
    <row r="26" customFormat="false" ht="23.85" hidden="false" customHeight="false" outlineLevel="1" collapsed="false">
      <c r="A26" s="7"/>
      <c r="B26" s="29" t="s">
        <v>147</v>
      </c>
      <c r="C26" s="30" t="s">
        <v>148</v>
      </c>
      <c r="D26" s="29"/>
      <c r="E26" s="31" t="n">
        <v>6.633025</v>
      </c>
      <c r="F26" s="7"/>
      <c r="G26" s="32" t="n">
        <f aca="false">E26*$F$12</f>
        <v>3305070.531875</v>
      </c>
      <c r="H26" s="7"/>
    </row>
    <row r="27" customFormat="false" ht="15" hidden="false" customHeight="false" outlineLevel="1" collapsed="false">
      <c r="A27" s="7"/>
      <c r="B27" s="29" t="s">
        <v>154</v>
      </c>
      <c r="C27" s="30" t="s">
        <v>155</v>
      </c>
      <c r="D27" s="29"/>
      <c r="E27" s="31" t="n">
        <v>92.9328345</v>
      </c>
      <c r="F27" s="7"/>
      <c r="G27" s="32" t="n">
        <f aca="false">E27*$F$12</f>
        <v>46306108.1104875</v>
      </c>
      <c r="H27" s="7"/>
    </row>
    <row r="28" customFormat="false" ht="22.35" hidden="false" customHeight="false" outlineLevel="0" collapsed="false">
      <c r="A28" s="23" t="n">
        <v>5</v>
      </c>
      <c r="B28" s="23" t="s">
        <v>323</v>
      </c>
      <c r="C28" s="24" t="s">
        <v>29</v>
      </c>
      <c r="D28" s="23" t="s">
        <v>18</v>
      </c>
      <c r="E28" s="25" t="n">
        <f aca="false">SUM(E29:E32)</f>
        <v>585.8</v>
      </c>
      <c r="F28" s="26" t="n">
        <v>2600000</v>
      </c>
      <c r="G28" s="27" t="n">
        <f aca="false">E28*F28</f>
        <v>1523080000</v>
      </c>
      <c r="H28" s="28" t="s">
        <v>324</v>
      </c>
    </row>
    <row r="29" customFormat="false" ht="23.85" hidden="false" customHeight="false" outlineLevel="1" collapsed="false">
      <c r="A29" s="7"/>
      <c r="B29" s="29" t="s">
        <v>325</v>
      </c>
      <c r="C29" s="30" t="s">
        <v>326</v>
      </c>
      <c r="D29" s="29"/>
      <c r="E29" s="31" t="n">
        <v>268.0237</v>
      </c>
      <c r="F29" s="7"/>
      <c r="G29" s="32" t="n">
        <f aca="false">E29*$F$28</f>
        <v>696861620</v>
      </c>
      <c r="H29" s="7"/>
    </row>
    <row r="30" customFormat="false" ht="23.85" hidden="false" customHeight="false" outlineLevel="1" collapsed="false">
      <c r="A30" s="7"/>
      <c r="B30" s="29" t="s">
        <v>325</v>
      </c>
      <c r="C30" s="30" t="s">
        <v>327</v>
      </c>
      <c r="D30" s="29"/>
      <c r="E30" s="31" t="n">
        <v>111.7363</v>
      </c>
      <c r="F30" s="7"/>
      <c r="G30" s="32" t="n">
        <f aca="false">E30*$F$28</f>
        <v>290514380</v>
      </c>
      <c r="H30" s="7"/>
    </row>
    <row r="31" customFormat="false" ht="23.85" hidden="false" customHeight="false" outlineLevel="1" collapsed="false">
      <c r="A31" s="7"/>
      <c r="B31" s="29" t="s">
        <v>325</v>
      </c>
      <c r="C31" s="30" t="s">
        <v>326</v>
      </c>
      <c r="D31" s="29"/>
      <c r="E31" s="31" t="n">
        <v>126.7146</v>
      </c>
      <c r="F31" s="7"/>
      <c r="G31" s="32" t="n">
        <f aca="false">E31*$F$28</f>
        <v>329457960</v>
      </c>
      <c r="H31" s="7"/>
    </row>
    <row r="32" customFormat="false" ht="23.85" hidden="false" customHeight="false" outlineLevel="1" collapsed="false">
      <c r="A32" s="7"/>
      <c r="B32" s="29" t="s">
        <v>325</v>
      </c>
      <c r="C32" s="30" t="s">
        <v>327</v>
      </c>
      <c r="D32" s="29"/>
      <c r="E32" s="31" t="n">
        <v>79.3254</v>
      </c>
      <c r="F32" s="7"/>
      <c r="G32" s="32" t="n">
        <f aca="false">E32*$F$28</f>
        <v>206246040</v>
      </c>
      <c r="H32" s="7"/>
    </row>
    <row r="33" customFormat="false" ht="15" hidden="false" customHeight="false" outlineLevel="0" collapsed="false">
      <c r="A33" s="23" t="n">
        <v>6</v>
      </c>
      <c r="B33" s="23" t="s">
        <v>157</v>
      </c>
      <c r="C33" s="24" t="s">
        <v>30</v>
      </c>
      <c r="D33" s="23" t="s">
        <v>20</v>
      </c>
      <c r="E33" s="25" t="n">
        <f aca="false">SUM(E34:E34)</f>
        <v>12.58998</v>
      </c>
      <c r="F33" s="26" t="n">
        <v>13730</v>
      </c>
      <c r="G33" s="27" t="n">
        <f aca="false">E33*F33</f>
        <v>172860.4254</v>
      </c>
      <c r="H33" s="28" t="s">
        <v>158</v>
      </c>
    </row>
    <row r="34" customFormat="false" ht="15" hidden="false" customHeight="false" outlineLevel="1" collapsed="false">
      <c r="A34" s="7"/>
      <c r="B34" s="29" t="s">
        <v>123</v>
      </c>
      <c r="C34" s="30" t="s">
        <v>159</v>
      </c>
      <c r="D34" s="29"/>
      <c r="E34" s="31" t="n">
        <v>12.58998</v>
      </c>
      <c r="F34" s="7"/>
      <c r="G34" s="32" t="n">
        <f aca="false">E34*$F$33</f>
        <v>172860.4254</v>
      </c>
      <c r="H34" s="7"/>
    </row>
    <row r="35" customFormat="false" ht="15" hidden="false" customHeight="false" outlineLevel="0" collapsed="false">
      <c r="A35" s="23" t="n">
        <v>7</v>
      </c>
      <c r="B35" s="23" t="s">
        <v>164</v>
      </c>
      <c r="C35" s="24" t="s">
        <v>33</v>
      </c>
      <c r="D35" s="23" t="s">
        <v>20</v>
      </c>
      <c r="E35" s="25" t="n">
        <f aca="false">SUM(E36:E36)</f>
        <v>2.822495</v>
      </c>
      <c r="F35" s="26" t="n">
        <v>15000</v>
      </c>
      <c r="G35" s="27" t="n">
        <f aca="false">E35*F35</f>
        <v>42337.425</v>
      </c>
      <c r="H35" s="28" t="s">
        <v>165</v>
      </c>
    </row>
    <row r="36" customFormat="false" ht="23.85" hidden="false" customHeight="false" outlineLevel="1" collapsed="false">
      <c r="A36" s="7"/>
      <c r="B36" s="29" t="s">
        <v>168</v>
      </c>
      <c r="C36" s="30" t="s">
        <v>169</v>
      </c>
      <c r="D36" s="29"/>
      <c r="E36" s="31" t="n">
        <v>2.822495</v>
      </c>
      <c r="F36" s="7"/>
      <c r="G36" s="32" t="n">
        <f aca="false">E36*$F$35</f>
        <v>42337.425</v>
      </c>
      <c r="H36" s="7"/>
    </row>
    <row r="37" customFormat="false" ht="15" hidden="false" customHeight="false" outlineLevel="0" collapsed="false">
      <c r="A37" s="23" t="n">
        <v>8</v>
      </c>
      <c r="B37" s="23" t="s">
        <v>170</v>
      </c>
      <c r="C37" s="24" t="s">
        <v>34</v>
      </c>
      <c r="D37" s="23" t="s">
        <v>20</v>
      </c>
      <c r="E37" s="25" t="n">
        <f aca="false">SUM(E38:E39)</f>
        <v>373.727382</v>
      </c>
      <c r="F37" s="26" t="n">
        <v>16480</v>
      </c>
      <c r="G37" s="27" t="n">
        <f aca="false">E37*F37</f>
        <v>6159027.25536</v>
      </c>
      <c r="H37" s="28" t="s">
        <v>171</v>
      </c>
    </row>
    <row r="38" customFormat="false" ht="15" hidden="false" customHeight="false" outlineLevel="1" collapsed="false">
      <c r="A38" s="7"/>
      <c r="B38" s="29" t="s">
        <v>172</v>
      </c>
      <c r="C38" s="30" t="s">
        <v>173</v>
      </c>
      <c r="D38" s="29"/>
      <c r="E38" s="31" t="n">
        <v>183.229902</v>
      </c>
      <c r="F38" s="7"/>
      <c r="G38" s="32" t="n">
        <f aca="false">E38*$F$37</f>
        <v>3019628.78496</v>
      </c>
      <c r="H38" s="7"/>
    </row>
    <row r="39" customFormat="false" ht="15" hidden="false" customHeight="false" outlineLevel="1" collapsed="false">
      <c r="A39" s="7"/>
      <c r="B39" s="29" t="s">
        <v>172</v>
      </c>
      <c r="C39" s="30" t="s">
        <v>173</v>
      </c>
      <c r="D39" s="29"/>
      <c r="E39" s="31" t="n">
        <v>190.49748</v>
      </c>
      <c r="F39" s="7"/>
      <c r="G39" s="32" t="n">
        <f aca="false">E39*$F$37</f>
        <v>3139398.4704</v>
      </c>
      <c r="H39" s="7"/>
    </row>
    <row r="40" customFormat="false" ht="15" hidden="false" customHeight="false" outlineLevel="0" collapsed="false">
      <c r="A40" s="23" t="n">
        <v>9</v>
      </c>
      <c r="B40" s="23" t="s">
        <v>330</v>
      </c>
      <c r="C40" s="24" t="s">
        <v>35</v>
      </c>
      <c r="D40" s="23" t="s">
        <v>22</v>
      </c>
      <c r="E40" s="25" t="n">
        <f aca="false">SUM(E41:E44)</f>
        <v>2.552</v>
      </c>
      <c r="F40" s="26" t="n">
        <v>19570</v>
      </c>
      <c r="G40" s="27" t="n">
        <f aca="false">E40*F40</f>
        <v>49942.64</v>
      </c>
      <c r="H40" s="28" t="s">
        <v>331</v>
      </c>
    </row>
    <row r="41" customFormat="false" ht="23.85" hidden="false" customHeight="false" outlineLevel="1" collapsed="false">
      <c r="A41" s="7"/>
      <c r="B41" s="29" t="s">
        <v>325</v>
      </c>
      <c r="C41" s="30" t="s">
        <v>326</v>
      </c>
      <c r="D41" s="29"/>
      <c r="E41" s="31" t="n">
        <v>1.167628</v>
      </c>
      <c r="F41" s="7"/>
      <c r="G41" s="32" t="n">
        <f aca="false">E41*$F$40</f>
        <v>22850.47996</v>
      </c>
      <c r="H41" s="7"/>
    </row>
    <row r="42" customFormat="false" ht="23.85" hidden="false" customHeight="false" outlineLevel="1" collapsed="false">
      <c r="A42" s="7"/>
      <c r="B42" s="29" t="s">
        <v>325</v>
      </c>
      <c r="C42" s="30" t="s">
        <v>327</v>
      </c>
      <c r="D42" s="29"/>
      <c r="E42" s="31" t="n">
        <v>0.486772</v>
      </c>
      <c r="F42" s="7"/>
      <c r="G42" s="32" t="n">
        <f aca="false">E42*$F$40</f>
        <v>9526.12804</v>
      </c>
      <c r="H42" s="7"/>
    </row>
    <row r="43" customFormat="false" ht="23.85" hidden="false" customHeight="false" outlineLevel="1" collapsed="false">
      <c r="A43" s="7"/>
      <c r="B43" s="29" t="s">
        <v>325</v>
      </c>
      <c r="C43" s="30" t="s">
        <v>326</v>
      </c>
      <c r="D43" s="29"/>
      <c r="E43" s="31" t="n">
        <v>0.552024</v>
      </c>
      <c r="F43" s="7"/>
      <c r="G43" s="32" t="n">
        <f aca="false">E43*$F$40</f>
        <v>10803.10968</v>
      </c>
      <c r="H43" s="7"/>
    </row>
    <row r="44" customFormat="false" ht="23.85" hidden="false" customHeight="false" outlineLevel="1" collapsed="false">
      <c r="A44" s="7"/>
      <c r="B44" s="29" t="s">
        <v>325</v>
      </c>
      <c r="C44" s="30" t="s">
        <v>327</v>
      </c>
      <c r="D44" s="29"/>
      <c r="E44" s="31" t="n">
        <v>0.345576</v>
      </c>
      <c r="F44" s="7"/>
      <c r="G44" s="32" t="n">
        <f aca="false">E44*$F$40</f>
        <v>6762.92232</v>
      </c>
      <c r="H44" s="7"/>
    </row>
    <row r="45" customFormat="false" ht="15" hidden="false" customHeight="false" outlineLevel="0" collapsed="false">
      <c r="A45" s="23" t="n">
        <v>10</v>
      </c>
      <c r="B45" s="23" t="s">
        <v>174</v>
      </c>
      <c r="C45" s="24" t="s">
        <v>37</v>
      </c>
      <c r="D45" s="23" t="s">
        <v>24</v>
      </c>
      <c r="E45" s="25" t="n">
        <f aca="false">SUM(E46:E59)</f>
        <v>5432.2565442</v>
      </c>
      <c r="F45" s="26" t="n">
        <v>473574</v>
      </c>
      <c r="G45" s="27" t="n">
        <f aca="false">E45*F45</f>
        <v>2572575460.66297</v>
      </c>
      <c r="H45" s="28" t="s">
        <v>175</v>
      </c>
    </row>
    <row r="46" customFormat="false" ht="23.85" hidden="false" customHeight="false" outlineLevel="1" collapsed="false">
      <c r="A46" s="7"/>
      <c r="B46" s="29" t="s">
        <v>133</v>
      </c>
      <c r="C46" s="30" t="s">
        <v>134</v>
      </c>
      <c r="D46" s="29"/>
      <c r="E46" s="31" t="n">
        <v>239.703876</v>
      </c>
      <c r="F46" s="7"/>
      <c r="G46" s="32" t="n">
        <f aca="false">E46*$F$45</f>
        <v>113517523.372824</v>
      </c>
      <c r="H46" s="7"/>
    </row>
    <row r="47" customFormat="false" ht="23.85" hidden="false" customHeight="false" outlineLevel="1" collapsed="false">
      <c r="A47" s="7"/>
      <c r="B47" s="29" t="s">
        <v>135</v>
      </c>
      <c r="C47" s="30" t="s">
        <v>136</v>
      </c>
      <c r="D47" s="29"/>
      <c r="E47" s="31" t="n">
        <v>3388.2552984</v>
      </c>
      <c r="F47" s="7"/>
      <c r="G47" s="32" t="n">
        <f aca="false">E47*$F$45</f>
        <v>1604589614.68448</v>
      </c>
      <c r="H47" s="7"/>
    </row>
    <row r="48" customFormat="false" ht="23.85" hidden="false" customHeight="false" outlineLevel="1" collapsed="false">
      <c r="A48" s="7"/>
      <c r="B48" s="29" t="s">
        <v>135</v>
      </c>
      <c r="C48" s="30" t="s">
        <v>320</v>
      </c>
      <c r="D48" s="29"/>
      <c r="E48" s="31" t="n">
        <v>57.2148192</v>
      </c>
      <c r="F48" s="7"/>
      <c r="G48" s="32" t="n">
        <f aca="false">E48*$F$45</f>
        <v>27095450.7878208</v>
      </c>
      <c r="H48" s="7"/>
    </row>
    <row r="49" customFormat="false" ht="23.85" hidden="false" customHeight="false" outlineLevel="1" collapsed="false">
      <c r="A49" s="7"/>
      <c r="B49" s="29" t="s">
        <v>135</v>
      </c>
      <c r="C49" s="30" t="s">
        <v>321</v>
      </c>
      <c r="D49" s="29"/>
      <c r="E49" s="31" t="n">
        <v>39.5153304</v>
      </c>
      <c r="F49" s="7"/>
      <c r="G49" s="32" t="n">
        <f aca="false">E49*$F$45</f>
        <v>18713433.0788496</v>
      </c>
      <c r="H49" s="7"/>
    </row>
    <row r="50" customFormat="false" ht="23.85" hidden="false" customHeight="false" outlineLevel="1" collapsed="false">
      <c r="A50" s="7"/>
      <c r="B50" s="29" t="s">
        <v>133</v>
      </c>
      <c r="C50" s="30" t="s">
        <v>151</v>
      </c>
      <c r="D50" s="29"/>
      <c r="E50" s="31" t="n">
        <v>7.469052</v>
      </c>
      <c r="F50" s="7"/>
      <c r="G50" s="32" t="n">
        <f aca="false">E50*$F$45</f>
        <v>3537148.831848</v>
      </c>
      <c r="H50" s="7"/>
    </row>
    <row r="51" customFormat="false" ht="23.85" hidden="false" customHeight="false" outlineLevel="1" collapsed="false">
      <c r="A51" s="7"/>
      <c r="B51" s="29" t="s">
        <v>135</v>
      </c>
      <c r="C51" s="30" t="s">
        <v>137</v>
      </c>
      <c r="D51" s="29"/>
      <c r="E51" s="31" t="n">
        <v>747.0890448</v>
      </c>
      <c r="F51" s="7"/>
      <c r="G51" s="32" t="n">
        <f aca="false">E51*$F$45</f>
        <v>353801947.302115</v>
      </c>
      <c r="H51" s="7"/>
    </row>
    <row r="52" customFormat="false" ht="23.85" hidden="false" customHeight="false" outlineLevel="1" collapsed="false">
      <c r="A52" s="7"/>
      <c r="B52" s="29" t="s">
        <v>135</v>
      </c>
      <c r="C52" s="30" t="s">
        <v>138</v>
      </c>
      <c r="D52" s="29"/>
      <c r="E52" s="31" t="n">
        <v>205.5360384</v>
      </c>
      <c r="F52" s="7"/>
      <c r="G52" s="32" t="n">
        <f aca="false">E52*$F$45</f>
        <v>97336523.8492416</v>
      </c>
      <c r="H52" s="7"/>
    </row>
    <row r="53" customFormat="false" ht="23.85" hidden="false" customHeight="false" outlineLevel="1" collapsed="false">
      <c r="A53" s="7"/>
      <c r="B53" s="29" t="s">
        <v>135</v>
      </c>
      <c r="C53" s="30" t="s">
        <v>138</v>
      </c>
      <c r="D53" s="29"/>
      <c r="E53" s="31" t="n">
        <v>202.3473144</v>
      </c>
      <c r="F53" s="7"/>
      <c r="G53" s="32" t="n">
        <f aca="false">E53*$F$45</f>
        <v>95826427.0696656</v>
      </c>
      <c r="H53" s="7"/>
    </row>
    <row r="54" customFormat="false" ht="15" hidden="false" customHeight="false" outlineLevel="1" collapsed="false">
      <c r="A54" s="7"/>
      <c r="B54" s="29" t="s">
        <v>141</v>
      </c>
      <c r="C54" s="30" t="s">
        <v>142</v>
      </c>
      <c r="D54" s="29"/>
      <c r="E54" s="31" t="n">
        <v>122.99262</v>
      </c>
      <c r="F54" s="7"/>
      <c r="G54" s="32" t="n">
        <f aca="false">E54*$F$45</f>
        <v>58246107.02388</v>
      </c>
      <c r="H54" s="7"/>
    </row>
    <row r="55" customFormat="false" ht="15" hidden="false" customHeight="false" outlineLevel="1" collapsed="false">
      <c r="A55" s="7"/>
      <c r="B55" s="29" t="s">
        <v>141</v>
      </c>
      <c r="C55" s="30" t="s">
        <v>142</v>
      </c>
      <c r="D55" s="29"/>
      <c r="E55" s="31" t="n">
        <v>136.090644</v>
      </c>
      <c r="F55" s="7"/>
      <c r="G55" s="32" t="n">
        <f aca="false">E55*$F$45</f>
        <v>64448990.641656</v>
      </c>
      <c r="H55" s="7"/>
    </row>
    <row r="56" customFormat="false" ht="23.85" hidden="false" customHeight="false" outlineLevel="1" collapsed="false">
      <c r="A56" s="7"/>
      <c r="B56" s="29" t="s">
        <v>143</v>
      </c>
      <c r="C56" s="30" t="s">
        <v>144</v>
      </c>
      <c r="D56" s="29"/>
      <c r="E56" s="31" t="n">
        <v>153.379032</v>
      </c>
      <c r="F56" s="7"/>
      <c r="G56" s="32" t="n">
        <f aca="false">E56*$F$45</f>
        <v>72636321.700368</v>
      </c>
      <c r="H56" s="7"/>
    </row>
    <row r="57" customFormat="false" ht="15" hidden="false" customHeight="false" outlineLevel="1" collapsed="false">
      <c r="A57" s="7"/>
      <c r="B57" s="29" t="s">
        <v>145</v>
      </c>
      <c r="C57" s="30" t="s">
        <v>146</v>
      </c>
      <c r="D57" s="29"/>
      <c r="E57" s="31" t="n">
        <v>29.089992</v>
      </c>
      <c r="F57" s="7"/>
      <c r="G57" s="32" t="n">
        <f aca="false">E57*$F$45</f>
        <v>13776263.871408</v>
      </c>
      <c r="H57" s="7"/>
    </row>
    <row r="58" customFormat="false" ht="15" hidden="false" customHeight="false" outlineLevel="1" collapsed="false">
      <c r="A58" s="7"/>
      <c r="B58" s="29" t="s">
        <v>152</v>
      </c>
      <c r="C58" s="30" t="s">
        <v>153</v>
      </c>
      <c r="D58" s="29"/>
      <c r="E58" s="31" t="n">
        <v>92.80145</v>
      </c>
      <c r="F58" s="7"/>
      <c r="G58" s="32" t="n">
        <f aca="false">E58*$F$45</f>
        <v>43948353.8823</v>
      </c>
      <c r="H58" s="7"/>
    </row>
    <row r="59" customFormat="false" ht="23.85" hidden="false" customHeight="false" outlineLevel="1" collapsed="false">
      <c r="A59" s="7"/>
      <c r="B59" s="29" t="s">
        <v>147</v>
      </c>
      <c r="C59" s="30" t="s">
        <v>148</v>
      </c>
      <c r="D59" s="29"/>
      <c r="E59" s="31" t="n">
        <v>10.7720326</v>
      </c>
      <c r="F59" s="7"/>
      <c r="G59" s="32" t="n">
        <f aca="false">E59*$F$45</f>
        <v>5101354.5665124</v>
      </c>
      <c r="H59" s="7"/>
    </row>
    <row r="60" customFormat="false" ht="15" hidden="false" customHeight="false" outlineLevel="0" collapsed="false">
      <c r="A60" s="23" t="n">
        <v>11</v>
      </c>
      <c r="B60" s="23" t="s">
        <v>174</v>
      </c>
      <c r="C60" s="24" t="s">
        <v>37</v>
      </c>
      <c r="D60" s="23" t="s">
        <v>24</v>
      </c>
      <c r="E60" s="25" t="n">
        <f aca="false">SUM(E61:E61)</f>
        <v>151.14938025</v>
      </c>
      <c r="F60" s="26" t="n">
        <v>357665</v>
      </c>
      <c r="G60" s="27" t="n">
        <f aca="false">E60*F60</f>
        <v>54060843.0871163</v>
      </c>
      <c r="H60" s="28" t="s">
        <v>175</v>
      </c>
    </row>
    <row r="61" customFormat="false" ht="15" hidden="false" customHeight="false" outlineLevel="1" collapsed="false">
      <c r="A61" s="7"/>
      <c r="B61" s="29" t="s">
        <v>154</v>
      </c>
      <c r="C61" s="30" t="s">
        <v>155</v>
      </c>
      <c r="D61" s="29"/>
      <c r="E61" s="31" t="n">
        <v>151.14938025</v>
      </c>
      <c r="F61" s="7"/>
      <c r="G61" s="32" t="n">
        <f aca="false">E61*$F$60</f>
        <v>54060843.0871163</v>
      </c>
      <c r="H61" s="7"/>
    </row>
    <row r="62" customFormat="false" ht="15" hidden="false" customHeight="false" outlineLevel="0" collapsed="false">
      <c r="A62" s="23" t="n">
        <v>12</v>
      </c>
      <c r="B62" s="23" t="s">
        <v>176</v>
      </c>
      <c r="C62" s="24" t="s">
        <v>38</v>
      </c>
      <c r="D62" s="23" t="s">
        <v>24</v>
      </c>
      <c r="E62" s="25" t="n">
        <f aca="false">SUM(E63:E63)</f>
        <v>4072.42</v>
      </c>
      <c r="F62" s="26" t="n">
        <v>370419</v>
      </c>
      <c r="G62" s="27" t="n">
        <f aca="false">E62*F62</f>
        <v>1508501743.98</v>
      </c>
      <c r="H62" s="28" t="s">
        <v>177</v>
      </c>
    </row>
    <row r="63" customFormat="false" ht="15" hidden="false" customHeight="false" outlineLevel="1" collapsed="false">
      <c r="A63" s="7"/>
      <c r="B63" s="29" t="s">
        <v>178</v>
      </c>
      <c r="C63" s="30" t="s">
        <v>179</v>
      </c>
      <c r="D63" s="29"/>
      <c r="E63" s="31" t="n">
        <v>4072.42</v>
      </c>
      <c r="F63" s="7"/>
      <c r="G63" s="32" t="n">
        <f aca="false">E63*$F$62</f>
        <v>1508501743.98</v>
      </c>
      <c r="H63" s="7"/>
    </row>
    <row r="64" customFormat="false" ht="15" hidden="false" customHeight="false" outlineLevel="0" collapsed="false">
      <c r="A64" s="23" t="n">
        <v>13</v>
      </c>
      <c r="B64" s="23" t="s">
        <v>188</v>
      </c>
      <c r="C64" s="24" t="s">
        <v>41</v>
      </c>
      <c r="D64" s="23" t="s">
        <v>24</v>
      </c>
      <c r="E64" s="25" t="n">
        <f aca="false">SUM(E65:E65)</f>
        <v>1093.4784</v>
      </c>
      <c r="F64" s="26" t="n">
        <v>379446</v>
      </c>
      <c r="G64" s="27" t="n">
        <f aca="false">E64*F64</f>
        <v>414916004.9664</v>
      </c>
      <c r="H64" s="28" t="s">
        <v>189</v>
      </c>
    </row>
    <row r="65" customFormat="false" ht="15" hidden="false" customHeight="false" outlineLevel="1" collapsed="false">
      <c r="A65" s="7"/>
      <c r="B65" s="29" t="s">
        <v>190</v>
      </c>
      <c r="C65" s="30" t="s">
        <v>191</v>
      </c>
      <c r="D65" s="29"/>
      <c r="E65" s="31" t="n">
        <v>1093.4784</v>
      </c>
      <c r="F65" s="7"/>
      <c r="G65" s="32" t="n">
        <f aca="false">E65*$F$64</f>
        <v>414916004.9664</v>
      </c>
      <c r="H65" s="7"/>
    </row>
    <row r="66" customFormat="false" ht="15" hidden="false" customHeight="false" outlineLevel="0" collapsed="false">
      <c r="A66" s="23" t="n">
        <v>14</v>
      </c>
      <c r="B66" s="23" t="s">
        <v>188</v>
      </c>
      <c r="C66" s="24" t="s">
        <v>42</v>
      </c>
      <c r="D66" s="23" t="s">
        <v>24</v>
      </c>
      <c r="E66" s="25" t="n">
        <f aca="false">SUM(E67:E69)</f>
        <v>23993.2335</v>
      </c>
      <c r="F66" s="26" t="n">
        <v>379446</v>
      </c>
      <c r="G66" s="27" t="n">
        <f aca="false">E66*F66</f>
        <v>9104136478.641</v>
      </c>
      <c r="H66" s="28" t="s">
        <v>192</v>
      </c>
    </row>
    <row r="67" customFormat="false" ht="15" hidden="false" customHeight="false" outlineLevel="1" collapsed="false">
      <c r="A67" s="7"/>
      <c r="B67" s="29" t="s">
        <v>193</v>
      </c>
      <c r="C67" s="30" t="s">
        <v>194</v>
      </c>
      <c r="D67" s="29"/>
      <c r="E67" s="31" t="n">
        <v>5700.6805</v>
      </c>
      <c r="F67" s="7"/>
      <c r="G67" s="32" t="n">
        <f aca="false">E67*$F$66</f>
        <v>2163100413.003</v>
      </c>
      <c r="H67" s="7"/>
    </row>
    <row r="68" customFormat="false" ht="15" hidden="false" customHeight="false" outlineLevel="1" collapsed="false">
      <c r="A68" s="7"/>
      <c r="B68" s="29" t="s">
        <v>195</v>
      </c>
      <c r="C68" s="30" t="s">
        <v>196</v>
      </c>
      <c r="D68" s="29"/>
      <c r="E68" s="31" t="n">
        <v>4627.1127</v>
      </c>
      <c r="F68" s="7"/>
      <c r="G68" s="32" t="n">
        <f aca="false">E68*$F$66</f>
        <v>1755739405.5642</v>
      </c>
      <c r="H68" s="7"/>
    </row>
    <row r="69" customFormat="false" ht="15" hidden="false" customHeight="false" outlineLevel="1" collapsed="false">
      <c r="A69" s="7"/>
      <c r="B69" s="29" t="s">
        <v>195</v>
      </c>
      <c r="C69" s="30" t="s">
        <v>197</v>
      </c>
      <c r="D69" s="29"/>
      <c r="E69" s="31" t="n">
        <v>13665.4403</v>
      </c>
      <c r="F69" s="7"/>
      <c r="G69" s="32" t="n">
        <f aca="false">E69*$F$66</f>
        <v>5185296660.0738</v>
      </c>
      <c r="H69" s="7"/>
    </row>
    <row r="70" customFormat="false" ht="15" hidden="false" customHeight="false" outlineLevel="0" collapsed="false">
      <c r="A70" s="23" t="n">
        <v>15</v>
      </c>
      <c r="B70" s="23" t="s">
        <v>332</v>
      </c>
      <c r="C70" s="24" t="s">
        <v>44</v>
      </c>
      <c r="D70" s="23" t="s">
        <v>24</v>
      </c>
      <c r="E70" s="25" t="n">
        <f aca="false">SUM(E71:E71)</f>
        <v>5.81610096</v>
      </c>
      <c r="F70" s="26" t="n">
        <v>50000</v>
      </c>
      <c r="G70" s="27" t="n">
        <f aca="false">E70*F70</f>
        <v>290805.048</v>
      </c>
      <c r="H70" s="28" t="s">
        <v>333</v>
      </c>
    </row>
    <row r="71" customFormat="false" ht="23.85" hidden="false" customHeight="false" outlineLevel="1" collapsed="false">
      <c r="A71" s="7"/>
      <c r="B71" s="29" t="s">
        <v>334</v>
      </c>
      <c r="C71" s="30" t="s">
        <v>335</v>
      </c>
      <c r="D71" s="29"/>
      <c r="E71" s="31" t="n">
        <v>5.81610096</v>
      </c>
      <c r="F71" s="7"/>
      <c r="G71" s="32" t="n">
        <f aca="false">E71*$F$70</f>
        <v>290805.048</v>
      </c>
      <c r="H71" s="7"/>
    </row>
    <row r="72" customFormat="false" ht="15" hidden="false" customHeight="false" outlineLevel="0" collapsed="false">
      <c r="A72" s="23" t="n">
        <v>16</v>
      </c>
      <c r="B72" s="23" t="s">
        <v>208</v>
      </c>
      <c r="C72" s="24" t="s">
        <v>49</v>
      </c>
      <c r="D72" s="23" t="s">
        <v>20</v>
      </c>
      <c r="E72" s="25" t="n">
        <f aca="false">SUM(E73:E81)</f>
        <v>332.713596</v>
      </c>
      <c r="F72" s="26" t="n">
        <v>21000</v>
      </c>
      <c r="G72" s="27" t="n">
        <f aca="false">E72*F72</f>
        <v>6986985.516</v>
      </c>
      <c r="H72" s="28" t="s">
        <v>209</v>
      </c>
    </row>
    <row r="73" customFormat="false" ht="15" hidden="false" customHeight="false" outlineLevel="1" collapsed="false">
      <c r="A73" s="7"/>
      <c r="B73" s="29" t="s">
        <v>210</v>
      </c>
      <c r="C73" s="30" t="s">
        <v>211</v>
      </c>
      <c r="D73" s="29"/>
      <c r="E73" s="31" t="n">
        <v>153.146448</v>
      </c>
      <c r="F73" s="7"/>
      <c r="G73" s="32" t="n">
        <f aca="false">E73*$F$72</f>
        <v>3216075.408</v>
      </c>
      <c r="H73" s="7"/>
    </row>
    <row r="74" customFormat="false" ht="15" hidden="false" customHeight="false" outlineLevel="1" collapsed="false">
      <c r="A74" s="7"/>
      <c r="B74" s="29" t="s">
        <v>210</v>
      </c>
      <c r="C74" s="30" t="s">
        <v>212</v>
      </c>
      <c r="D74" s="29"/>
      <c r="E74" s="31" t="n">
        <v>30.6292896</v>
      </c>
      <c r="F74" s="7"/>
      <c r="G74" s="32" t="n">
        <f aca="false">E74*$F$72</f>
        <v>643215.0816</v>
      </c>
      <c r="H74" s="7"/>
    </row>
    <row r="75" customFormat="false" ht="15" hidden="false" customHeight="false" outlineLevel="1" collapsed="false">
      <c r="A75" s="7"/>
      <c r="B75" s="29" t="s">
        <v>210</v>
      </c>
      <c r="C75" s="30" t="s">
        <v>336</v>
      </c>
      <c r="D75" s="29"/>
      <c r="E75" s="31" t="n">
        <v>3.4698848</v>
      </c>
      <c r="F75" s="7"/>
      <c r="G75" s="32" t="n">
        <f aca="false">E75*$F$72</f>
        <v>72867.5808</v>
      </c>
      <c r="H75" s="7"/>
    </row>
    <row r="76" customFormat="false" ht="15" hidden="false" customHeight="false" outlineLevel="1" collapsed="false">
      <c r="A76" s="7"/>
      <c r="B76" s="29" t="s">
        <v>210</v>
      </c>
      <c r="C76" s="30" t="s">
        <v>212</v>
      </c>
      <c r="D76" s="29"/>
      <c r="E76" s="31" t="n">
        <v>0.69397696</v>
      </c>
      <c r="F76" s="7"/>
      <c r="G76" s="32" t="n">
        <f aca="false">E76*$F$72</f>
        <v>14573.51616</v>
      </c>
      <c r="H76" s="7"/>
    </row>
    <row r="77" customFormat="false" ht="15" hidden="false" customHeight="false" outlineLevel="1" collapsed="false">
      <c r="A77" s="7"/>
      <c r="B77" s="29" t="s">
        <v>210</v>
      </c>
      <c r="C77" s="30" t="s">
        <v>337</v>
      </c>
      <c r="D77" s="29"/>
      <c r="E77" s="31" t="n">
        <v>2.3964672</v>
      </c>
      <c r="F77" s="7"/>
      <c r="G77" s="32" t="n">
        <f aca="false">E77*$F$72</f>
        <v>50325.8112</v>
      </c>
      <c r="H77" s="7"/>
    </row>
    <row r="78" customFormat="false" ht="15" hidden="false" customHeight="false" outlineLevel="1" collapsed="false">
      <c r="A78" s="7"/>
      <c r="B78" s="29" t="s">
        <v>210</v>
      </c>
      <c r="C78" s="30" t="s">
        <v>212</v>
      </c>
      <c r="D78" s="29"/>
      <c r="E78" s="31" t="n">
        <v>0.47929344</v>
      </c>
      <c r="F78" s="7"/>
      <c r="G78" s="32" t="n">
        <f aca="false">E78*$F$72</f>
        <v>10065.16224</v>
      </c>
      <c r="H78" s="7"/>
    </row>
    <row r="79" customFormat="false" ht="15" hidden="false" customHeight="false" outlineLevel="1" collapsed="false">
      <c r="A79" s="7"/>
      <c r="B79" s="29" t="s">
        <v>215</v>
      </c>
      <c r="C79" s="30" t="s">
        <v>217</v>
      </c>
      <c r="D79" s="29"/>
      <c r="E79" s="31" t="n">
        <v>101.4569808</v>
      </c>
      <c r="F79" s="7"/>
      <c r="G79" s="32" t="n">
        <f aca="false">E79*$F$72</f>
        <v>2130596.5968</v>
      </c>
      <c r="H79" s="7"/>
    </row>
    <row r="80" customFormat="false" ht="15" hidden="false" customHeight="false" outlineLevel="1" collapsed="false">
      <c r="A80" s="7"/>
      <c r="B80" s="29" t="s">
        <v>215</v>
      </c>
      <c r="C80" s="30" t="s">
        <v>218</v>
      </c>
      <c r="D80" s="29"/>
      <c r="E80" s="31" t="n">
        <v>28.9221432</v>
      </c>
      <c r="F80" s="7"/>
      <c r="G80" s="32" t="n">
        <f aca="false">E80*$F$72</f>
        <v>607365.0072</v>
      </c>
      <c r="H80" s="7"/>
    </row>
    <row r="81" customFormat="false" ht="15" hidden="false" customHeight="false" outlineLevel="1" collapsed="false">
      <c r="A81" s="7"/>
      <c r="B81" s="29" t="s">
        <v>219</v>
      </c>
      <c r="C81" s="30" t="s">
        <v>220</v>
      </c>
      <c r="D81" s="29"/>
      <c r="E81" s="31" t="n">
        <v>11.519112</v>
      </c>
      <c r="F81" s="7"/>
      <c r="G81" s="32" t="n">
        <f aca="false">E81*$F$72</f>
        <v>241901.352</v>
      </c>
      <c r="H81" s="7"/>
    </row>
    <row r="82" customFormat="false" ht="15" hidden="false" customHeight="false" outlineLevel="0" collapsed="false">
      <c r="A82" s="23" t="n">
        <v>17</v>
      </c>
      <c r="B82" s="23" t="s">
        <v>225</v>
      </c>
      <c r="C82" s="24" t="s">
        <v>51</v>
      </c>
      <c r="D82" s="23" t="s">
        <v>52</v>
      </c>
      <c r="E82" s="25" t="n">
        <f aca="false">SUM(E83:E83)</f>
        <v>1513.0709</v>
      </c>
      <c r="F82" s="26" t="n">
        <v>150000</v>
      </c>
      <c r="G82" s="27" t="n">
        <f aca="false">E82*F82</f>
        <v>226960635</v>
      </c>
      <c r="H82" s="28" t="s">
        <v>226</v>
      </c>
    </row>
    <row r="83" customFormat="false" ht="15" hidden="false" customHeight="false" outlineLevel="1" collapsed="false">
      <c r="A83" s="7"/>
      <c r="B83" s="29" t="s">
        <v>127</v>
      </c>
      <c r="C83" s="30" t="s">
        <v>128</v>
      </c>
      <c r="D83" s="29"/>
      <c r="E83" s="31" t="n">
        <v>1513.0709</v>
      </c>
      <c r="F83" s="7"/>
      <c r="G83" s="32" t="n">
        <f aca="false">E83*$F$82</f>
        <v>226960635</v>
      </c>
      <c r="H83" s="7"/>
    </row>
    <row r="84" customFormat="false" ht="15" hidden="false" customHeight="false" outlineLevel="0" collapsed="false">
      <c r="A84" s="23" t="n">
        <v>18</v>
      </c>
      <c r="B84" s="23" t="s">
        <v>231</v>
      </c>
      <c r="C84" s="24" t="s">
        <v>54</v>
      </c>
      <c r="D84" s="23" t="s">
        <v>20</v>
      </c>
      <c r="E84" s="25" t="n">
        <f aca="false">SUM(E85:E87)</f>
        <v>15.429168</v>
      </c>
      <c r="F84" s="26" t="n">
        <v>17000</v>
      </c>
      <c r="G84" s="27" t="n">
        <f aca="false">E84*F84</f>
        <v>262295.856</v>
      </c>
      <c r="H84" s="28" t="s">
        <v>232</v>
      </c>
    </row>
    <row r="85" customFormat="false" ht="23.85" hidden="false" customHeight="false" outlineLevel="1" collapsed="false">
      <c r="A85" s="7"/>
      <c r="B85" s="29" t="s">
        <v>340</v>
      </c>
      <c r="C85" s="30" t="s">
        <v>341</v>
      </c>
      <c r="D85" s="29"/>
      <c r="E85" s="31" t="n">
        <v>8.810424</v>
      </c>
      <c r="F85" s="7"/>
      <c r="G85" s="32" t="n">
        <f aca="false">E85*$F$84</f>
        <v>149777.208</v>
      </c>
      <c r="H85" s="7"/>
    </row>
    <row r="86" customFormat="false" ht="23.85" hidden="false" customHeight="false" outlineLevel="1" collapsed="false">
      <c r="A86" s="7"/>
      <c r="B86" s="29" t="s">
        <v>340</v>
      </c>
      <c r="C86" s="30" t="s">
        <v>342</v>
      </c>
      <c r="D86" s="29"/>
      <c r="E86" s="31" t="n">
        <v>0.189924</v>
      </c>
      <c r="F86" s="7"/>
      <c r="G86" s="32" t="n">
        <f aca="false">E86*$F$84</f>
        <v>3228.708</v>
      </c>
      <c r="H86" s="7"/>
    </row>
    <row r="87" customFormat="false" ht="15" hidden="false" customHeight="false" outlineLevel="1" collapsed="false">
      <c r="A87" s="7"/>
      <c r="B87" s="29" t="s">
        <v>343</v>
      </c>
      <c r="C87" s="30" t="s">
        <v>344</v>
      </c>
      <c r="D87" s="29"/>
      <c r="E87" s="31" t="n">
        <v>6.42882</v>
      </c>
      <c r="F87" s="7"/>
      <c r="G87" s="32" t="n">
        <f aca="false">E87*$F$84</f>
        <v>109289.94</v>
      </c>
      <c r="H87" s="7"/>
    </row>
    <row r="88" customFormat="false" ht="22.35" hidden="false" customHeight="false" outlineLevel="0" collapsed="false">
      <c r="A88" s="23" t="n">
        <v>19</v>
      </c>
      <c r="B88" s="23" t="s">
        <v>123</v>
      </c>
      <c r="C88" s="24" t="s">
        <v>56</v>
      </c>
      <c r="D88" s="23" t="s">
        <v>57</v>
      </c>
      <c r="E88" s="33" t="n">
        <v>27</v>
      </c>
      <c r="F88" s="26" t="n">
        <v>1265000</v>
      </c>
      <c r="G88" s="27" t="n">
        <f aca="false">E88*F88</f>
        <v>34155000</v>
      </c>
      <c r="H88" s="28" t="s">
        <v>238</v>
      </c>
    </row>
    <row r="89" customFormat="false" ht="15" hidden="false" customHeight="false" outlineLevel="0" collapsed="false">
      <c r="A89" s="23" t="n">
        <v>20</v>
      </c>
      <c r="B89" s="23" t="s">
        <v>239</v>
      </c>
      <c r="C89" s="24" t="s">
        <v>58</v>
      </c>
      <c r="D89" s="23" t="s">
        <v>20</v>
      </c>
      <c r="E89" s="25" t="n">
        <f aca="false">SUM(E90:E90)</f>
        <v>0.955306</v>
      </c>
      <c r="F89" s="26" t="n">
        <v>118000</v>
      </c>
      <c r="G89" s="27" t="n">
        <f aca="false">E89*F89</f>
        <v>112726.108</v>
      </c>
      <c r="H89" s="28" t="s">
        <v>240</v>
      </c>
    </row>
    <row r="90" customFormat="false" ht="23.85" hidden="false" customHeight="false" outlineLevel="1" collapsed="false">
      <c r="A90" s="7"/>
      <c r="B90" s="29" t="s">
        <v>168</v>
      </c>
      <c r="C90" s="30" t="s">
        <v>169</v>
      </c>
      <c r="D90" s="29"/>
      <c r="E90" s="31" t="n">
        <v>0.955306</v>
      </c>
      <c r="F90" s="7"/>
      <c r="G90" s="32" t="n">
        <f aca="false">E90*$F$89</f>
        <v>112726.108</v>
      </c>
      <c r="H90" s="7"/>
    </row>
    <row r="91" customFormat="false" ht="15" hidden="false" customHeight="false" outlineLevel="0" collapsed="false">
      <c r="A91" s="23" t="n">
        <v>21</v>
      </c>
      <c r="B91" s="23" t="s">
        <v>247</v>
      </c>
      <c r="C91" s="24" t="s">
        <v>61</v>
      </c>
      <c r="D91" s="23" t="s">
        <v>52</v>
      </c>
      <c r="E91" s="25" t="n">
        <f aca="false">SUM(E92:E93)</f>
        <v>2178.099</v>
      </c>
      <c r="F91" s="26" t="n">
        <v>14000</v>
      </c>
      <c r="G91" s="27" t="n">
        <f aca="false">E91*F91</f>
        <v>30493386</v>
      </c>
      <c r="H91" s="28" t="s">
        <v>248</v>
      </c>
    </row>
    <row r="92" customFormat="false" ht="15" hidden="false" customHeight="false" outlineLevel="1" collapsed="false">
      <c r="A92" s="7"/>
      <c r="B92" s="29" t="s">
        <v>249</v>
      </c>
      <c r="C92" s="30" t="s">
        <v>250</v>
      </c>
      <c r="D92" s="29"/>
      <c r="E92" s="31" t="n">
        <v>530.2</v>
      </c>
      <c r="F92" s="7"/>
      <c r="G92" s="32" t="n">
        <f aca="false">E92*$F$91</f>
        <v>7422800</v>
      </c>
      <c r="H92" s="7"/>
    </row>
    <row r="93" customFormat="false" ht="15" hidden="false" customHeight="false" outlineLevel="1" collapsed="false">
      <c r="A93" s="7"/>
      <c r="B93" s="29" t="s">
        <v>251</v>
      </c>
      <c r="C93" s="30" t="s">
        <v>250</v>
      </c>
      <c r="D93" s="29"/>
      <c r="E93" s="31" t="n">
        <v>1647.899</v>
      </c>
      <c r="F93" s="7"/>
      <c r="G93" s="32" t="n">
        <f aca="false">E93*$F$91</f>
        <v>23070586</v>
      </c>
      <c r="H93" s="7"/>
    </row>
    <row r="94" customFormat="false" ht="15" hidden="false" customHeight="false" outlineLevel="0" collapsed="false">
      <c r="A94" s="23" t="n">
        <v>22</v>
      </c>
      <c r="B94" s="23" t="s">
        <v>253</v>
      </c>
      <c r="C94" s="24" t="s">
        <v>62</v>
      </c>
      <c r="D94" s="23" t="s">
        <v>46</v>
      </c>
      <c r="E94" s="25" t="n">
        <f aca="false">SUM(E95:E109)</f>
        <v>1041152.0877335</v>
      </c>
      <c r="F94" s="26" t="n">
        <v>10</v>
      </c>
      <c r="G94" s="27" t="n">
        <f aca="false">E94*F94</f>
        <v>10411520.877335</v>
      </c>
      <c r="H94" s="28" t="s">
        <v>254</v>
      </c>
    </row>
    <row r="95" customFormat="false" ht="23.85" hidden="false" customHeight="false" outlineLevel="1" collapsed="false">
      <c r="A95" s="7"/>
      <c r="B95" s="29" t="s">
        <v>133</v>
      </c>
      <c r="C95" s="30" t="s">
        <v>134</v>
      </c>
      <c r="D95" s="29"/>
      <c r="E95" s="31" t="n">
        <v>55519.64775</v>
      </c>
      <c r="F95" s="7"/>
      <c r="G95" s="32" t="n">
        <f aca="false">E95*$F$94</f>
        <v>555196.4775</v>
      </c>
      <c r="H95" s="7"/>
    </row>
    <row r="96" customFormat="false" ht="23.85" hidden="false" customHeight="false" outlineLevel="1" collapsed="false">
      <c r="A96" s="7"/>
      <c r="B96" s="29" t="s">
        <v>135</v>
      </c>
      <c r="C96" s="30" t="s">
        <v>136</v>
      </c>
      <c r="D96" s="29"/>
      <c r="E96" s="31" t="n">
        <v>619975.9786815</v>
      </c>
      <c r="F96" s="7"/>
      <c r="G96" s="32" t="n">
        <f aca="false">E96*$F$94</f>
        <v>6199759.786815</v>
      </c>
      <c r="H96" s="7"/>
    </row>
    <row r="97" customFormat="false" ht="23.85" hidden="false" customHeight="false" outlineLevel="1" collapsed="false">
      <c r="A97" s="7"/>
      <c r="B97" s="29" t="s">
        <v>135</v>
      </c>
      <c r="C97" s="30" t="s">
        <v>320</v>
      </c>
      <c r="D97" s="29"/>
      <c r="E97" s="31" t="n">
        <v>10469.049822</v>
      </c>
      <c r="F97" s="7"/>
      <c r="G97" s="32" t="n">
        <f aca="false">E97*$F$94</f>
        <v>104690.49822</v>
      </c>
      <c r="H97" s="7"/>
    </row>
    <row r="98" customFormat="false" ht="23.85" hidden="false" customHeight="false" outlineLevel="1" collapsed="false">
      <c r="A98" s="7"/>
      <c r="B98" s="29" t="s">
        <v>135</v>
      </c>
      <c r="C98" s="30" t="s">
        <v>321</v>
      </c>
      <c r="D98" s="29"/>
      <c r="E98" s="31" t="n">
        <v>7230.4338015</v>
      </c>
      <c r="F98" s="7"/>
      <c r="G98" s="32" t="n">
        <f aca="false">E98*$F$94</f>
        <v>72304.338015</v>
      </c>
      <c r="H98" s="7"/>
    </row>
    <row r="99" customFormat="false" ht="23.85" hidden="false" customHeight="false" outlineLevel="1" collapsed="false">
      <c r="A99" s="7"/>
      <c r="B99" s="29" t="s">
        <v>133</v>
      </c>
      <c r="C99" s="30" t="s">
        <v>151</v>
      </c>
      <c r="D99" s="29"/>
      <c r="E99" s="31" t="n">
        <v>1729.96425</v>
      </c>
      <c r="F99" s="7"/>
      <c r="G99" s="32" t="n">
        <f aca="false">E99*$F$94</f>
        <v>17299.6425</v>
      </c>
      <c r="H99" s="7"/>
    </row>
    <row r="100" customFormat="false" ht="23.85" hidden="false" customHeight="false" outlineLevel="1" collapsed="false">
      <c r="A100" s="7"/>
      <c r="B100" s="29" t="s">
        <v>135</v>
      </c>
      <c r="C100" s="30" t="s">
        <v>137</v>
      </c>
      <c r="D100" s="29"/>
      <c r="E100" s="31" t="n">
        <v>136700.815293</v>
      </c>
      <c r="F100" s="7"/>
      <c r="G100" s="32" t="n">
        <f aca="false">E100*$F$94</f>
        <v>1367008.15293</v>
      </c>
      <c r="H100" s="7"/>
    </row>
    <row r="101" customFormat="false" ht="23.85" hidden="false" customHeight="false" outlineLevel="1" collapsed="false">
      <c r="A101" s="7"/>
      <c r="B101" s="29" t="s">
        <v>135</v>
      </c>
      <c r="C101" s="30" t="s">
        <v>138</v>
      </c>
      <c r="D101" s="29"/>
      <c r="E101" s="31" t="n">
        <v>37608.561144</v>
      </c>
      <c r="F101" s="7"/>
      <c r="G101" s="32" t="n">
        <f aca="false">E101*$F$94</f>
        <v>376085.61144</v>
      </c>
      <c r="H101" s="7"/>
    </row>
    <row r="102" customFormat="false" ht="23.85" hidden="false" customHeight="false" outlineLevel="1" collapsed="false">
      <c r="A102" s="7"/>
      <c r="B102" s="29" t="s">
        <v>135</v>
      </c>
      <c r="C102" s="30" t="s">
        <v>138</v>
      </c>
      <c r="D102" s="29"/>
      <c r="E102" s="31" t="n">
        <v>37025.0949915</v>
      </c>
      <c r="F102" s="7"/>
      <c r="G102" s="32" t="n">
        <f aca="false">E102*$F$94</f>
        <v>370250.949915</v>
      </c>
      <c r="H102" s="7"/>
    </row>
    <row r="103" customFormat="false" ht="15" hidden="false" customHeight="false" outlineLevel="1" collapsed="false">
      <c r="A103" s="7"/>
      <c r="B103" s="29" t="s">
        <v>141</v>
      </c>
      <c r="C103" s="30" t="s">
        <v>142</v>
      </c>
      <c r="D103" s="29"/>
      <c r="E103" s="31" t="n">
        <v>28487.26125</v>
      </c>
      <c r="F103" s="7"/>
      <c r="G103" s="32" t="n">
        <f aca="false">E103*$F$94</f>
        <v>284872.6125</v>
      </c>
      <c r="H103" s="7"/>
    </row>
    <row r="104" customFormat="false" ht="15" hidden="false" customHeight="false" outlineLevel="1" collapsed="false">
      <c r="A104" s="7"/>
      <c r="B104" s="29" t="s">
        <v>141</v>
      </c>
      <c r="C104" s="30" t="s">
        <v>142</v>
      </c>
      <c r="D104" s="29"/>
      <c r="E104" s="31" t="n">
        <v>31520.99475</v>
      </c>
      <c r="F104" s="7"/>
      <c r="G104" s="32" t="n">
        <f aca="false">E104*$F$94</f>
        <v>315209.9475</v>
      </c>
      <c r="H104" s="7"/>
    </row>
    <row r="105" customFormat="false" ht="23.85" hidden="false" customHeight="false" outlineLevel="1" collapsed="false">
      <c r="A105" s="7"/>
      <c r="B105" s="29" t="s">
        <v>143</v>
      </c>
      <c r="C105" s="30" t="s">
        <v>144</v>
      </c>
      <c r="D105" s="29"/>
      <c r="E105" s="31" t="n">
        <v>35525.2905</v>
      </c>
      <c r="F105" s="7"/>
      <c r="G105" s="32" t="n">
        <f aca="false">E105*$F$94</f>
        <v>355252.905</v>
      </c>
      <c r="H105" s="7"/>
    </row>
    <row r="106" customFormat="false" ht="15" hidden="false" customHeight="false" outlineLevel="1" collapsed="false">
      <c r="A106" s="7"/>
      <c r="B106" s="29" t="s">
        <v>145</v>
      </c>
      <c r="C106" s="30" t="s">
        <v>146</v>
      </c>
      <c r="D106" s="29"/>
      <c r="E106" s="31" t="n">
        <v>6737.7555</v>
      </c>
      <c r="F106" s="7"/>
      <c r="G106" s="32" t="n">
        <f aca="false">E106*$F$94</f>
        <v>67377.555</v>
      </c>
      <c r="H106" s="7"/>
    </row>
    <row r="107" customFormat="false" ht="15" hidden="false" customHeight="false" outlineLevel="1" collapsed="false">
      <c r="A107" s="7"/>
      <c r="B107" s="29" t="s">
        <v>127</v>
      </c>
      <c r="C107" s="30" t="s">
        <v>128</v>
      </c>
      <c r="D107" s="29"/>
      <c r="E107" s="31" t="n">
        <v>10299.36875</v>
      </c>
      <c r="F107" s="7"/>
      <c r="G107" s="32" t="n">
        <f aca="false">E107*$F$94</f>
        <v>102993.6875</v>
      </c>
      <c r="H107" s="7"/>
    </row>
    <row r="108" customFormat="false" ht="15" hidden="false" customHeight="false" outlineLevel="1" collapsed="false">
      <c r="A108" s="7"/>
      <c r="B108" s="29" t="s">
        <v>152</v>
      </c>
      <c r="C108" s="30" t="s">
        <v>153</v>
      </c>
      <c r="D108" s="29"/>
      <c r="E108" s="31" t="n">
        <v>20000.3125</v>
      </c>
      <c r="F108" s="7"/>
      <c r="G108" s="32" t="n">
        <f aca="false">E108*$F$94</f>
        <v>200003.125</v>
      </c>
      <c r="H108" s="7"/>
    </row>
    <row r="109" customFormat="false" ht="23.85" hidden="false" customHeight="false" outlineLevel="1" collapsed="false">
      <c r="A109" s="7"/>
      <c r="B109" s="29" t="s">
        <v>147</v>
      </c>
      <c r="C109" s="30" t="s">
        <v>148</v>
      </c>
      <c r="D109" s="29"/>
      <c r="E109" s="31" t="n">
        <v>2321.55875</v>
      </c>
      <c r="F109" s="7"/>
      <c r="G109" s="32" t="n">
        <f aca="false">E109*$F$94</f>
        <v>23215.5875</v>
      </c>
      <c r="H109" s="7"/>
    </row>
    <row r="110" customFormat="false" ht="15" hidden="false" customHeight="false" outlineLevel="0" collapsed="false">
      <c r="A110" s="23" t="n">
        <v>23</v>
      </c>
      <c r="B110" s="23" t="s">
        <v>253</v>
      </c>
      <c r="C110" s="24" t="s">
        <v>62</v>
      </c>
      <c r="D110" s="23" t="s">
        <v>46</v>
      </c>
      <c r="E110" s="25" t="n">
        <f aca="false">SUM(E111:E111)</f>
        <v>33648.09525</v>
      </c>
      <c r="F110" s="26" t="n">
        <v>10</v>
      </c>
      <c r="G110" s="27" t="n">
        <f aca="false">E110*F110</f>
        <v>336480.9525</v>
      </c>
      <c r="H110" s="28" t="s">
        <v>254</v>
      </c>
    </row>
    <row r="111" customFormat="false" ht="15" hidden="false" customHeight="false" outlineLevel="1" collapsed="false">
      <c r="A111" s="7"/>
      <c r="B111" s="29" t="s">
        <v>154</v>
      </c>
      <c r="C111" s="30" t="s">
        <v>155</v>
      </c>
      <c r="D111" s="29"/>
      <c r="E111" s="31" t="n">
        <v>33648.09525</v>
      </c>
      <c r="F111" s="7"/>
      <c r="G111" s="32" t="n">
        <f aca="false">E111*$F$110</f>
        <v>336480.9525</v>
      </c>
      <c r="H111" s="7"/>
    </row>
    <row r="112" customFormat="false" ht="15" hidden="false" customHeight="false" outlineLevel="0" collapsed="false">
      <c r="A112" s="23" t="n">
        <v>24</v>
      </c>
      <c r="B112" s="23" t="s">
        <v>345</v>
      </c>
      <c r="C112" s="24" t="s">
        <v>63</v>
      </c>
      <c r="D112" s="23" t="s">
        <v>18</v>
      </c>
      <c r="E112" s="25" t="n">
        <f aca="false">SUM(E113:E116)</f>
        <v>51.562</v>
      </c>
      <c r="F112" s="26" t="n">
        <v>12300</v>
      </c>
      <c r="G112" s="27" t="n">
        <f aca="false">E112*F112</f>
        <v>634212.6</v>
      </c>
      <c r="H112" s="28" t="s">
        <v>346</v>
      </c>
    </row>
    <row r="113" customFormat="false" ht="23.85" hidden="false" customHeight="false" outlineLevel="1" collapsed="false">
      <c r="A113" s="7"/>
      <c r="B113" s="29" t="s">
        <v>325</v>
      </c>
      <c r="C113" s="30" t="s">
        <v>326</v>
      </c>
      <c r="D113" s="29"/>
      <c r="E113" s="31" t="n">
        <v>23.591393</v>
      </c>
      <c r="F113" s="7"/>
      <c r="G113" s="32" t="n">
        <f aca="false">E113*$F$112</f>
        <v>290174.1339</v>
      </c>
      <c r="H113" s="7"/>
    </row>
    <row r="114" customFormat="false" ht="23.85" hidden="false" customHeight="false" outlineLevel="1" collapsed="false">
      <c r="A114" s="7"/>
      <c r="B114" s="29" t="s">
        <v>325</v>
      </c>
      <c r="C114" s="30" t="s">
        <v>327</v>
      </c>
      <c r="D114" s="29"/>
      <c r="E114" s="31" t="n">
        <v>9.835007</v>
      </c>
      <c r="F114" s="7"/>
      <c r="G114" s="32" t="n">
        <f aca="false">E114*$F$112</f>
        <v>120970.5861</v>
      </c>
      <c r="H114" s="7"/>
    </row>
    <row r="115" customFormat="false" ht="23.85" hidden="false" customHeight="false" outlineLevel="1" collapsed="false">
      <c r="A115" s="7"/>
      <c r="B115" s="29" t="s">
        <v>325</v>
      </c>
      <c r="C115" s="30" t="s">
        <v>326</v>
      </c>
      <c r="D115" s="29"/>
      <c r="E115" s="31" t="n">
        <v>11.153394</v>
      </c>
      <c r="F115" s="7"/>
      <c r="G115" s="32" t="n">
        <f aca="false">E115*$F$112</f>
        <v>137186.7462</v>
      </c>
      <c r="H115" s="7"/>
    </row>
    <row r="116" customFormat="false" ht="23.85" hidden="false" customHeight="false" outlineLevel="1" collapsed="false">
      <c r="A116" s="7"/>
      <c r="B116" s="29" t="s">
        <v>325</v>
      </c>
      <c r="C116" s="30" t="s">
        <v>327</v>
      </c>
      <c r="D116" s="29"/>
      <c r="E116" s="31" t="n">
        <v>6.982206</v>
      </c>
      <c r="F116" s="7"/>
      <c r="G116" s="32" t="n">
        <f aca="false">E116*$F$112</f>
        <v>85881.1338</v>
      </c>
      <c r="H116" s="7"/>
    </row>
    <row r="117" customFormat="false" ht="15" hidden="false" customHeight="false" outlineLevel="0" collapsed="false">
      <c r="A117" s="23" t="n">
        <v>25</v>
      </c>
      <c r="B117" s="23" t="s">
        <v>347</v>
      </c>
      <c r="C117" s="24" t="s">
        <v>64</v>
      </c>
      <c r="D117" s="23" t="s">
        <v>18</v>
      </c>
      <c r="E117" s="25" t="n">
        <f aca="false">SUM(E118:E121)</f>
        <v>6.438</v>
      </c>
      <c r="F117" s="26" t="n">
        <v>26800</v>
      </c>
      <c r="G117" s="27" t="n">
        <f aca="false">E117*F117</f>
        <v>172538.4</v>
      </c>
      <c r="H117" s="28" t="s">
        <v>348</v>
      </c>
    </row>
    <row r="118" customFormat="false" ht="23.85" hidden="false" customHeight="false" outlineLevel="1" collapsed="false">
      <c r="A118" s="7"/>
      <c r="B118" s="29" t="s">
        <v>325</v>
      </c>
      <c r="C118" s="30" t="s">
        <v>326</v>
      </c>
      <c r="D118" s="29"/>
      <c r="E118" s="31" t="n">
        <v>2.945607</v>
      </c>
      <c r="F118" s="7"/>
      <c r="G118" s="32" t="n">
        <f aca="false">E118*$F$117</f>
        <v>78942.2676</v>
      </c>
      <c r="H118" s="7"/>
    </row>
    <row r="119" customFormat="false" ht="23.85" hidden="false" customHeight="false" outlineLevel="1" collapsed="false">
      <c r="A119" s="7"/>
      <c r="B119" s="29" t="s">
        <v>325</v>
      </c>
      <c r="C119" s="30" t="s">
        <v>327</v>
      </c>
      <c r="D119" s="29"/>
      <c r="E119" s="31" t="n">
        <v>1.227993</v>
      </c>
      <c r="F119" s="7"/>
      <c r="G119" s="32" t="n">
        <f aca="false">E119*$F$117</f>
        <v>32910.2124</v>
      </c>
      <c r="H119" s="7"/>
    </row>
    <row r="120" customFormat="false" ht="23.85" hidden="false" customHeight="false" outlineLevel="1" collapsed="false">
      <c r="A120" s="7"/>
      <c r="B120" s="29" t="s">
        <v>325</v>
      </c>
      <c r="C120" s="30" t="s">
        <v>326</v>
      </c>
      <c r="D120" s="29"/>
      <c r="E120" s="31" t="n">
        <v>1.392606</v>
      </c>
      <c r="F120" s="7"/>
      <c r="G120" s="32" t="n">
        <f aca="false">E120*$F$117</f>
        <v>37321.8408</v>
      </c>
      <c r="H120" s="7"/>
    </row>
    <row r="121" customFormat="false" ht="23.85" hidden="false" customHeight="false" outlineLevel="1" collapsed="false">
      <c r="A121" s="7"/>
      <c r="B121" s="29" t="s">
        <v>325</v>
      </c>
      <c r="C121" s="30" t="s">
        <v>327</v>
      </c>
      <c r="D121" s="29"/>
      <c r="E121" s="31" t="n">
        <v>0.871794</v>
      </c>
      <c r="F121" s="7"/>
      <c r="G121" s="32" t="n">
        <f aca="false">E121*$F$117</f>
        <v>23364.0792</v>
      </c>
      <c r="H121" s="7"/>
    </row>
    <row r="122" customFormat="false" ht="15" hidden="false" customHeight="false" outlineLevel="0" collapsed="false">
      <c r="A122" s="23" t="n">
        <v>26</v>
      </c>
      <c r="B122" s="23" t="s">
        <v>255</v>
      </c>
      <c r="C122" s="24" t="s">
        <v>65</v>
      </c>
      <c r="D122" s="23" t="s">
        <v>18</v>
      </c>
      <c r="E122" s="25" t="n">
        <f aca="false">SUM(E123:E123)</f>
        <v>484.23</v>
      </c>
      <c r="F122" s="26" t="n">
        <v>3670000</v>
      </c>
      <c r="G122" s="27" t="n">
        <f aca="false">E122*F122</f>
        <v>1777124100</v>
      </c>
      <c r="H122" s="28" t="s">
        <v>256</v>
      </c>
    </row>
    <row r="123" customFormat="false" ht="15" hidden="false" customHeight="false" outlineLevel="1" collapsed="false">
      <c r="A123" s="7"/>
      <c r="B123" s="29" t="s">
        <v>123</v>
      </c>
      <c r="C123" s="30" t="s">
        <v>257</v>
      </c>
      <c r="D123" s="29"/>
      <c r="E123" s="31" t="n">
        <v>484.23</v>
      </c>
      <c r="F123" s="7"/>
      <c r="G123" s="32" t="n">
        <f aca="false">E123*$F$122</f>
        <v>1777124100</v>
      </c>
      <c r="H123" s="7"/>
    </row>
    <row r="124" customFormat="false" ht="15" hidden="false" customHeight="false" outlineLevel="0" collapsed="false">
      <c r="A124" s="23" t="n">
        <v>27</v>
      </c>
      <c r="B124" s="23" t="s">
        <v>260</v>
      </c>
      <c r="C124" s="24" t="s">
        <v>67</v>
      </c>
      <c r="D124" s="23" t="s">
        <v>18</v>
      </c>
      <c r="E124" s="25" t="n">
        <f aca="false">SUM(E125:E125)</f>
        <v>438.5723</v>
      </c>
      <c r="F124" s="26" t="n">
        <v>592400</v>
      </c>
      <c r="G124" s="27" t="n">
        <f aca="false">E124*F124</f>
        <v>259810230.52</v>
      </c>
      <c r="H124" s="28" t="s">
        <v>261</v>
      </c>
    </row>
    <row r="125" customFormat="false" ht="23.85" hidden="false" customHeight="false" outlineLevel="1" collapsed="false">
      <c r="A125" s="7"/>
      <c r="B125" s="29" t="s">
        <v>168</v>
      </c>
      <c r="C125" s="30" t="s">
        <v>169</v>
      </c>
      <c r="D125" s="29"/>
      <c r="E125" s="31" t="n">
        <v>438.5723</v>
      </c>
      <c r="F125" s="7"/>
      <c r="G125" s="32" t="n">
        <f aca="false">E125*$F$124</f>
        <v>259810230.52</v>
      </c>
      <c r="H125" s="7"/>
    </row>
    <row r="126" customFormat="false" ht="15" hidden="false" customHeight="false" outlineLevel="0" collapsed="false">
      <c r="A126" s="23" t="n">
        <v>28</v>
      </c>
      <c r="B126" s="23" t="s">
        <v>349</v>
      </c>
      <c r="C126" s="24" t="s">
        <v>68</v>
      </c>
      <c r="D126" s="23" t="s">
        <v>69</v>
      </c>
      <c r="E126" s="25" t="n">
        <f aca="false">SUM(E127:E129)</f>
        <v>7.714584</v>
      </c>
      <c r="F126" s="26" t="n">
        <v>70000</v>
      </c>
      <c r="G126" s="27" t="n">
        <f aca="false">E126*F126</f>
        <v>540020.88</v>
      </c>
      <c r="H126" s="28" t="s">
        <v>350</v>
      </c>
    </row>
    <row r="127" customFormat="false" ht="23.85" hidden="false" customHeight="false" outlineLevel="1" collapsed="false">
      <c r="A127" s="7"/>
      <c r="B127" s="29" t="s">
        <v>340</v>
      </c>
      <c r="C127" s="30" t="s">
        <v>341</v>
      </c>
      <c r="D127" s="29"/>
      <c r="E127" s="31" t="n">
        <v>4.405212</v>
      </c>
      <c r="F127" s="7"/>
      <c r="G127" s="32" t="n">
        <f aca="false">E127*$F$126</f>
        <v>308364.84</v>
      </c>
      <c r="H127" s="7"/>
    </row>
    <row r="128" customFormat="false" ht="23.85" hidden="false" customHeight="false" outlineLevel="1" collapsed="false">
      <c r="A128" s="7"/>
      <c r="B128" s="29" t="s">
        <v>340</v>
      </c>
      <c r="C128" s="30" t="s">
        <v>342</v>
      </c>
      <c r="D128" s="29"/>
      <c r="E128" s="31" t="n">
        <v>0.094962</v>
      </c>
      <c r="F128" s="7"/>
      <c r="G128" s="32" t="n">
        <f aca="false">E128*$F$126</f>
        <v>6647.34</v>
      </c>
      <c r="H128" s="7"/>
    </row>
    <row r="129" customFormat="false" ht="15" hidden="false" customHeight="false" outlineLevel="1" collapsed="false">
      <c r="A129" s="7"/>
      <c r="B129" s="29" t="s">
        <v>343</v>
      </c>
      <c r="C129" s="30" t="s">
        <v>344</v>
      </c>
      <c r="D129" s="29"/>
      <c r="E129" s="31" t="n">
        <v>3.21441</v>
      </c>
      <c r="F129" s="7"/>
      <c r="G129" s="32" t="n">
        <f aca="false">E129*$F$126</f>
        <v>225008.7</v>
      </c>
      <c r="H129" s="7"/>
    </row>
    <row r="130" customFormat="false" ht="15" hidden="false" customHeight="false" outlineLevel="0" collapsed="false">
      <c r="A130" s="23" t="n">
        <v>29</v>
      </c>
      <c r="B130" s="23" t="s">
        <v>235</v>
      </c>
      <c r="C130" s="24" t="s">
        <v>71</v>
      </c>
      <c r="D130" s="23" t="s">
        <v>20</v>
      </c>
      <c r="E130" s="25" t="n">
        <f aca="false">SUM(E131:E136)</f>
        <v>10007.752216</v>
      </c>
      <c r="F130" s="26" t="n">
        <v>60000</v>
      </c>
      <c r="G130" s="27" t="n">
        <f aca="false">E130*F130</f>
        <v>600465132.96</v>
      </c>
      <c r="H130" s="28" t="s">
        <v>262</v>
      </c>
    </row>
    <row r="131" customFormat="false" ht="23.85" hidden="false" customHeight="false" outlineLevel="1" collapsed="false">
      <c r="A131" s="7"/>
      <c r="B131" s="29" t="s">
        <v>135</v>
      </c>
      <c r="C131" s="30" t="s">
        <v>136</v>
      </c>
      <c r="D131" s="29"/>
      <c r="E131" s="31" t="n">
        <v>7308.001624</v>
      </c>
      <c r="F131" s="7"/>
      <c r="G131" s="32" t="n">
        <f aca="false">E131*$F$130</f>
        <v>438480097.44</v>
      </c>
      <c r="H131" s="7"/>
    </row>
    <row r="132" customFormat="false" ht="23.85" hidden="false" customHeight="false" outlineLevel="1" collapsed="false">
      <c r="A132" s="7"/>
      <c r="B132" s="29" t="s">
        <v>135</v>
      </c>
      <c r="C132" s="30" t="s">
        <v>320</v>
      </c>
      <c r="D132" s="29"/>
      <c r="E132" s="31" t="n">
        <v>123.404512</v>
      </c>
      <c r="F132" s="7"/>
      <c r="G132" s="32" t="n">
        <f aca="false">E132*$F$130</f>
        <v>7404270.72</v>
      </c>
      <c r="H132" s="7"/>
    </row>
    <row r="133" customFormat="false" ht="23.85" hidden="false" customHeight="false" outlineLevel="1" collapsed="false">
      <c r="A133" s="7"/>
      <c r="B133" s="29" t="s">
        <v>135</v>
      </c>
      <c r="C133" s="30" t="s">
        <v>321</v>
      </c>
      <c r="D133" s="29"/>
      <c r="E133" s="31" t="n">
        <v>85.229144</v>
      </c>
      <c r="F133" s="7"/>
      <c r="G133" s="32" t="n">
        <f aca="false">E133*$F$130</f>
        <v>5113748.64</v>
      </c>
      <c r="H133" s="7"/>
    </row>
    <row r="134" customFormat="false" ht="23.85" hidden="false" customHeight="false" outlineLevel="1" collapsed="false">
      <c r="A134" s="7"/>
      <c r="B134" s="29" t="s">
        <v>135</v>
      </c>
      <c r="C134" s="30" t="s">
        <v>137</v>
      </c>
      <c r="D134" s="29"/>
      <c r="E134" s="31" t="n">
        <v>1611.368528</v>
      </c>
      <c r="F134" s="7"/>
      <c r="G134" s="32" t="n">
        <f aca="false">E134*$F$130</f>
        <v>96682111.68</v>
      </c>
      <c r="H134" s="7"/>
    </row>
    <row r="135" customFormat="false" ht="23.85" hidden="false" customHeight="false" outlineLevel="1" collapsed="false">
      <c r="A135" s="7"/>
      <c r="B135" s="29" t="s">
        <v>135</v>
      </c>
      <c r="C135" s="30" t="s">
        <v>138</v>
      </c>
      <c r="D135" s="29"/>
      <c r="E135" s="31" t="n">
        <v>443.313024</v>
      </c>
      <c r="F135" s="7"/>
      <c r="G135" s="32" t="n">
        <f aca="false">E135*$F$130</f>
        <v>26598781.44</v>
      </c>
      <c r="H135" s="7"/>
    </row>
    <row r="136" customFormat="false" ht="23.85" hidden="false" customHeight="false" outlineLevel="1" collapsed="false">
      <c r="A136" s="7"/>
      <c r="B136" s="29" t="s">
        <v>135</v>
      </c>
      <c r="C136" s="30" t="s">
        <v>138</v>
      </c>
      <c r="D136" s="29"/>
      <c r="E136" s="31" t="n">
        <v>436.435384</v>
      </c>
      <c r="F136" s="7"/>
      <c r="G136" s="32" t="n">
        <f aca="false">E136*$F$130</f>
        <v>26186123.04</v>
      </c>
      <c r="H136" s="7"/>
    </row>
    <row r="137" customFormat="false" ht="15" hidden="false" customHeight="false" outlineLevel="0" collapsed="false">
      <c r="A137" s="23" t="n">
        <v>30</v>
      </c>
      <c r="B137" s="23" t="s">
        <v>263</v>
      </c>
      <c r="C137" s="24" t="s">
        <v>72</v>
      </c>
      <c r="D137" s="23" t="s">
        <v>20</v>
      </c>
      <c r="E137" s="25" t="n">
        <f aca="false">SUM(E138:E139)</f>
        <v>259.57147425</v>
      </c>
      <c r="F137" s="26" t="n">
        <v>23000</v>
      </c>
      <c r="G137" s="27" t="n">
        <f aca="false">E137*F137</f>
        <v>5970143.90775</v>
      </c>
      <c r="H137" s="28" t="s">
        <v>264</v>
      </c>
    </row>
    <row r="138" customFormat="false" ht="15" hidden="false" customHeight="false" outlineLevel="1" collapsed="false">
      <c r="A138" s="7"/>
      <c r="B138" s="29" t="s">
        <v>152</v>
      </c>
      <c r="C138" s="30" t="s">
        <v>153</v>
      </c>
      <c r="D138" s="29"/>
      <c r="E138" s="31" t="n">
        <v>232.5750625</v>
      </c>
      <c r="F138" s="7"/>
      <c r="G138" s="32" t="n">
        <f aca="false">E138*$F$137</f>
        <v>5349226.4375</v>
      </c>
      <c r="H138" s="7"/>
    </row>
    <row r="139" customFormat="false" ht="23.85" hidden="false" customHeight="false" outlineLevel="1" collapsed="false">
      <c r="A139" s="7"/>
      <c r="B139" s="29" t="s">
        <v>147</v>
      </c>
      <c r="C139" s="30" t="s">
        <v>148</v>
      </c>
      <c r="D139" s="29"/>
      <c r="E139" s="31" t="n">
        <v>26.99641175</v>
      </c>
      <c r="F139" s="7"/>
      <c r="G139" s="32" t="n">
        <f aca="false">E139*$F$137</f>
        <v>620917.47025</v>
      </c>
      <c r="H139" s="7"/>
    </row>
    <row r="140" customFormat="false" ht="15" hidden="false" customHeight="false" outlineLevel="0" collapsed="false">
      <c r="A140" s="23" t="n">
        <v>31</v>
      </c>
      <c r="B140" s="23" t="s">
        <v>107</v>
      </c>
      <c r="C140" s="24" t="s">
        <v>73</v>
      </c>
      <c r="D140" s="23" t="s">
        <v>20</v>
      </c>
      <c r="E140" s="25" t="n">
        <f aca="false">SUM(E141:E143)</f>
        <v>67.1168808</v>
      </c>
      <c r="F140" s="26" t="n">
        <v>20220</v>
      </c>
      <c r="G140" s="27" t="n">
        <f aca="false">E140*F140</f>
        <v>1357103.329776</v>
      </c>
      <c r="H140" s="28" t="s">
        <v>108</v>
      </c>
    </row>
    <row r="141" customFormat="false" ht="23.85" hidden="false" customHeight="false" outlineLevel="1" collapsed="false">
      <c r="A141" s="7"/>
      <c r="B141" s="29" t="s">
        <v>340</v>
      </c>
      <c r="C141" s="30" t="s">
        <v>341</v>
      </c>
      <c r="D141" s="29"/>
      <c r="E141" s="31" t="n">
        <v>40.5279504</v>
      </c>
      <c r="F141" s="7"/>
      <c r="G141" s="32" t="n">
        <f aca="false">E141*$F$140</f>
        <v>819475.157088</v>
      </c>
      <c r="H141" s="7"/>
    </row>
    <row r="142" customFormat="false" ht="23.85" hidden="false" customHeight="false" outlineLevel="1" collapsed="false">
      <c r="A142" s="7"/>
      <c r="B142" s="29" t="s">
        <v>340</v>
      </c>
      <c r="C142" s="30" t="s">
        <v>342</v>
      </c>
      <c r="D142" s="29"/>
      <c r="E142" s="31" t="n">
        <v>0.8736504</v>
      </c>
      <c r="F142" s="7"/>
      <c r="G142" s="32" t="n">
        <f aca="false">E142*$F$140</f>
        <v>17665.211088</v>
      </c>
      <c r="H142" s="7"/>
    </row>
    <row r="143" customFormat="false" ht="15" hidden="false" customHeight="false" outlineLevel="1" collapsed="false">
      <c r="A143" s="7"/>
      <c r="B143" s="29" t="s">
        <v>311</v>
      </c>
      <c r="C143" s="30" t="s">
        <v>312</v>
      </c>
      <c r="D143" s="29"/>
      <c r="E143" s="31" t="n">
        <v>25.71528</v>
      </c>
      <c r="F143" s="7"/>
      <c r="G143" s="32" t="n">
        <f aca="false">E143*$F$140</f>
        <v>519962.9616</v>
      </c>
      <c r="H143" s="7"/>
    </row>
    <row r="144" customFormat="false" ht="15" hidden="false" customHeight="false" outlineLevel="0" collapsed="false">
      <c r="A144" s="23" t="n">
        <v>32</v>
      </c>
      <c r="B144" s="23" t="s">
        <v>107</v>
      </c>
      <c r="C144" s="24" t="s">
        <v>73</v>
      </c>
      <c r="D144" s="23" t="s">
        <v>20</v>
      </c>
      <c r="E144" s="25" t="n">
        <f aca="false">SUM(E145:E165)</f>
        <v>802.7313386</v>
      </c>
      <c r="F144" s="26" t="n">
        <v>25000</v>
      </c>
      <c r="G144" s="27" t="n">
        <f aca="false">E144*F144</f>
        <v>20068283.465</v>
      </c>
      <c r="H144" s="28" t="s">
        <v>108</v>
      </c>
    </row>
    <row r="145" customFormat="false" ht="15" hidden="false" customHeight="false" outlineLevel="1" collapsed="false">
      <c r="A145" s="7"/>
      <c r="B145" s="29" t="s">
        <v>265</v>
      </c>
      <c r="C145" s="30" t="s">
        <v>266</v>
      </c>
      <c r="D145" s="29"/>
      <c r="E145" s="31" t="n">
        <v>12.913512</v>
      </c>
      <c r="F145" s="7"/>
      <c r="G145" s="32" t="n">
        <f aca="false">E145*$F$144</f>
        <v>322837.8</v>
      </c>
      <c r="H145" s="7"/>
    </row>
    <row r="146" customFormat="false" ht="15" hidden="false" customHeight="false" outlineLevel="1" collapsed="false">
      <c r="A146" s="7"/>
      <c r="B146" s="29" t="s">
        <v>267</v>
      </c>
      <c r="C146" s="30" t="s">
        <v>355</v>
      </c>
      <c r="D146" s="29"/>
      <c r="E146" s="31" t="n">
        <v>429.09467</v>
      </c>
      <c r="F146" s="7"/>
      <c r="G146" s="32" t="n">
        <f aca="false">E146*$F$144</f>
        <v>10727366.75</v>
      </c>
      <c r="H146" s="7"/>
    </row>
    <row r="147" customFormat="false" ht="15" hidden="false" customHeight="false" outlineLevel="1" collapsed="false">
      <c r="A147" s="7"/>
      <c r="B147" s="29" t="s">
        <v>210</v>
      </c>
      <c r="C147" s="30" t="s">
        <v>211</v>
      </c>
      <c r="D147" s="29"/>
      <c r="E147" s="31" t="n">
        <v>79.543737</v>
      </c>
      <c r="F147" s="7"/>
      <c r="G147" s="32" t="n">
        <f aca="false">E147*$F$144</f>
        <v>1988593.425</v>
      </c>
      <c r="H147" s="7"/>
    </row>
    <row r="148" customFormat="false" ht="15" hidden="false" customHeight="false" outlineLevel="1" collapsed="false">
      <c r="A148" s="7"/>
      <c r="B148" s="29" t="s">
        <v>210</v>
      </c>
      <c r="C148" s="30" t="s">
        <v>212</v>
      </c>
      <c r="D148" s="29"/>
      <c r="E148" s="31" t="n">
        <v>15.9087474</v>
      </c>
      <c r="F148" s="7"/>
      <c r="G148" s="32" t="n">
        <f aca="false">E148*$F$144</f>
        <v>397718.685</v>
      </c>
      <c r="H148" s="7"/>
    </row>
    <row r="149" customFormat="false" ht="15" hidden="false" customHeight="false" outlineLevel="1" collapsed="false">
      <c r="A149" s="7"/>
      <c r="B149" s="29" t="s">
        <v>267</v>
      </c>
      <c r="C149" s="30" t="s">
        <v>351</v>
      </c>
      <c r="D149" s="29"/>
      <c r="E149" s="31" t="n">
        <v>8.43277</v>
      </c>
      <c r="F149" s="7"/>
      <c r="G149" s="32" t="n">
        <f aca="false">E149*$F$144</f>
        <v>210819.25</v>
      </c>
      <c r="H149" s="7"/>
    </row>
    <row r="150" customFormat="false" ht="15" hidden="false" customHeight="false" outlineLevel="1" collapsed="false">
      <c r="A150" s="7"/>
      <c r="B150" s="29" t="s">
        <v>210</v>
      </c>
      <c r="C150" s="30" t="s">
        <v>336</v>
      </c>
      <c r="D150" s="29"/>
      <c r="E150" s="31" t="n">
        <v>1.8022462</v>
      </c>
      <c r="F150" s="7"/>
      <c r="G150" s="32" t="n">
        <f aca="false">E150*$F$144</f>
        <v>45056.155</v>
      </c>
      <c r="H150" s="7"/>
    </row>
    <row r="151" customFormat="false" ht="15" hidden="false" customHeight="false" outlineLevel="1" collapsed="false">
      <c r="A151" s="7"/>
      <c r="B151" s="29" t="s">
        <v>210</v>
      </c>
      <c r="C151" s="30" t="s">
        <v>212</v>
      </c>
      <c r="D151" s="29"/>
      <c r="E151" s="31" t="n">
        <v>0.36044924</v>
      </c>
      <c r="F151" s="7"/>
      <c r="G151" s="32" t="n">
        <f aca="false">E151*$F$144</f>
        <v>9011.231</v>
      </c>
      <c r="H151" s="7"/>
    </row>
    <row r="152" customFormat="false" ht="15" hidden="false" customHeight="false" outlineLevel="1" collapsed="false">
      <c r="A152" s="7"/>
      <c r="B152" s="29" t="s">
        <v>267</v>
      </c>
      <c r="C152" s="30" t="s">
        <v>352</v>
      </c>
      <c r="D152" s="29"/>
      <c r="E152" s="31" t="n">
        <v>5.82407</v>
      </c>
      <c r="F152" s="7"/>
      <c r="G152" s="32" t="n">
        <f aca="false">E152*$F$144</f>
        <v>145601.75</v>
      </c>
      <c r="H152" s="7"/>
    </row>
    <row r="153" customFormat="false" ht="15" hidden="false" customHeight="false" outlineLevel="1" collapsed="false">
      <c r="A153" s="7"/>
      <c r="B153" s="29" t="s">
        <v>210</v>
      </c>
      <c r="C153" s="30" t="s">
        <v>337</v>
      </c>
      <c r="D153" s="29"/>
      <c r="E153" s="31" t="n">
        <v>1.2447168</v>
      </c>
      <c r="F153" s="7"/>
      <c r="G153" s="32" t="n">
        <f aca="false">E153*$F$144</f>
        <v>31117.92</v>
      </c>
      <c r="H153" s="7"/>
    </row>
    <row r="154" customFormat="false" ht="15" hidden="false" customHeight="false" outlineLevel="1" collapsed="false">
      <c r="A154" s="7"/>
      <c r="B154" s="29" t="s">
        <v>210</v>
      </c>
      <c r="C154" s="30" t="s">
        <v>212</v>
      </c>
      <c r="D154" s="29"/>
      <c r="E154" s="31" t="n">
        <v>0.24894336</v>
      </c>
      <c r="F154" s="7"/>
      <c r="G154" s="32" t="n">
        <f aca="false">E154*$F$144</f>
        <v>6223.584</v>
      </c>
      <c r="H154" s="7"/>
    </row>
    <row r="155" customFormat="false" ht="15" hidden="false" customHeight="false" outlineLevel="1" collapsed="false">
      <c r="A155" s="7"/>
      <c r="B155" s="29" t="s">
        <v>267</v>
      </c>
      <c r="C155" s="30" t="s">
        <v>269</v>
      </c>
      <c r="D155" s="29"/>
      <c r="E155" s="31" t="n">
        <v>73.67497</v>
      </c>
      <c r="F155" s="7"/>
      <c r="G155" s="32" t="n">
        <f aca="false">E155*$F$144</f>
        <v>1841874.25</v>
      </c>
      <c r="H155" s="7"/>
    </row>
    <row r="156" customFormat="false" ht="15" hidden="false" customHeight="false" outlineLevel="1" collapsed="false">
      <c r="A156" s="7"/>
      <c r="B156" s="29" t="s">
        <v>267</v>
      </c>
      <c r="C156" s="30" t="s">
        <v>270</v>
      </c>
      <c r="D156" s="29"/>
      <c r="E156" s="31" t="n">
        <v>28.10841</v>
      </c>
      <c r="F156" s="7"/>
      <c r="G156" s="32" t="n">
        <f aca="false">E156*$F$144</f>
        <v>702710.25</v>
      </c>
      <c r="H156" s="7"/>
    </row>
    <row r="157" customFormat="false" ht="15" hidden="false" customHeight="false" outlineLevel="1" collapsed="false">
      <c r="A157" s="7"/>
      <c r="B157" s="29" t="s">
        <v>267</v>
      </c>
      <c r="C157" s="30" t="s">
        <v>270</v>
      </c>
      <c r="D157" s="29"/>
      <c r="E157" s="31" t="n">
        <v>27.76755</v>
      </c>
      <c r="F157" s="7"/>
      <c r="G157" s="32" t="n">
        <f aca="false">E157*$F$144</f>
        <v>694188.75</v>
      </c>
      <c r="H157" s="7"/>
    </row>
    <row r="158" customFormat="false" ht="15" hidden="false" customHeight="false" outlineLevel="1" collapsed="false">
      <c r="A158" s="7"/>
      <c r="B158" s="29" t="s">
        <v>272</v>
      </c>
      <c r="C158" s="30" t="s">
        <v>273</v>
      </c>
      <c r="D158" s="29"/>
      <c r="E158" s="31" t="n">
        <v>1.37223</v>
      </c>
      <c r="F158" s="7"/>
      <c r="G158" s="32" t="n">
        <f aca="false">E158*$F$144</f>
        <v>34305.75</v>
      </c>
      <c r="H158" s="7"/>
    </row>
    <row r="159" customFormat="false" ht="15" hidden="false" customHeight="false" outlineLevel="1" collapsed="false">
      <c r="A159" s="7"/>
      <c r="B159" s="29" t="s">
        <v>172</v>
      </c>
      <c r="C159" s="30" t="s">
        <v>173</v>
      </c>
      <c r="D159" s="29"/>
      <c r="E159" s="31" t="n">
        <v>26.91024</v>
      </c>
      <c r="F159" s="7"/>
      <c r="G159" s="32" t="n">
        <f aca="false">E159*$F$144</f>
        <v>672756</v>
      </c>
      <c r="H159" s="7"/>
    </row>
    <row r="160" customFormat="false" ht="15" hidden="false" customHeight="false" outlineLevel="1" collapsed="false">
      <c r="A160" s="7"/>
      <c r="B160" s="29" t="s">
        <v>172</v>
      </c>
      <c r="C160" s="30" t="s">
        <v>173</v>
      </c>
      <c r="D160" s="29"/>
      <c r="E160" s="31" t="n">
        <v>27.9776</v>
      </c>
      <c r="F160" s="7"/>
      <c r="G160" s="32" t="n">
        <f aca="false">E160*$F$144</f>
        <v>699440</v>
      </c>
      <c r="H160" s="7"/>
    </row>
    <row r="161" customFormat="false" ht="15" hidden="false" customHeight="false" outlineLevel="1" collapsed="false">
      <c r="A161" s="7"/>
      <c r="B161" s="29" t="s">
        <v>265</v>
      </c>
      <c r="C161" s="30" t="s">
        <v>274</v>
      </c>
      <c r="D161" s="29"/>
      <c r="E161" s="31" t="n">
        <v>27.700546</v>
      </c>
      <c r="F161" s="7"/>
      <c r="G161" s="32" t="n">
        <f aca="false">E161*$F$144</f>
        <v>692513.65</v>
      </c>
      <c r="H161" s="7"/>
    </row>
    <row r="162" customFormat="false" ht="15" hidden="false" customHeight="false" outlineLevel="1" collapsed="false">
      <c r="A162" s="7"/>
      <c r="B162" s="29" t="s">
        <v>265</v>
      </c>
      <c r="C162" s="30" t="s">
        <v>275</v>
      </c>
      <c r="D162" s="29"/>
      <c r="E162" s="31" t="n">
        <v>3.962204</v>
      </c>
      <c r="F162" s="7"/>
      <c r="G162" s="32" t="n">
        <f aca="false">E162*$F$144</f>
        <v>99055.1</v>
      </c>
      <c r="H162" s="7"/>
    </row>
    <row r="163" customFormat="false" ht="15" hidden="false" customHeight="false" outlineLevel="1" collapsed="false">
      <c r="A163" s="7"/>
      <c r="B163" s="29" t="s">
        <v>265</v>
      </c>
      <c r="C163" s="30" t="s">
        <v>276</v>
      </c>
      <c r="D163" s="29"/>
      <c r="E163" s="31" t="n">
        <v>24.556928</v>
      </c>
      <c r="F163" s="7"/>
      <c r="G163" s="32" t="n">
        <f aca="false">E163*$F$144</f>
        <v>613923.2</v>
      </c>
      <c r="H163" s="7"/>
    </row>
    <row r="164" customFormat="false" ht="15" hidden="false" customHeight="false" outlineLevel="1" collapsed="false">
      <c r="A164" s="7"/>
      <c r="B164" s="29" t="s">
        <v>267</v>
      </c>
      <c r="C164" s="30" t="s">
        <v>277</v>
      </c>
      <c r="D164" s="29"/>
      <c r="E164" s="31" t="n">
        <v>1.21657</v>
      </c>
      <c r="F164" s="7"/>
      <c r="G164" s="32" t="n">
        <f aca="false">E164*$F$144</f>
        <v>30414.25</v>
      </c>
      <c r="H164" s="7"/>
    </row>
    <row r="165" customFormat="false" ht="15" hidden="false" customHeight="false" outlineLevel="1" collapsed="false">
      <c r="A165" s="7"/>
      <c r="B165" s="29" t="s">
        <v>219</v>
      </c>
      <c r="C165" s="30" t="s">
        <v>220</v>
      </c>
      <c r="D165" s="29"/>
      <c r="E165" s="31" t="n">
        <v>4.1102286</v>
      </c>
      <c r="F165" s="7"/>
      <c r="G165" s="32" t="n">
        <f aca="false">E165*$F$144</f>
        <v>102755.715</v>
      </c>
      <c r="H165" s="7"/>
    </row>
    <row r="166" customFormat="false" ht="15" hidden="false" customHeight="false" outlineLevel="0" collapsed="false">
      <c r="A166" s="23" t="n">
        <v>33</v>
      </c>
      <c r="B166" s="23" t="s">
        <v>287</v>
      </c>
      <c r="C166" s="24" t="s">
        <v>78</v>
      </c>
      <c r="D166" s="23" t="s">
        <v>20</v>
      </c>
      <c r="E166" s="25" t="n">
        <f aca="false">SUM(E167:E179)</f>
        <v>6077.025918</v>
      </c>
      <c r="F166" s="26" t="n">
        <v>14157</v>
      </c>
      <c r="G166" s="27" t="n">
        <f aca="false">E166*F166</f>
        <v>86032455.921126</v>
      </c>
      <c r="H166" s="28" t="s">
        <v>288</v>
      </c>
    </row>
    <row r="167" customFormat="false" ht="15" hidden="false" customHeight="false" outlineLevel="1" collapsed="false">
      <c r="A167" s="7"/>
      <c r="B167" s="29" t="s">
        <v>265</v>
      </c>
      <c r="C167" s="30" t="s">
        <v>266</v>
      </c>
      <c r="D167" s="29"/>
      <c r="E167" s="31" t="n">
        <v>126.837624</v>
      </c>
      <c r="F167" s="7"/>
      <c r="G167" s="32" t="n">
        <f aca="false">E167*$F$166</f>
        <v>1795640.242968</v>
      </c>
      <c r="H167" s="7"/>
    </row>
    <row r="168" customFormat="false" ht="15" hidden="false" customHeight="false" outlineLevel="1" collapsed="false">
      <c r="A168" s="7"/>
      <c r="B168" s="29" t="s">
        <v>267</v>
      </c>
      <c r="C168" s="30" t="s">
        <v>355</v>
      </c>
      <c r="D168" s="29"/>
      <c r="E168" s="31" t="n">
        <v>3676.663804</v>
      </c>
      <c r="F168" s="7"/>
      <c r="G168" s="32" t="n">
        <f aca="false">E168*$F$166</f>
        <v>52050529.473228</v>
      </c>
      <c r="H168" s="7"/>
    </row>
    <row r="169" customFormat="false" ht="15" hidden="false" customHeight="false" outlineLevel="1" collapsed="false">
      <c r="A169" s="7"/>
      <c r="B169" s="29" t="s">
        <v>267</v>
      </c>
      <c r="C169" s="30" t="s">
        <v>351</v>
      </c>
      <c r="D169" s="29"/>
      <c r="E169" s="31" t="n">
        <v>72.255524</v>
      </c>
      <c r="F169" s="7"/>
      <c r="G169" s="32" t="n">
        <f aca="false">E169*$F$166</f>
        <v>1022921.453268</v>
      </c>
      <c r="H169" s="7"/>
    </row>
    <row r="170" customFormat="false" ht="15" hidden="false" customHeight="false" outlineLevel="1" collapsed="false">
      <c r="A170" s="7"/>
      <c r="B170" s="29" t="s">
        <v>267</v>
      </c>
      <c r="C170" s="30" t="s">
        <v>352</v>
      </c>
      <c r="D170" s="29"/>
      <c r="E170" s="31" t="n">
        <v>49.903084</v>
      </c>
      <c r="F170" s="7"/>
      <c r="G170" s="32" t="n">
        <f aca="false">E170*$F$166</f>
        <v>706477.960188</v>
      </c>
      <c r="H170" s="7"/>
    </row>
    <row r="171" customFormat="false" ht="15" hidden="false" customHeight="false" outlineLevel="1" collapsed="false">
      <c r="A171" s="7"/>
      <c r="B171" s="29" t="s">
        <v>267</v>
      </c>
      <c r="C171" s="30" t="s">
        <v>269</v>
      </c>
      <c r="D171" s="29"/>
      <c r="E171" s="31" t="n">
        <v>631.278164</v>
      </c>
      <c r="F171" s="7"/>
      <c r="G171" s="32" t="n">
        <f aca="false">E171*$F$166</f>
        <v>8937004.967748</v>
      </c>
      <c r="H171" s="7"/>
    </row>
    <row r="172" customFormat="false" ht="15" hidden="false" customHeight="false" outlineLevel="1" collapsed="false">
      <c r="A172" s="7"/>
      <c r="B172" s="29" t="s">
        <v>267</v>
      </c>
      <c r="C172" s="30" t="s">
        <v>270</v>
      </c>
      <c r="D172" s="29"/>
      <c r="E172" s="31" t="n">
        <v>240.844692</v>
      </c>
      <c r="F172" s="7"/>
      <c r="G172" s="32" t="n">
        <f aca="false">E172*$F$166</f>
        <v>3409638.304644</v>
      </c>
      <c r="H172" s="7"/>
    </row>
    <row r="173" customFormat="false" ht="15" hidden="false" customHeight="false" outlineLevel="1" collapsed="false">
      <c r="A173" s="7"/>
      <c r="B173" s="29" t="s">
        <v>267</v>
      </c>
      <c r="C173" s="30" t="s">
        <v>270</v>
      </c>
      <c r="D173" s="29"/>
      <c r="E173" s="31" t="n">
        <v>237.92406</v>
      </c>
      <c r="F173" s="7"/>
      <c r="G173" s="32" t="n">
        <f aca="false">E173*$F$166</f>
        <v>3368290.91742</v>
      </c>
      <c r="H173" s="7"/>
    </row>
    <row r="174" customFormat="false" ht="15" hidden="false" customHeight="false" outlineLevel="1" collapsed="false">
      <c r="A174" s="7"/>
      <c r="B174" s="29" t="s">
        <v>172</v>
      </c>
      <c r="C174" s="30" t="s">
        <v>173</v>
      </c>
      <c r="D174" s="29"/>
      <c r="E174" s="31" t="n">
        <v>234.695736</v>
      </c>
      <c r="F174" s="7"/>
      <c r="G174" s="32" t="n">
        <f aca="false">E174*$F$166</f>
        <v>3322587.534552</v>
      </c>
      <c r="H174" s="7"/>
    </row>
    <row r="175" customFormat="false" ht="15" hidden="false" customHeight="false" outlineLevel="1" collapsed="false">
      <c r="A175" s="7"/>
      <c r="B175" s="29" t="s">
        <v>172</v>
      </c>
      <c r="C175" s="30" t="s">
        <v>173</v>
      </c>
      <c r="D175" s="29"/>
      <c r="E175" s="31" t="n">
        <v>244.00464</v>
      </c>
      <c r="F175" s="7"/>
      <c r="G175" s="32" t="n">
        <f aca="false">E175*$F$166</f>
        <v>3454373.68848</v>
      </c>
      <c r="H175" s="7"/>
    </row>
    <row r="176" customFormat="false" ht="15" hidden="false" customHeight="false" outlineLevel="1" collapsed="false">
      <c r="A176" s="7"/>
      <c r="B176" s="29" t="s">
        <v>265</v>
      </c>
      <c r="C176" s="30" t="s">
        <v>274</v>
      </c>
      <c r="D176" s="29"/>
      <c r="E176" s="31" t="n">
        <v>272.077142</v>
      </c>
      <c r="F176" s="7"/>
      <c r="G176" s="32" t="n">
        <f aca="false">E176*$F$166</f>
        <v>3851796.099294</v>
      </c>
      <c r="H176" s="7"/>
    </row>
    <row r="177" customFormat="false" ht="15" hidden="false" customHeight="false" outlineLevel="1" collapsed="false">
      <c r="A177" s="7"/>
      <c r="B177" s="29" t="s">
        <v>265</v>
      </c>
      <c r="C177" s="30" t="s">
        <v>275</v>
      </c>
      <c r="D177" s="29"/>
      <c r="E177" s="31" t="n">
        <v>38.917108</v>
      </c>
      <c r="F177" s="7"/>
      <c r="G177" s="32" t="n">
        <f aca="false">E177*$F$166</f>
        <v>550949.497956</v>
      </c>
      <c r="H177" s="7"/>
    </row>
    <row r="178" customFormat="false" ht="15" hidden="false" customHeight="false" outlineLevel="1" collapsed="false">
      <c r="A178" s="7"/>
      <c r="B178" s="29" t="s">
        <v>265</v>
      </c>
      <c r="C178" s="30" t="s">
        <v>276</v>
      </c>
      <c r="D178" s="29"/>
      <c r="E178" s="31" t="n">
        <v>241.200256</v>
      </c>
      <c r="F178" s="7"/>
      <c r="G178" s="32" t="n">
        <f aca="false">E178*$F$166</f>
        <v>3414672.024192</v>
      </c>
      <c r="H178" s="7"/>
    </row>
    <row r="179" customFormat="false" ht="15" hidden="false" customHeight="false" outlineLevel="1" collapsed="false">
      <c r="A179" s="7"/>
      <c r="B179" s="29" t="s">
        <v>267</v>
      </c>
      <c r="C179" s="30" t="s">
        <v>277</v>
      </c>
      <c r="D179" s="29"/>
      <c r="E179" s="31" t="n">
        <v>10.424084</v>
      </c>
      <c r="F179" s="7"/>
      <c r="G179" s="32" t="n">
        <f aca="false">E179*$F$166</f>
        <v>147573.757188</v>
      </c>
      <c r="H179" s="7"/>
    </row>
    <row r="180" customFormat="false" ht="15" hidden="false" customHeight="false" outlineLevel="0" collapsed="false">
      <c r="A180" s="23" t="n">
        <v>34</v>
      </c>
      <c r="B180" s="23" t="s">
        <v>287</v>
      </c>
      <c r="C180" s="24" t="s">
        <v>78</v>
      </c>
      <c r="D180" s="23" t="s">
        <v>20</v>
      </c>
      <c r="E180" s="25" t="n">
        <f aca="false">SUM(E181:E181)</f>
        <v>0.964323</v>
      </c>
      <c r="F180" s="26" t="n">
        <v>13857</v>
      </c>
      <c r="G180" s="27" t="n">
        <f aca="false">E180*F180</f>
        <v>13362.623811</v>
      </c>
      <c r="H180" s="28" t="s">
        <v>288</v>
      </c>
    </row>
    <row r="181" customFormat="false" ht="15" hidden="false" customHeight="false" outlineLevel="1" collapsed="false">
      <c r="A181" s="7"/>
      <c r="B181" s="29" t="s">
        <v>311</v>
      </c>
      <c r="C181" s="30" t="s">
        <v>312</v>
      </c>
      <c r="D181" s="29"/>
      <c r="E181" s="31" t="n">
        <v>0.964323</v>
      </c>
      <c r="F181" s="7"/>
      <c r="G181" s="32" t="n">
        <f aca="false">E181*$F$180</f>
        <v>13362.623811</v>
      </c>
      <c r="H181" s="7"/>
    </row>
    <row r="182" customFormat="false" ht="15" hidden="false" customHeight="false" outlineLevel="0" collapsed="false">
      <c r="A182" s="23" t="n">
        <v>35</v>
      </c>
      <c r="B182" s="23" t="s">
        <v>287</v>
      </c>
      <c r="C182" s="24" t="s">
        <v>78</v>
      </c>
      <c r="D182" s="23" t="s">
        <v>20</v>
      </c>
      <c r="E182" s="25" t="n">
        <f aca="false">SUM(E183:E183)</f>
        <v>115.6263264</v>
      </c>
      <c r="F182" s="26" t="n">
        <v>13857</v>
      </c>
      <c r="G182" s="27" t="n">
        <f aca="false">E182*F182</f>
        <v>1602234.0049248</v>
      </c>
      <c r="H182" s="28" t="s">
        <v>288</v>
      </c>
    </row>
    <row r="183" customFormat="false" ht="23.85" hidden="false" customHeight="false" outlineLevel="1" collapsed="false">
      <c r="A183" s="7"/>
      <c r="B183" s="29" t="s">
        <v>340</v>
      </c>
      <c r="C183" s="30" t="s">
        <v>341</v>
      </c>
      <c r="D183" s="29"/>
      <c r="E183" s="31" t="n">
        <v>115.6263264</v>
      </c>
      <c r="F183" s="7"/>
      <c r="G183" s="32" t="n">
        <f aca="false">E183*$F$182</f>
        <v>1602234.0049248</v>
      </c>
      <c r="H183" s="7"/>
    </row>
    <row r="184" customFormat="false" ht="15" hidden="false" customHeight="false" outlineLevel="0" collapsed="false">
      <c r="A184" s="23" t="n">
        <v>36</v>
      </c>
      <c r="B184" s="23" t="s">
        <v>157</v>
      </c>
      <c r="C184" s="24" t="s">
        <v>79</v>
      </c>
      <c r="D184" s="23" t="s">
        <v>20</v>
      </c>
      <c r="E184" s="25" t="n">
        <f aca="false">SUM(E185:E188)</f>
        <v>270.338</v>
      </c>
      <c r="F184" s="26" t="n">
        <v>13430</v>
      </c>
      <c r="G184" s="27" t="n">
        <f aca="false">E184*F184</f>
        <v>3630639.34</v>
      </c>
      <c r="H184" s="28" t="s">
        <v>353</v>
      </c>
    </row>
    <row r="185" customFormat="false" ht="23.85" hidden="false" customHeight="false" outlineLevel="1" collapsed="false">
      <c r="A185" s="7"/>
      <c r="B185" s="29" t="s">
        <v>325</v>
      </c>
      <c r="C185" s="30" t="s">
        <v>326</v>
      </c>
      <c r="D185" s="29"/>
      <c r="E185" s="31" t="n">
        <v>123.688957</v>
      </c>
      <c r="F185" s="7"/>
      <c r="G185" s="32" t="n">
        <f aca="false">E185*$F$184</f>
        <v>1661142.69251</v>
      </c>
      <c r="H185" s="7"/>
    </row>
    <row r="186" customFormat="false" ht="23.85" hidden="false" customHeight="false" outlineLevel="1" collapsed="false">
      <c r="A186" s="7"/>
      <c r="B186" s="29" t="s">
        <v>325</v>
      </c>
      <c r="C186" s="30" t="s">
        <v>327</v>
      </c>
      <c r="D186" s="29"/>
      <c r="E186" s="31" t="n">
        <v>51.564643</v>
      </c>
      <c r="F186" s="7"/>
      <c r="G186" s="32" t="n">
        <f aca="false">E186*$F$184</f>
        <v>692513.15549</v>
      </c>
      <c r="H186" s="7"/>
    </row>
    <row r="187" customFormat="false" ht="23.85" hidden="false" customHeight="false" outlineLevel="1" collapsed="false">
      <c r="A187" s="7"/>
      <c r="B187" s="29" t="s">
        <v>325</v>
      </c>
      <c r="C187" s="30" t="s">
        <v>326</v>
      </c>
      <c r="D187" s="29"/>
      <c r="E187" s="31" t="n">
        <v>58.476906</v>
      </c>
      <c r="F187" s="7"/>
      <c r="G187" s="32" t="n">
        <f aca="false">E187*$F$184</f>
        <v>785344.84758</v>
      </c>
      <c r="H187" s="7"/>
    </row>
    <row r="188" customFormat="false" ht="23.85" hidden="false" customHeight="false" outlineLevel="1" collapsed="false">
      <c r="A188" s="7"/>
      <c r="B188" s="29" t="s">
        <v>325</v>
      </c>
      <c r="C188" s="30" t="s">
        <v>327</v>
      </c>
      <c r="D188" s="29"/>
      <c r="E188" s="31" t="n">
        <v>36.607494</v>
      </c>
      <c r="F188" s="7"/>
      <c r="G188" s="32" t="n">
        <f aca="false">E188*$F$184</f>
        <v>491638.64442</v>
      </c>
      <c r="H188" s="7"/>
    </row>
    <row r="189" customFormat="false" ht="15" hidden="false" customHeight="false" outlineLevel="0" collapsed="false">
      <c r="A189" s="23" t="n">
        <v>37</v>
      </c>
      <c r="B189" s="23" t="s">
        <v>289</v>
      </c>
      <c r="C189" s="24" t="s">
        <v>80</v>
      </c>
      <c r="D189" s="23" t="s">
        <v>20</v>
      </c>
      <c r="E189" s="25" t="n">
        <f aca="false">SUM(E190:E190)</f>
        <v>27.35775</v>
      </c>
      <c r="F189" s="26" t="n">
        <v>14157</v>
      </c>
      <c r="G189" s="27" t="n">
        <f aca="false">E189*F189</f>
        <v>387303.66675</v>
      </c>
      <c r="H189" s="28" t="s">
        <v>290</v>
      </c>
    </row>
    <row r="190" customFormat="false" ht="15" hidden="false" customHeight="false" outlineLevel="1" collapsed="false">
      <c r="A190" s="7"/>
      <c r="B190" s="29" t="s">
        <v>272</v>
      </c>
      <c r="C190" s="30" t="s">
        <v>273</v>
      </c>
      <c r="D190" s="29"/>
      <c r="E190" s="31" t="n">
        <v>27.35775</v>
      </c>
      <c r="F190" s="7"/>
      <c r="G190" s="32" t="n">
        <f aca="false">E190*$F$189</f>
        <v>387303.66675</v>
      </c>
      <c r="H190" s="7"/>
    </row>
    <row r="191" customFormat="false" ht="15" hidden="false" customHeight="false" outlineLevel="0" collapsed="false">
      <c r="A191" s="23" t="n">
        <v>38</v>
      </c>
      <c r="B191" s="23" t="s">
        <v>291</v>
      </c>
      <c r="C191" s="24" t="s">
        <v>81</v>
      </c>
      <c r="D191" s="23" t="s">
        <v>20</v>
      </c>
      <c r="E191" s="25" t="n">
        <f aca="false">SUM(E192:E204)</f>
        <v>6824.958932</v>
      </c>
      <c r="F191" s="26" t="n">
        <v>13857</v>
      </c>
      <c r="G191" s="27" t="n">
        <f aca="false">E191*F191</f>
        <v>94573455.920724</v>
      </c>
      <c r="H191" s="28" t="s">
        <v>292</v>
      </c>
    </row>
    <row r="192" customFormat="false" ht="15" hidden="false" customHeight="false" outlineLevel="1" collapsed="false">
      <c r="A192" s="7"/>
      <c r="B192" s="29" t="s">
        <v>265</v>
      </c>
      <c r="C192" s="30" t="s">
        <v>266</v>
      </c>
      <c r="D192" s="29"/>
      <c r="E192" s="31" t="n">
        <v>205.229772</v>
      </c>
      <c r="F192" s="7"/>
      <c r="G192" s="32" t="n">
        <f aca="false">E192*$F$191</f>
        <v>2843868.950604</v>
      </c>
      <c r="H192" s="7"/>
    </row>
    <row r="193" customFormat="false" ht="15" hidden="false" customHeight="false" outlineLevel="1" collapsed="false">
      <c r="A193" s="7"/>
      <c r="B193" s="29" t="s">
        <v>267</v>
      </c>
      <c r="C193" s="30" t="s">
        <v>355</v>
      </c>
      <c r="D193" s="29"/>
      <c r="E193" s="31" t="n">
        <v>3900.244711</v>
      </c>
      <c r="F193" s="7"/>
      <c r="G193" s="32" t="n">
        <f aca="false">E193*$F$191</f>
        <v>54045690.960327</v>
      </c>
      <c r="H193" s="7"/>
    </row>
    <row r="194" customFormat="false" ht="15" hidden="false" customHeight="false" outlineLevel="1" collapsed="false">
      <c r="A194" s="7"/>
      <c r="B194" s="29" t="s">
        <v>267</v>
      </c>
      <c r="C194" s="30" t="s">
        <v>351</v>
      </c>
      <c r="D194" s="29"/>
      <c r="E194" s="31" t="n">
        <v>76.649441</v>
      </c>
      <c r="F194" s="7"/>
      <c r="G194" s="32" t="n">
        <f aca="false">E194*$F$191</f>
        <v>1062131.303937</v>
      </c>
      <c r="H194" s="7"/>
    </row>
    <row r="195" customFormat="false" ht="15" hidden="false" customHeight="false" outlineLevel="1" collapsed="false">
      <c r="A195" s="7"/>
      <c r="B195" s="29" t="s">
        <v>267</v>
      </c>
      <c r="C195" s="30" t="s">
        <v>352</v>
      </c>
      <c r="D195" s="29"/>
      <c r="E195" s="31" t="n">
        <v>52.937731</v>
      </c>
      <c r="F195" s="7"/>
      <c r="G195" s="32" t="n">
        <f aca="false">E195*$F$191</f>
        <v>733558.138467</v>
      </c>
      <c r="H195" s="7"/>
    </row>
    <row r="196" customFormat="false" ht="15" hidden="false" customHeight="false" outlineLevel="1" collapsed="false">
      <c r="A196" s="7"/>
      <c r="B196" s="29" t="s">
        <v>267</v>
      </c>
      <c r="C196" s="30" t="s">
        <v>269</v>
      </c>
      <c r="D196" s="29"/>
      <c r="E196" s="31" t="n">
        <v>669.666701</v>
      </c>
      <c r="F196" s="7"/>
      <c r="G196" s="32" t="n">
        <f aca="false">E196*$F$191</f>
        <v>9279571.475757</v>
      </c>
      <c r="H196" s="7"/>
    </row>
    <row r="197" customFormat="false" ht="15" hidden="false" customHeight="false" outlineLevel="1" collapsed="false">
      <c r="A197" s="7"/>
      <c r="B197" s="29" t="s">
        <v>267</v>
      </c>
      <c r="C197" s="30" t="s">
        <v>270</v>
      </c>
      <c r="D197" s="29"/>
      <c r="E197" s="31" t="n">
        <v>255.490653</v>
      </c>
      <c r="F197" s="7"/>
      <c r="G197" s="32" t="n">
        <f aca="false">E197*$F$191</f>
        <v>3540333.978621</v>
      </c>
      <c r="H197" s="7"/>
    </row>
    <row r="198" customFormat="false" ht="15" hidden="false" customHeight="false" outlineLevel="1" collapsed="false">
      <c r="A198" s="7"/>
      <c r="B198" s="29" t="s">
        <v>267</v>
      </c>
      <c r="C198" s="30" t="s">
        <v>270</v>
      </c>
      <c r="D198" s="29"/>
      <c r="E198" s="31" t="n">
        <v>252.392415</v>
      </c>
      <c r="F198" s="7"/>
      <c r="G198" s="32" t="n">
        <f aca="false">E198*$F$191</f>
        <v>3497401.694655</v>
      </c>
      <c r="H198" s="7"/>
    </row>
    <row r="199" customFormat="false" ht="15" hidden="false" customHeight="false" outlineLevel="1" collapsed="false">
      <c r="A199" s="7"/>
      <c r="B199" s="29" t="s">
        <v>172</v>
      </c>
      <c r="C199" s="30" t="s">
        <v>173</v>
      </c>
      <c r="D199" s="29"/>
      <c r="E199" s="31" t="n">
        <v>248.967774</v>
      </c>
      <c r="F199" s="7"/>
      <c r="G199" s="32" t="n">
        <f aca="false">E199*$F$191</f>
        <v>3449946.444318</v>
      </c>
      <c r="H199" s="7"/>
    </row>
    <row r="200" customFormat="false" ht="15" hidden="false" customHeight="false" outlineLevel="1" collapsed="false">
      <c r="A200" s="7"/>
      <c r="B200" s="29" t="s">
        <v>172</v>
      </c>
      <c r="C200" s="30" t="s">
        <v>173</v>
      </c>
      <c r="D200" s="29"/>
      <c r="E200" s="31" t="n">
        <v>258.84276</v>
      </c>
      <c r="F200" s="7"/>
      <c r="G200" s="32" t="n">
        <f aca="false">E200*$F$191</f>
        <v>3586784.12532</v>
      </c>
      <c r="H200" s="7"/>
    </row>
    <row r="201" customFormat="false" ht="15" hidden="false" customHeight="false" outlineLevel="1" collapsed="false">
      <c r="A201" s="7"/>
      <c r="B201" s="29" t="s">
        <v>265</v>
      </c>
      <c r="C201" s="30" t="s">
        <v>274</v>
      </c>
      <c r="D201" s="29"/>
      <c r="E201" s="31" t="n">
        <v>440.234751</v>
      </c>
      <c r="F201" s="7"/>
      <c r="G201" s="32" t="n">
        <f aca="false">E201*$F$191</f>
        <v>6100332.944607</v>
      </c>
      <c r="H201" s="7"/>
    </row>
    <row r="202" customFormat="false" ht="15" hidden="false" customHeight="false" outlineLevel="1" collapsed="false">
      <c r="A202" s="7"/>
      <c r="B202" s="29" t="s">
        <v>265</v>
      </c>
      <c r="C202" s="30" t="s">
        <v>275</v>
      </c>
      <c r="D202" s="29"/>
      <c r="E202" s="31" t="n">
        <v>62.969874</v>
      </c>
      <c r="F202" s="7"/>
      <c r="G202" s="32" t="n">
        <f aca="false">E202*$F$191</f>
        <v>872573.544018</v>
      </c>
      <c r="H202" s="7"/>
    </row>
    <row r="203" customFormat="false" ht="15" hidden="false" customHeight="false" outlineLevel="1" collapsed="false">
      <c r="A203" s="7"/>
      <c r="B203" s="29" t="s">
        <v>265</v>
      </c>
      <c r="C203" s="30" t="s">
        <v>276</v>
      </c>
      <c r="D203" s="29"/>
      <c r="E203" s="31" t="n">
        <v>390.274368</v>
      </c>
      <c r="F203" s="7"/>
      <c r="G203" s="32" t="n">
        <f aca="false">E203*$F$191</f>
        <v>5408031.917376</v>
      </c>
      <c r="H203" s="7"/>
    </row>
    <row r="204" customFormat="false" ht="15" hidden="false" customHeight="false" outlineLevel="1" collapsed="false">
      <c r="A204" s="7"/>
      <c r="B204" s="29" t="s">
        <v>267</v>
      </c>
      <c r="C204" s="30" t="s">
        <v>277</v>
      </c>
      <c r="D204" s="29"/>
      <c r="E204" s="31" t="n">
        <v>11.057981</v>
      </c>
      <c r="F204" s="7"/>
      <c r="G204" s="32" t="n">
        <f aca="false">E204*$F$191</f>
        <v>153230.442717</v>
      </c>
      <c r="H204" s="7"/>
    </row>
    <row r="205" customFormat="false" ht="15" hidden="false" customHeight="false" outlineLevel="0" collapsed="false">
      <c r="A205" s="23" t="n">
        <v>39</v>
      </c>
      <c r="B205" s="23" t="s">
        <v>291</v>
      </c>
      <c r="C205" s="24" t="s">
        <v>81</v>
      </c>
      <c r="D205" s="23" t="s">
        <v>20</v>
      </c>
      <c r="E205" s="25" t="n">
        <f aca="false">SUM(E206:E206)</f>
        <v>2.4925264</v>
      </c>
      <c r="F205" s="26" t="n">
        <v>13857</v>
      </c>
      <c r="G205" s="27" t="n">
        <f aca="false">E205*F205</f>
        <v>34538.9383248</v>
      </c>
      <c r="H205" s="28" t="s">
        <v>292</v>
      </c>
    </row>
    <row r="206" customFormat="false" ht="23.85" hidden="false" customHeight="false" outlineLevel="1" collapsed="false">
      <c r="A206" s="7"/>
      <c r="B206" s="29" t="s">
        <v>340</v>
      </c>
      <c r="C206" s="30" t="s">
        <v>342</v>
      </c>
      <c r="D206" s="29"/>
      <c r="E206" s="31" t="n">
        <v>2.4925264</v>
      </c>
      <c r="F206" s="7"/>
      <c r="G206" s="32" t="n">
        <f aca="false">E206*$F$205</f>
        <v>34538.9383248</v>
      </c>
      <c r="H206" s="7"/>
    </row>
    <row r="207" customFormat="false" ht="15" hidden="false" customHeight="false" outlineLevel="0" collapsed="false">
      <c r="A207" s="23" t="n">
        <v>40</v>
      </c>
      <c r="B207" s="23" t="s">
        <v>293</v>
      </c>
      <c r="C207" s="24" t="s">
        <v>82</v>
      </c>
      <c r="D207" s="23" t="s">
        <v>20</v>
      </c>
      <c r="E207" s="25" t="n">
        <f aca="false">SUM(E208:E208)</f>
        <v>18.32586</v>
      </c>
      <c r="F207" s="26" t="n">
        <v>14344</v>
      </c>
      <c r="G207" s="27" t="n">
        <f aca="false">E207*F207</f>
        <v>262866.13584</v>
      </c>
      <c r="H207" s="28" t="s">
        <v>294</v>
      </c>
    </row>
    <row r="208" customFormat="false" ht="15" hidden="false" customHeight="false" outlineLevel="1" collapsed="false">
      <c r="A208" s="7"/>
      <c r="B208" s="29" t="s">
        <v>219</v>
      </c>
      <c r="C208" s="30" t="s">
        <v>220</v>
      </c>
      <c r="D208" s="29"/>
      <c r="E208" s="31" t="n">
        <v>18.32586</v>
      </c>
      <c r="F208" s="7"/>
      <c r="G208" s="32" t="n">
        <f aca="false">E208*$F$207</f>
        <v>262866.13584</v>
      </c>
      <c r="H208" s="7"/>
    </row>
    <row r="209" customFormat="false" ht="15" hidden="false" customHeight="false" outlineLevel="0" collapsed="false">
      <c r="A209" s="23" t="n">
        <v>41</v>
      </c>
      <c r="B209" s="23" t="s">
        <v>295</v>
      </c>
      <c r="C209" s="24" t="s">
        <v>83</v>
      </c>
      <c r="D209" s="23" t="s">
        <v>20</v>
      </c>
      <c r="E209" s="25" t="n">
        <f aca="false">SUM(E210:E211)</f>
        <v>8153.766</v>
      </c>
      <c r="F209" s="26" t="n">
        <v>14594</v>
      </c>
      <c r="G209" s="27" t="n">
        <f aca="false">E209*F209</f>
        <v>118996061.004</v>
      </c>
      <c r="H209" s="28" t="s">
        <v>296</v>
      </c>
    </row>
    <row r="210" customFormat="false" ht="15" hidden="false" customHeight="false" outlineLevel="1" collapsed="false">
      <c r="A210" s="7"/>
      <c r="B210" s="29" t="s">
        <v>215</v>
      </c>
      <c r="C210" s="30" t="s">
        <v>217</v>
      </c>
      <c r="D210" s="29"/>
      <c r="E210" s="31" t="n">
        <v>6345.0072</v>
      </c>
      <c r="F210" s="7"/>
      <c r="G210" s="32" t="n">
        <f aca="false">E210*$F$209</f>
        <v>92599035.0768</v>
      </c>
      <c r="H210" s="7"/>
    </row>
    <row r="211" customFormat="false" ht="15" hidden="false" customHeight="false" outlineLevel="1" collapsed="false">
      <c r="A211" s="7"/>
      <c r="B211" s="29" t="s">
        <v>215</v>
      </c>
      <c r="C211" s="30" t="s">
        <v>218</v>
      </c>
      <c r="D211" s="29"/>
      <c r="E211" s="31" t="n">
        <v>1808.7588</v>
      </c>
      <c r="F211" s="7"/>
      <c r="G211" s="32" t="n">
        <f aca="false">E211*$F$209</f>
        <v>26397025.9272</v>
      </c>
      <c r="H211" s="7"/>
    </row>
    <row r="212" customFormat="false" ht="15" hidden="false" customHeight="false" outlineLevel="0" collapsed="false">
      <c r="A212" s="23" t="n">
        <v>42</v>
      </c>
      <c r="B212" s="23" t="s">
        <v>297</v>
      </c>
      <c r="C212" s="24" t="s">
        <v>84</v>
      </c>
      <c r="D212" s="23" t="s">
        <v>20</v>
      </c>
      <c r="E212" s="25" t="n">
        <f aca="false">SUM(E213:E218)</f>
        <v>20973.24</v>
      </c>
      <c r="F212" s="26" t="n">
        <v>14394</v>
      </c>
      <c r="G212" s="27" t="n">
        <f aca="false">E212*F212</f>
        <v>301888816.56</v>
      </c>
      <c r="H212" s="28" t="s">
        <v>298</v>
      </c>
    </row>
    <row r="213" customFormat="false" ht="15" hidden="false" customHeight="false" outlineLevel="1" collapsed="false">
      <c r="A213" s="7"/>
      <c r="B213" s="29" t="s">
        <v>210</v>
      </c>
      <c r="C213" s="30" t="s">
        <v>211</v>
      </c>
      <c r="D213" s="29"/>
      <c r="E213" s="31" t="n">
        <v>16832.907</v>
      </c>
      <c r="F213" s="7"/>
      <c r="G213" s="32" t="n">
        <f aca="false">E213*$F$212</f>
        <v>242292863.358</v>
      </c>
      <c r="H213" s="7"/>
    </row>
    <row r="214" customFormat="false" ht="15" hidden="false" customHeight="false" outlineLevel="1" collapsed="false">
      <c r="A214" s="7"/>
      <c r="B214" s="29" t="s">
        <v>210</v>
      </c>
      <c r="C214" s="30" t="s">
        <v>212</v>
      </c>
      <c r="D214" s="29"/>
      <c r="E214" s="31" t="n">
        <v>3366.5814</v>
      </c>
      <c r="F214" s="7"/>
      <c r="G214" s="32" t="n">
        <f aca="false">E214*$F$212</f>
        <v>48458572.6716</v>
      </c>
      <c r="H214" s="7"/>
    </row>
    <row r="215" customFormat="false" ht="15" hidden="false" customHeight="false" outlineLevel="1" collapsed="false">
      <c r="A215" s="7"/>
      <c r="B215" s="29" t="s">
        <v>210</v>
      </c>
      <c r="C215" s="30" t="s">
        <v>336</v>
      </c>
      <c r="D215" s="29"/>
      <c r="E215" s="31" t="n">
        <v>381.3882</v>
      </c>
      <c r="F215" s="7"/>
      <c r="G215" s="32" t="n">
        <f aca="false">E215*$F$212</f>
        <v>5489701.7508</v>
      </c>
      <c r="H215" s="7"/>
    </row>
    <row r="216" customFormat="false" ht="15" hidden="false" customHeight="false" outlineLevel="1" collapsed="false">
      <c r="A216" s="7"/>
      <c r="B216" s="29" t="s">
        <v>210</v>
      </c>
      <c r="C216" s="30" t="s">
        <v>212</v>
      </c>
      <c r="D216" s="29"/>
      <c r="E216" s="31" t="n">
        <v>76.27764</v>
      </c>
      <c r="F216" s="7"/>
      <c r="G216" s="32" t="n">
        <f aca="false">E216*$F$212</f>
        <v>1097940.35016</v>
      </c>
      <c r="H216" s="7"/>
    </row>
    <row r="217" customFormat="false" ht="15" hidden="false" customHeight="false" outlineLevel="1" collapsed="false">
      <c r="A217" s="7"/>
      <c r="B217" s="29" t="s">
        <v>210</v>
      </c>
      <c r="C217" s="30" t="s">
        <v>337</v>
      </c>
      <c r="D217" s="29"/>
      <c r="E217" s="31" t="n">
        <v>263.4048</v>
      </c>
      <c r="F217" s="7"/>
      <c r="G217" s="32" t="n">
        <f aca="false">E217*$F$212</f>
        <v>3791448.6912</v>
      </c>
      <c r="H217" s="7"/>
    </row>
    <row r="218" customFormat="false" ht="15" hidden="false" customHeight="false" outlineLevel="1" collapsed="false">
      <c r="A218" s="7"/>
      <c r="B218" s="29" t="s">
        <v>210</v>
      </c>
      <c r="C218" s="30" t="s">
        <v>212</v>
      </c>
      <c r="D218" s="29"/>
      <c r="E218" s="31" t="n">
        <v>52.68096</v>
      </c>
      <c r="F218" s="7"/>
      <c r="G218" s="32" t="n">
        <f aca="false">E218*$F$212</f>
        <v>758289.73824</v>
      </c>
      <c r="H218" s="7"/>
    </row>
    <row r="219" customFormat="false" ht="15" hidden="false" customHeight="false" outlineLevel="0" collapsed="false">
      <c r="A219" s="23" t="n">
        <v>43</v>
      </c>
      <c r="B219" s="23" t="s">
        <v>299</v>
      </c>
      <c r="C219" s="24" t="s">
        <v>85</v>
      </c>
      <c r="D219" s="23" t="s">
        <v>52</v>
      </c>
      <c r="E219" s="25" t="n">
        <f aca="false">SUM(E220:E220)</f>
        <v>23033.8605</v>
      </c>
      <c r="F219" s="26" t="n">
        <v>24000</v>
      </c>
      <c r="G219" s="27" t="n">
        <f aca="false">E219*F219</f>
        <v>552812652</v>
      </c>
      <c r="H219" s="28" t="s">
        <v>300</v>
      </c>
    </row>
    <row r="220" customFormat="false" ht="15" hidden="false" customHeight="false" outlineLevel="1" collapsed="false">
      <c r="A220" s="7"/>
      <c r="B220" s="29" t="s">
        <v>301</v>
      </c>
      <c r="C220" s="30" t="s">
        <v>302</v>
      </c>
      <c r="D220" s="29"/>
      <c r="E220" s="31" t="n">
        <v>23033.8605</v>
      </c>
      <c r="F220" s="7"/>
      <c r="G220" s="32" t="n">
        <f aca="false">E220*$F$219</f>
        <v>552812652</v>
      </c>
      <c r="H220" s="7"/>
    </row>
    <row r="221" customFormat="false" ht="15" hidden="false" customHeight="false" outlineLevel="0" collapsed="false">
      <c r="A221" s="23" t="n">
        <v>44</v>
      </c>
      <c r="B221" s="23" t="s">
        <v>303</v>
      </c>
      <c r="C221" s="24" t="s">
        <v>87</v>
      </c>
      <c r="D221" s="23" t="s">
        <v>20</v>
      </c>
      <c r="E221" s="25" t="n">
        <f aca="false">SUM(E222:E222)</f>
        <v>47534.61075</v>
      </c>
      <c r="F221" s="26" t="n">
        <v>1601</v>
      </c>
      <c r="G221" s="27" t="n">
        <f aca="false">E221*F221</f>
        <v>76102911.81075</v>
      </c>
      <c r="H221" s="28" t="s">
        <v>304</v>
      </c>
    </row>
    <row r="222" customFormat="false" ht="15" hidden="false" customHeight="false" outlineLevel="1" collapsed="false">
      <c r="A222" s="7"/>
      <c r="B222" s="29" t="s">
        <v>154</v>
      </c>
      <c r="C222" s="30" t="s">
        <v>155</v>
      </c>
      <c r="D222" s="29"/>
      <c r="E222" s="31" t="n">
        <v>47534.61075</v>
      </c>
      <c r="F222" s="7"/>
      <c r="G222" s="32" t="n">
        <f aca="false">E222*$F$221</f>
        <v>76102911.81075</v>
      </c>
      <c r="H222" s="7"/>
    </row>
    <row r="223" customFormat="false" ht="15" hidden="false" customHeight="false" outlineLevel="0" collapsed="false">
      <c r="A223" s="23" t="n">
        <v>45</v>
      </c>
      <c r="B223" s="23" t="s">
        <v>303</v>
      </c>
      <c r="C223" s="24" t="s">
        <v>88</v>
      </c>
      <c r="D223" s="23" t="s">
        <v>20</v>
      </c>
      <c r="E223" s="25" t="n">
        <f aca="false">SUM(E224:E238)</f>
        <v>2360569.13125</v>
      </c>
      <c r="F223" s="26" t="n">
        <v>1442</v>
      </c>
      <c r="G223" s="27" t="n">
        <f aca="false">E223*F223</f>
        <v>3403940687.2625</v>
      </c>
      <c r="H223" s="28" t="s">
        <v>305</v>
      </c>
    </row>
    <row r="224" customFormat="false" ht="23.85" hidden="false" customHeight="false" outlineLevel="1" collapsed="false">
      <c r="A224" s="7"/>
      <c r="B224" s="29" t="s">
        <v>133</v>
      </c>
      <c r="C224" s="30" t="s">
        <v>134</v>
      </c>
      <c r="D224" s="29"/>
      <c r="E224" s="31" t="n">
        <v>103401.672</v>
      </c>
      <c r="F224" s="7"/>
      <c r="G224" s="32" t="n">
        <f aca="false">E224*$F$223</f>
        <v>149105211.024</v>
      </c>
      <c r="H224" s="7"/>
    </row>
    <row r="225" customFormat="false" ht="23.85" hidden="false" customHeight="false" outlineLevel="1" collapsed="false">
      <c r="A225" s="7"/>
      <c r="B225" s="29" t="s">
        <v>135</v>
      </c>
      <c r="C225" s="30" t="s">
        <v>136</v>
      </c>
      <c r="D225" s="29"/>
      <c r="E225" s="31" t="n">
        <v>1461600.3248</v>
      </c>
      <c r="F225" s="7"/>
      <c r="G225" s="32" t="n">
        <f aca="false">E225*$F$223</f>
        <v>2107627668.3616</v>
      </c>
      <c r="H225" s="7"/>
    </row>
    <row r="226" customFormat="false" ht="23.85" hidden="false" customHeight="false" outlineLevel="1" collapsed="false">
      <c r="A226" s="7"/>
      <c r="B226" s="29" t="s">
        <v>135</v>
      </c>
      <c r="C226" s="30" t="s">
        <v>320</v>
      </c>
      <c r="D226" s="29"/>
      <c r="E226" s="31" t="n">
        <v>24680.9024</v>
      </c>
      <c r="F226" s="7"/>
      <c r="G226" s="32" t="n">
        <f aca="false">E226*$F$223</f>
        <v>35589861.2608</v>
      </c>
      <c r="H226" s="7"/>
    </row>
    <row r="227" customFormat="false" ht="23.85" hidden="false" customHeight="false" outlineLevel="1" collapsed="false">
      <c r="A227" s="7"/>
      <c r="B227" s="29" t="s">
        <v>135</v>
      </c>
      <c r="C227" s="30" t="s">
        <v>321</v>
      </c>
      <c r="D227" s="29"/>
      <c r="E227" s="31" t="n">
        <v>17045.8288</v>
      </c>
      <c r="F227" s="7"/>
      <c r="G227" s="32" t="n">
        <f aca="false">E227*$F$223</f>
        <v>24580085.1296</v>
      </c>
      <c r="H227" s="7"/>
    </row>
    <row r="228" customFormat="false" ht="23.85" hidden="false" customHeight="false" outlineLevel="1" collapsed="false">
      <c r="A228" s="7"/>
      <c r="B228" s="29" t="s">
        <v>133</v>
      </c>
      <c r="C228" s="30" t="s">
        <v>151</v>
      </c>
      <c r="D228" s="29"/>
      <c r="E228" s="31" t="n">
        <v>3221.944</v>
      </c>
      <c r="F228" s="7"/>
      <c r="G228" s="32" t="n">
        <f aca="false">E228*$F$223</f>
        <v>4646043.248</v>
      </c>
      <c r="H228" s="7"/>
    </row>
    <row r="229" customFormat="false" ht="23.85" hidden="false" customHeight="false" outlineLevel="1" collapsed="false">
      <c r="A229" s="7"/>
      <c r="B229" s="29" t="s">
        <v>135</v>
      </c>
      <c r="C229" s="30" t="s">
        <v>137</v>
      </c>
      <c r="D229" s="29"/>
      <c r="E229" s="31" t="n">
        <v>322273.7056</v>
      </c>
      <c r="F229" s="7"/>
      <c r="G229" s="32" t="n">
        <f aca="false">E229*$F$223</f>
        <v>464718683.4752</v>
      </c>
      <c r="H229" s="7"/>
    </row>
    <row r="230" customFormat="false" ht="23.85" hidden="false" customHeight="false" outlineLevel="1" collapsed="false">
      <c r="A230" s="7"/>
      <c r="B230" s="29" t="s">
        <v>135</v>
      </c>
      <c r="C230" s="30" t="s">
        <v>138</v>
      </c>
      <c r="D230" s="29"/>
      <c r="E230" s="31" t="n">
        <v>88662.6048</v>
      </c>
      <c r="F230" s="7"/>
      <c r="G230" s="32" t="n">
        <f aca="false">E230*$F$223</f>
        <v>127851476.1216</v>
      </c>
      <c r="H230" s="7"/>
    </row>
    <row r="231" customFormat="false" ht="23.85" hidden="false" customHeight="false" outlineLevel="1" collapsed="false">
      <c r="A231" s="7"/>
      <c r="B231" s="29" t="s">
        <v>135</v>
      </c>
      <c r="C231" s="30" t="s">
        <v>138</v>
      </c>
      <c r="D231" s="29"/>
      <c r="E231" s="31" t="n">
        <v>87287.0768</v>
      </c>
      <c r="F231" s="7"/>
      <c r="G231" s="32" t="n">
        <f aca="false">E231*$F$223</f>
        <v>125867964.7456</v>
      </c>
      <c r="H231" s="7"/>
    </row>
    <row r="232" customFormat="false" ht="15" hidden="false" customHeight="false" outlineLevel="1" collapsed="false">
      <c r="A232" s="7"/>
      <c r="B232" s="29" t="s">
        <v>141</v>
      </c>
      <c r="C232" s="30" t="s">
        <v>142</v>
      </c>
      <c r="D232" s="29"/>
      <c r="E232" s="31" t="n">
        <v>53055.64</v>
      </c>
      <c r="F232" s="7"/>
      <c r="G232" s="32" t="n">
        <f aca="false">E232*$F$223</f>
        <v>76506232.88</v>
      </c>
      <c r="H232" s="7"/>
    </row>
    <row r="233" customFormat="false" ht="15" hidden="false" customHeight="false" outlineLevel="1" collapsed="false">
      <c r="A233" s="7"/>
      <c r="B233" s="29" t="s">
        <v>141</v>
      </c>
      <c r="C233" s="30" t="s">
        <v>142</v>
      </c>
      <c r="D233" s="29"/>
      <c r="E233" s="31" t="n">
        <v>58705.768</v>
      </c>
      <c r="F233" s="7"/>
      <c r="G233" s="32" t="n">
        <f aca="false">E233*$F$223</f>
        <v>84653717.456</v>
      </c>
      <c r="H233" s="7"/>
    </row>
    <row r="234" customFormat="false" ht="23.85" hidden="false" customHeight="false" outlineLevel="1" collapsed="false">
      <c r="A234" s="7"/>
      <c r="B234" s="29" t="s">
        <v>143</v>
      </c>
      <c r="C234" s="30" t="s">
        <v>144</v>
      </c>
      <c r="D234" s="29"/>
      <c r="E234" s="31" t="n">
        <v>66163.504</v>
      </c>
      <c r="F234" s="7"/>
      <c r="G234" s="32" t="n">
        <f aca="false">E234*$F$223</f>
        <v>95407772.768</v>
      </c>
      <c r="H234" s="7"/>
    </row>
    <row r="235" customFormat="false" ht="15" hidden="false" customHeight="false" outlineLevel="1" collapsed="false">
      <c r="A235" s="7"/>
      <c r="B235" s="29" t="s">
        <v>145</v>
      </c>
      <c r="C235" s="30" t="s">
        <v>146</v>
      </c>
      <c r="D235" s="29"/>
      <c r="E235" s="31" t="n">
        <v>12548.624</v>
      </c>
      <c r="F235" s="7"/>
      <c r="G235" s="32" t="n">
        <f aca="false">E235*$F$223</f>
        <v>18095115.808</v>
      </c>
      <c r="H235" s="7"/>
    </row>
    <row r="236" customFormat="false" ht="15" hidden="false" customHeight="false" outlineLevel="1" collapsed="false">
      <c r="A236" s="7"/>
      <c r="B236" s="29" t="s">
        <v>127</v>
      </c>
      <c r="C236" s="30" t="s">
        <v>128</v>
      </c>
      <c r="D236" s="29"/>
      <c r="E236" s="31" t="n">
        <v>10007.2412</v>
      </c>
      <c r="F236" s="7"/>
      <c r="G236" s="32" t="n">
        <f aca="false">E236*$F$223</f>
        <v>14430441.8104</v>
      </c>
      <c r="H236" s="7"/>
    </row>
    <row r="237" customFormat="false" ht="15" hidden="false" customHeight="false" outlineLevel="1" collapsed="false">
      <c r="A237" s="7"/>
      <c r="B237" s="29" t="s">
        <v>152</v>
      </c>
      <c r="C237" s="30" t="s">
        <v>153</v>
      </c>
      <c r="D237" s="29"/>
      <c r="E237" s="31" t="n">
        <v>46515.0125</v>
      </c>
      <c r="F237" s="7"/>
      <c r="G237" s="32" t="n">
        <f aca="false">E237*$F$223</f>
        <v>67074648.025</v>
      </c>
      <c r="H237" s="7"/>
    </row>
    <row r="238" customFormat="false" ht="23.85" hidden="false" customHeight="false" outlineLevel="1" collapsed="false">
      <c r="A238" s="7"/>
      <c r="B238" s="29" t="s">
        <v>147</v>
      </c>
      <c r="C238" s="30" t="s">
        <v>148</v>
      </c>
      <c r="D238" s="29"/>
      <c r="E238" s="31" t="n">
        <v>5399.28235</v>
      </c>
      <c r="F238" s="7"/>
      <c r="G238" s="32" t="n">
        <f aca="false">E238*$F$223</f>
        <v>7785765.1487</v>
      </c>
      <c r="H238" s="7"/>
    </row>
    <row r="239" customFormat="false" ht="15" hidden="false" customHeight="false" outlineLevel="0" collapsed="false">
      <c r="A239" s="23" t="n">
        <v>46</v>
      </c>
      <c r="B239" s="23" t="s">
        <v>306</v>
      </c>
      <c r="C239" s="24" t="s">
        <v>89</v>
      </c>
      <c r="D239" s="23" t="s">
        <v>90</v>
      </c>
      <c r="E239" s="34"/>
      <c r="F239" s="34"/>
      <c r="G239" s="27" t="n">
        <f aca="false">SUM(G240:G281)</f>
        <v>226838992.896802</v>
      </c>
      <c r="H239" s="28" t="s">
        <v>307</v>
      </c>
    </row>
    <row r="240" customFormat="false" ht="15" hidden="false" customHeight="false" outlineLevel="1" collapsed="false">
      <c r="A240" s="7"/>
      <c r="B240" s="29" t="s">
        <v>301</v>
      </c>
      <c r="C240" s="30" t="s">
        <v>302</v>
      </c>
      <c r="D240" s="29" t="s">
        <v>90</v>
      </c>
      <c r="E240" s="31" t="n">
        <v>0.2</v>
      </c>
      <c r="F240" s="7"/>
      <c r="G240" s="35" t="n">
        <v>1105625.304</v>
      </c>
      <c r="H240" s="7"/>
    </row>
    <row r="241" customFormat="false" ht="15" hidden="false" customHeight="false" outlineLevel="1" collapsed="false">
      <c r="A241" s="7"/>
      <c r="B241" s="29" t="s">
        <v>249</v>
      </c>
      <c r="C241" s="30" t="s">
        <v>250</v>
      </c>
      <c r="D241" s="29" t="s">
        <v>90</v>
      </c>
      <c r="E241" s="31" t="n">
        <v>0.2</v>
      </c>
      <c r="F241" s="7"/>
      <c r="G241" s="35" t="n">
        <v>14845.6</v>
      </c>
      <c r="H241" s="7"/>
    </row>
    <row r="242" customFormat="false" ht="15" hidden="false" customHeight="false" outlineLevel="1" collapsed="false">
      <c r="A242" s="7"/>
      <c r="B242" s="29" t="s">
        <v>265</v>
      </c>
      <c r="C242" s="30" t="s">
        <v>266</v>
      </c>
      <c r="D242" s="29" t="s">
        <v>90</v>
      </c>
      <c r="E242" s="31" t="n">
        <v>5</v>
      </c>
      <c r="F242" s="7"/>
      <c r="G242" s="35" t="n">
        <v>248117.3496786</v>
      </c>
      <c r="H242" s="7"/>
    </row>
    <row r="243" customFormat="false" ht="23.85" hidden="false" customHeight="false" outlineLevel="1" collapsed="false">
      <c r="A243" s="7"/>
      <c r="B243" s="29" t="s">
        <v>133</v>
      </c>
      <c r="C243" s="30" t="s">
        <v>134</v>
      </c>
      <c r="D243" s="29" t="s">
        <v>90</v>
      </c>
      <c r="E243" s="31" t="n">
        <v>5</v>
      </c>
      <c r="F243" s="7"/>
      <c r="G243" s="35" t="n">
        <v>16840118.3423309</v>
      </c>
      <c r="H243" s="7"/>
    </row>
    <row r="244" customFormat="false" ht="23.85" hidden="false" customHeight="false" outlineLevel="1" collapsed="false">
      <c r="A244" s="7"/>
      <c r="B244" s="29" t="s">
        <v>135</v>
      </c>
      <c r="C244" s="30" t="s">
        <v>136</v>
      </c>
      <c r="D244" s="29" t="s">
        <v>90</v>
      </c>
      <c r="E244" s="31" t="n">
        <v>1</v>
      </c>
      <c r="F244" s="7"/>
      <c r="G244" s="35" t="n">
        <v>51975911.3920863</v>
      </c>
      <c r="H244" s="7"/>
    </row>
    <row r="245" customFormat="false" ht="15" hidden="false" customHeight="false" outlineLevel="1" collapsed="false">
      <c r="A245" s="7"/>
      <c r="B245" s="29" t="s">
        <v>267</v>
      </c>
      <c r="C245" s="30" t="s">
        <v>355</v>
      </c>
      <c r="D245" s="29" t="s">
        <v>90</v>
      </c>
      <c r="E245" s="31" t="n">
        <v>5</v>
      </c>
      <c r="F245" s="7"/>
      <c r="G245" s="35" t="n">
        <v>5841179.35917775</v>
      </c>
      <c r="H245" s="7"/>
    </row>
    <row r="246" customFormat="false" ht="23.85" hidden="false" customHeight="false" outlineLevel="1" collapsed="false">
      <c r="A246" s="7"/>
      <c r="B246" s="29" t="s">
        <v>135</v>
      </c>
      <c r="C246" s="30" t="s">
        <v>320</v>
      </c>
      <c r="D246" s="29" t="s">
        <v>90</v>
      </c>
      <c r="E246" s="31" t="n">
        <v>1</v>
      </c>
      <c r="F246" s="7"/>
      <c r="G246" s="35" t="n">
        <v>877676.594930058</v>
      </c>
      <c r="H246" s="7"/>
    </row>
    <row r="247" customFormat="false" ht="15" hidden="false" customHeight="false" outlineLevel="1" collapsed="false">
      <c r="A247" s="7"/>
      <c r="B247" s="29" t="s">
        <v>267</v>
      </c>
      <c r="C247" s="30" t="s">
        <v>351</v>
      </c>
      <c r="D247" s="29" t="s">
        <v>90</v>
      </c>
      <c r="E247" s="31" t="n">
        <v>5</v>
      </c>
      <c r="F247" s="7"/>
      <c r="G247" s="35" t="n">
        <v>114793.60036025</v>
      </c>
      <c r="H247" s="7"/>
    </row>
    <row r="248" customFormat="false" ht="23.85" hidden="false" customHeight="false" outlineLevel="1" collapsed="false">
      <c r="A248" s="7"/>
      <c r="B248" s="29" t="s">
        <v>135</v>
      </c>
      <c r="C248" s="30" t="s">
        <v>321</v>
      </c>
      <c r="D248" s="29" t="s">
        <v>90</v>
      </c>
      <c r="E248" s="31" t="n">
        <v>1</v>
      </c>
      <c r="F248" s="7"/>
      <c r="G248" s="35" t="n">
        <v>606166.044356009</v>
      </c>
      <c r="H248" s="7"/>
    </row>
    <row r="249" customFormat="false" ht="15" hidden="false" customHeight="false" outlineLevel="1" collapsed="false">
      <c r="A249" s="7"/>
      <c r="B249" s="29" t="s">
        <v>267</v>
      </c>
      <c r="C249" s="30" t="s">
        <v>352</v>
      </c>
      <c r="D249" s="29" t="s">
        <v>90</v>
      </c>
      <c r="E249" s="31" t="n">
        <v>5</v>
      </c>
      <c r="F249" s="7"/>
      <c r="G249" s="35" t="n">
        <v>79281.89243275</v>
      </c>
      <c r="H249" s="7"/>
    </row>
    <row r="250" customFormat="false" ht="23.85" hidden="false" customHeight="false" outlineLevel="1" collapsed="false">
      <c r="A250" s="7"/>
      <c r="B250" s="29" t="s">
        <v>135</v>
      </c>
      <c r="C250" s="30" t="s">
        <v>137</v>
      </c>
      <c r="D250" s="29" t="s">
        <v>90</v>
      </c>
      <c r="E250" s="31" t="n">
        <v>1</v>
      </c>
      <c r="F250" s="7"/>
      <c r="G250" s="35" t="n">
        <v>11460362.5095369</v>
      </c>
      <c r="H250" s="7"/>
    </row>
    <row r="251" customFormat="false" ht="15" hidden="false" customHeight="false" outlineLevel="1" collapsed="false">
      <c r="A251" s="7"/>
      <c r="B251" s="29" t="s">
        <v>267</v>
      </c>
      <c r="C251" s="30" t="s">
        <v>269</v>
      </c>
      <c r="D251" s="29" t="s">
        <v>90</v>
      </c>
      <c r="E251" s="31" t="n">
        <v>5</v>
      </c>
      <c r="F251" s="7"/>
      <c r="G251" s="35" t="n">
        <v>1002922.53467525</v>
      </c>
      <c r="H251" s="7"/>
    </row>
    <row r="252" customFormat="false" ht="23.85" hidden="false" customHeight="false" outlineLevel="1" collapsed="false">
      <c r="A252" s="7"/>
      <c r="B252" s="29" t="s">
        <v>135</v>
      </c>
      <c r="C252" s="30" t="s">
        <v>138</v>
      </c>
      <c r="D252" s="29" t="s">
        <v>90</v>
      </c>
      <c r="E252" s="31" t="n">
        <v>1</v>
      </c>
      <c r="F252" s="7"/>
      <c r="G252" s="35" t="n">
        <v>3152927.38560862</v>
      </c>
      <c r="H252" s="7"/>
    </row>
    <row r="253" customFormat="false" ht="15" hidden="false" customHeight="false" outlineLevel="1" collapsed="false">
      <c r="A253" s="7"/>
      <c r="B253" s="29" t="s">
        <v>267</v>
      </c>
      <c r="C253" s="30" t="s">
        <v>270</v>
      </c>
      <c r="D253" s="29" t="s">
        <v>90</v>
      </c>
      <c r="E253" s="31" t="n">
        <v>5</v>
      </c>
      <c r="F253" s="7"/>
      <c r="G253" s="35" t="n">
        <v>382634.12666325</v>
      </c>
      <c r="H253" s="7"/>
    </row>
    <row r="254" customFormat="false" ht="23.85" hidden="false" customHeight="false" outlineLevel="1" collapsed="false">
      <c r="A254" s="7"/>
      <c r="B254" s="29" t="s">
        <v>135</v>
      </c>
      <c r="C254" s="30" t="s">
        <v>138</v>
      </c>
      <c r="D254" s="29" t="s">
        <v>90</v>
      </c>
      <c r="E254" s="31" t="n">
        <v>1</v>
      </c>
      <c r="F254" s="7"/>
      <c r="G254" s="35" t="n">
        <v>3104012.28875742</v>
      </c>
      <c r="H254" s="7"/>
    </row>
    <row r="255" customFormat="false" ht="15" hidden="false" customHeight="false" outlineLevel="1" collapsed="false">
      <c r="A255" s="7"/>
      <c r="B255" s="29" t="s">
        <v>267</v>
      </c>
      <c r="C255" s="30" t="s">
        <v>270</v>
      </c>
      <c r="D255" s="29" t="s">
        <v>90</v>
      </c>
      <c r="E255" s="31" t="n">
        <v>5</v>
      </c>
      <c r="F255" s="7"/>
      <c r="G255" s="35" t="n">
        <v>377994.06810375</v>
      </c>
      <c r="H255" s="7"/>
    </row>
    <row r="256" customFormat="false" ht="15" hidden="false" customHeight="false" outlineLevel="1" collapsed="false">
      <c r="A256" s="7"/>
      <c r="B256" s="29" t="s">
        <v>154</v>
      </c>
      <c r="C256" s="30" t="s">
        <v>155</v>
      </c>
      <c r="D256" s="29" t="s">
        <v>90</v>
      </c>
      <c r="E256" s="31" t="n">
        <v>1</v>
      </c>
      <c r="F256" s="7"/>
      <c r="G256" s="35" t="n">
        <v>1768063.43960854</v>
      </c>
      <c r="H256" s="7"/>
    </row>
    <row r="257" customFormat="false" ht="15" hidden="false" customHeight="false" outlineLevel="1" collapsed="false">
      <c r="A257" s="7"/>
      <c r="B257" s="29" t="s">
        <v>272</v>
      </c>
      <c r="C257" s="30" t="s">
        <v>273</v>
      </c>
      <c r="D257" s="29" t="s">
        <v>90</v>
      </c>
      <c r="E257" s="31" t="n">
        <v>5</v>
      </c>
      <c r="F257" s="7"/>
      <c r="G257" s="35" t="n">
        <v>21080.4708375</v>
      </c>
      <c r="H257" s="7"/>
    </row>
    <row r="258" customFormat="false" ht="15" hidden="false" customHeight="false" outlineLevel="1" collapsed="false">
      <c r="A258" s="7"/>
      <c r="B258" s="29" t="s">
        <v>141</v>
      </c>
      <c r="C258" s="30" t="s">
        <v>142</v>
      </c>
      <c r="D258" s="29" t="s">
        <v>90</v>
      </c>
      <c r="E258" s="31" t="n">
        <v>5</v>
      </c>
      <c r="F258" s="7"/>
      <c r="G258" s="35" t="n">
        <v>8640704.14962056</v>
      </c>
      <c r="H258" s="7"/>
    </row>
    <row r="259" customFormat="false" ht="15" hidden="false" customHeight="false" outlineLevel="1" collapsed="false">
      <c r="A259" s="7"/>
      <c r="B259" s="29" t="s">
        <v>141</v>
      </c>
      <c r="C259" s="30" t="s">
        <v>142</v>
      </c>
      <c r="D259" s="29" t="s">
        <v>90</v>
      </c>
      <c r="E259" s="31" t="n">
        <v>5</v>
      </c>
      <c r="F259" s="7"/>
      <c r="G259" s="35" t="n">
        <v>9560890.66429624</v>
      </c>
      <c r="H259" s="7"/>
    </row>
    <row r="260" customFormat="false" ht="15" hidden="false" customHeight="false" outlineLevel="1" collapsed="false">
      <c r="A260" s="7"/>
      <c r="B260" s="29" t="s">
        <v>265</v>
      </c>
      <c r="C260" s="30" t="s">
        <v>274</v>
      </c>
      <c r="D260" s="29" t="s">
        <v>90</v>
      </c>
      <c r="E260" s="31" t="n">
        <v>5</v>
      </c>
      <c r="F260" s="7"/>
      <c r="G260" s="35" t="n">
        <v>532232.13469505</v>
      </c>
      <c r="H260" s="7"/>
    </row>
    <row r="261" customFormat="false" ht="23.85" hidden="false" customHeight="false" outlineLevel="1" collapsed="false">
      <c r="A261" s="7"/>
      <c r="B261" s="29" t="s">
        <v>143</v>
      </c>
      <c r="C261" s="30" t="s">
        <v>144</v>
      </c>
      <c r="D261" s="29" t="s">
        <v>90</v>
      </c>
      <c r="E261" s="31" t="n">
        <v>5</v>
      </c>
      <c r="F261" s="7"/>
      <c r="G261" s="35" t="n">
        <v>10775466.3512915</v>
      </c>
      <c r="H261" s="7"/>
    </row>
    <row r="262" customFormat="false" ht="15" hidden="false" customHeight="false" outlineLevel="1" collapsed="false">
      <c r="A262" s="7"/>
      <c r="B262" s="29" t="s">
        <v>265</v>
      </c>
      <c r="C262" s="30" t="s">
        <v>275</v>
      </c>
      <c r="D262" s="29" t="s">
        <v>90</v>
      </c>
      <c r="E262" s="31" t="n">
        <v>5</v>
      </c>
      <c r="F262" s="7"/>
      <c r="G262" s="35" t="n">
        <v>76128.9070987</v>
      </c>
      <c r="H262" s="7"/>
    </row>
    <row r="263" customFormat="false" ht="15" hidden="false" customHeight="false" outlineLevel="1" collapsed="false">
      <c r="A263" s="7"/>
      <c r="B263" s="29" t="s">
        <v>145</v>
      </c>
      <c r="C263" s="30" t="s">
        <v>146</v>
      </c>
      <c r="D263" s="29" t="s">
        <v>90</v>
      </c>
      <c r="E263" s="31" t="n">
        <v>1</v>
      </c>
      <c r="F263" s="7"/>
      <c r="G263" s="35" t="n">
        <v>408736.743044955</v>
      </c>
      <c r="H263" s="7"/>
    </row>
    <row r="264" customFormat="false" ht="15" hidden="false" customHeight="false" outlineLevel="1" collapsed="false">
      <c r="A264" s="7"/>
      <c r="B264" s="29" t="s">
        <v>265</v>
      </c>
      <c r="C264" s="30" t="s">
        <v>276</v>
      </c>
      <c r="D264" s="29" t="s">
        <v>90</v>
      </c>
      <c r="E264" s="31" t="n">
        <v>5</v>
      </c>
      <c r="F264" s="7"/>
      <c r="G264" s="35" t="n">
        <v>471831.3570784</v>
      </c>
      <c r="H264" s="7"/>
    </row>
    <row r="265" customFormat="false" ht="15" hidden="false" customHeight="false" outlineLevel="1" collapsed="false">
      <c r="A265" s="7"/>
      <c r="B265" s="29" t="s">
        <v>267</v>
      </c>
      <c r="C265" s="30" t="s">
        <v>277</v>
      </c>
      <c r="D265" s="29" t="s">
        <v>90</v>
      </c>
      <c r="E265" s="31" t="n">
        <v>5</v>
      </c>
      <c r="F265" s="7"/>
      <c r="G265" s="35" t="n">
        <v>16560.92249525</v>
      </c>
      <c r="H265" s="7"/>
    </row>
    <row r="266" customFormat="false" ht="23.85" hidden="false" customHeight="false" outlineLevel="1" collapsed="false">
      <c r="A266" s="7"/>
      <c r="B266" s="29" t="s">
        <v>147</v>
      </c>
      <c r="C266" s="30" t="s">
        <v>148</v>
      </c>
      <c r="D266" s="29" t="s">
        <v>90</v>
      </c>
      <c r="E266" s="31" t="n">
        <v>0.5</v>
      </c>
      <c r="F266" s="7"/>
      <c r="G266" s="35" t="n">
        <v>84181.616524187</v>
      </c>
      <c r="H266" s="7"/>
    </row>
    <row r="267" customFormat="false" ht="15" hidden="false" customHeight="false" outlineLevel="1" collapsed="false">
      <c r="A267" s="7"/>
      <c r="B267" s="29" t="s">
        <v>219</v>
      </c>
      <c r="C267" s="30" t="s">
        <v>220</v>
      </c>
      <c r="D267" s="29" t="s">
        <v>90</v>
      </c>
      <c r="E267" s="31" t="n">
        <v>0.5</v>
      </c>
      <c r="F267" s="7"/>
      <c r="G267" s="35" t="n">
        <v>3037.6160142</v>
      </c>
      <c r="H267" s="7"/>
    </row>
    <row r="268" customFormat="false" ht="15" hidden="false" customHeight="false" outlineLevel="1" collapsed="false">
      <c r="A268" s="7"/>
      <c r="B268" s="29" t="s">
        <v>251</v>
      </c>
      <c r="C268" s="30" t="s">
        <v>250</v>
      </c>
      <c r="D268" s="29" t="s">
        <v>90</v>
      </c>
      <c r="E268" s="31" t="n">
        <v>0.2</v>
      </c>
      <c r="F268" s="7"/>
      <c r="G268" s="35" t="n">
        <v>46141.172</v>
      </c>
      <c r="H268" s="7"/>
    </row>
    <row r="269" customFormat="false" ht="23.85" hidden="false" customHeight="false" outlineLevel="1" collapsed="false">
      <c r="A269" s="7"/>
      <c r="B269" s="29" t="s">
        <v>168</v>
      </c>
      <c r="C269" s="30" t="s">
        <v>169</v>
      </c>
      <c r="D269" s="29" t="s">
        <v>90</v>
      </c>
      <c r="E269" s="31" t="n">
        <v>0.01</v>
      </c>
      <c r="F269" s="7"/>
      <c r="G269" s="35" t="n">
        <v>25996.5294053</v>
      </c>
      <c r="H269" s="7"/>
    </row>
    <row r="270" customFormat="false" ht="15" hidden="false" customHeight="false" outlineLevel="1" collapsed="false">
      <c r="A270" s="7"/>
      <c r="B270" s="29" t="s">
        <v>152</v>
      </c>
      <c r="C270" s="30" t="s">
        <v>153</v>
      </c>
      <c r="D270" s="29" t="s">
        <v>90</v>
      </c>
      <c r="E270" s="31" t="n">
        <v>1</v>
      </c>
      <c r="F270" s="7"/>
      <c r="G270" s="35" t="n">
        <v>1450455.3350105</v>
      </c>
      <c r="H270" s="7"/>
    </row>
    <row r="271" customFormat="false" ht="15" hidden="false" customHeight="false" outlineLevel="1" collapsed="false">
      <c r="A271" s="7"/>
      <c r="B271" s="29" t="s">
        <v>172</v>
      </c>
      <c r="C271" s="30" t="s">
        <v>173</v>
      </c>
      <c r="D271" s="29" t="s">
        <v>90</v>
      </c>
      <c r="E271" s="31" t="n">
        <v>5</v>
      </c>
      <c r="F271" s="7"/>
      <c r="G271" s="35" t="n">
        <v>543999.81421</v>
      </c>
      <c r="H271" s="7"/>
    </row>
    <row r="272" customFormat="false" ht="15" hidden="false" customHeight="false" outlineLevel="1" collapsed="false">
      <c r="A272" s="7"/>
      <c r="B272" s="29" t="s">
        <v>172</v>
      </c>
      <c r="C272" s="30" t="s">
        <v>173</v>
      </c>
      <c r="D272" s="29" t="s">
        <v>90</v>
      </c>
      <c r="E272" s="31" t="n">
        <v>5</v>
      </c>
      <c r="F272" s="7"/>
      <c r="G272" s="35" t="n">
        <v>523245.9381915</v>
      </c>
      <c r="H272" s="7"/>
    </row>
    <row r="273" customFormat="false" ht="23.85" hidden="false" customHeight="false" outlineLevel="1" collapsed="false">
      <c r="A273" s="7"/>
      <c r="B273" s="29" t="s">
        <v>133</v>
      </c>
      <c r="C273" s="30" t="s">
        <v>151</v>
      </c>
      <c r="D273" s="29" t="s">
        <v>90</v>
      </c>
      <c r="E273" s="31" t="n">
        <v>5</v>
      </c>
      <c r="F273" s="7"/>
      <c r="G273" s="35" t="n">
        <v>524729.602557713</v>
      </c>
      <c r="H273" s="7"/>
    </row>
    <row r="274" customFormat="false" ht="15" hidden="false" customHeight="false" outlineLevel="1" collapsed="false">
      <c r="A274" s="7"/>
      <c r="B274" s="29" t="s">
        <v>311</v>
      </c>
      <c r="C274" s="30" t="s">
        <v>312</v>
      </c>
      <c r="D274" s="29" t="s">
        <v>90</v>
      </c>
      <c r="E274" s="31" t="n">
        <v>1</v>
      </c>
      <c r="F274" s="7"/>
      <c r="G274" s="35" t="n">
        <v>5976.13785411</v>
      </c>
      <c r="H274" s="7"/>
    </row>
    <row r="275" customFormat="false" ht="15" hidden="false" customHeight="false" outlineLevel="1" collapsed="false">
      <c r="A275" s="7"/>
      <c r="B275" s="29" t="s">
        <v>343</v>
      </c>
      <c r="C275" s="30" t="s">
        <v>344</v>
      </c>
      <c r="D275" s="29" t="s">
        <v>90</v>
      </c>
      <c r="E275" s="31" t="n">
        <v>5</v>
      </c>
      <c r="F275" s="7"/>
      <c r="G275" s="35" t="n">
        <v>16714.932</v>
      </c>
      <c r="H275" s="7"/>
    </row>
    <row r="276" customFormat="false" ht="15" hidden="false" customHeight="false" outlineLevel="1" collapsed="false">
      <c r="A276" s="7"/>
      <c r="B276" s="29" t="s">
        <v>123</v>
      </c>
      <c r="C276" s="30" t="s">
        <v>257</v>
      </c>
      <c r="D276" s="29" t="s">
        <v>90</v>
      </c>
      <c r="E276" s="31" t="n">
        <v>1</v>
      </c>
      <c r="F276" s="7"/>
      <c r="G276" s="35" t="n">
        <v>17771241</v>
      </c>
      <c r="H276" s="7"/>
    </row>
    <row r="277" customFormat="false" ht="15" hidden="false" customHeight="false" outlineLevel="1" collapsed="false">
      <c r="A277" s="7"/>
      <c r="B277" s="29" t="s">
        <v>123</v>
      </c>
      <c r="C277" s="30" t="s">
        <v>159</v>
      </c>
      <c r="D277" s="29" t="s">
        <v>90</v>
      </c>
      <c r="E277" s="31" t="n">
        <v>5</v>
      </c>
      <c r="F277" s="7"/>
      <c r="G277" s="35" t="n">
        <v>8643.02127</v>
      </c>
      <c r="H277" s="7"/>
    </row>
    <row r="278" customFormat="false" ht="23.85" hidden="false" customHeight="false" outlineLevel="1" collapsed="false">
      <c r="A278" s="7"/>
      <c r="B278" s="29" t="s">
        <v>325</v>
      </c>
      <c r="C278" s="30" t="s">
        <v>326</v>
      </c>
      <c r="D278" s="29" t="s">
        <v>90</v>
      </c>
      <c r="E278" s="31" t="n">
        <v>5</v>
      </c>
      <c r="F278" s="7"/>
      <c r="G278" s="35" t="n">
        <v>34945736.4786985</v>
      </c>
      <c r="H278" s="7"/>
    </row>
    <row r="279" customFormat="false" ht="23.85" hidden="false" customHeight="false" outlineLevel="1" collapsed="false">
      <c r="A279" s="7"/>
      <c r="B279" s="29" t="s">
        <v>325</v>
      </c>
      <c r="C279" s="30" t="s">
        <v>327</v>
      </c>
      <c r="D279" s="29" t="s">
        <v>90</v>
      </c>
      <c r="E279" s="31" t="n">
        <v>5</v>
      </c>
      <c r="F279" s="7"/>
      <c r="G279" s="35" t="n">
        <v>14568515.0041015</v>
      </c>
      <c r="H279" s="7"/>
    </row>
    <row r="280" customFormat="false" ht="23.85" hidden="false" customHeight="false" outlineLevel="1" collapsed="false">
      <c r="A280" s="7"/>
      <c r="B280" s="29" t="s">
        <v>325</v>
      </c>
      <c r="C280" s="30" t="s">
        <v>326</v>
      </c>
      <c r="D280" s="29" t="s">
        <v>90</v>
      </c>
      <c r="E280" s="31" t="n">
        <v>5</v>
      </c>
      <c r="F280" s="7"/>
      <c r="G280" s="35" t="n">
        <v>16521430.827213</v>
      </c>
      <c r="H280" s="7"/>
    </row>
    <row r="281" customFormat="false" ht="23.85" hidden="false" customHeight="false" outlineLevel="1" collapsed="false">
      <c r="A281" s="7"/>
      <c r="B281" s="29" t="s">
        <v>325</v>
      </c>
      <c r="C281" s="30" t="s">
        <v>327</v>
      </c>
      <c r="D281" s="29" t="s">
        <v>90</v>
      </c>
      <c r="E281" s="31" t="n">
        <v>5</v>
      </c>
      <c r="F281" s="7"/>
      <c r="G281" s="35" t="n">
        <v>10342684.338987</v>
      </c>
      <c r="H281" s="7"/>
    </row>
    <row r="282" customFormat="false" ht="15" hidden="false" customHeight="true" outlineLevel="0" collapsed="false">
      <c r="A282" s="12" t="s">
        <v>91</v>
      </c>
      <c r="B282" s="12"/>
      <c r="C282" s="12"/>
      <c r="D282" s="12"/>
      <c r="E282" s="12"/>
      <c r="F282" s="12"/>
      <c r="G282" s="13" t="n">
        <f aca="false">SUMIFS(G6:G281,H6:H281,"?*")</f>
        <v>26642127419.3752</v>
      </c>
      <c r="H282" s="14"/>
    </row>
    <row r="283" customFormat="false" ht="30" hidden="false" customHeight="true" outlineLevel="0" collapsed="false">
      <c r="A283" s="22" t="s">
        <v>114</v>
      </c>
      <c r="B283" s="22"/>
      <c r="C283" s="22"/>
      <c r="D283" s="22"/>
      <c r="E283" s="22"/>
      <c r="F283" s="22"/>
      <c r="G283" s="22"/>
      <c r="H283" s="22"/>
    </row>
  </sheetData>
  <mergeCells count="5">
    <mergeCell ref="A1:H1"/>
    <mergeCell ref="A2:H2"/>
    <mergeCell ref="A3:H3"/>
    <mergeCell ref="A282:F282"/>
    <mergeCell ref="A283:H28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62"/>
    <col collapsed="false" customWidth="true" hidden="false" outlineLevel="0" max="4" min="4" style="0" width="10"/>
    <col collapsed="false" customWidth="true" hidden="false" outlineLevel="0" max="5" min="5" style="0" width="15"/>
    <col collapsed="false" customWidth="true" hidden="false" outlineLevel="0" max="6" min="6" style="0" width="14"/>
    <col collapsed="false" customWidth="true" hidden="false" outlineLevel="0" max="7" min="7" style="0" width="18"/>
    <col collapsed="false" customWidth="true" hidden="true" outlineLevel="0" max="8" min="8" style="0" width="30"/>
  </cols>
  <sheetData>
    <row r="1" customFormat="false" ht="17.35" hidden="false" customHeight="true" outlineLevel="0" collapsed="false">
      <c r="A1" s="1" t="s">
        <v>371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true" outlineLevel="0" collapsed="false">
      <c r="A3" s="3" t="s">
        <v>116</v>
      </c>
      <c r="B3" s="3"/>
      <c r="C3" s="3"/>
      <c r="D3" s="3"/>
      <c r="E3" s="3"/>
      <c r="F3" s="3"/>
      <c r="G3" s="3"/>
      <c r="H3" s="3"/>
    </row>
    <row r="5" customFormat="false" ht="31.5" hidden="false" customHeight="true" outlineLevel="0" collapsed="false">
      <c r="A5" s="4" t="s">
        <v>3</v>
      </c>
      <c r="B5" s="4" t="s">
        <v>102</v>
      </c>
      <c r="C5" s="4" t="s">
        <v>103</v>
      </c>
      <c r="D5" s="4" t="s">
        <v>5</v>
      </c>
      <c r="E5" s="4" t="s">
        <v>104</v>
      </c>
      <c r="F5" s="4" t="s">
        <v>105</v>
      </c>
      <c r="G5" s="4" t="s">
        <v>7</v>
      </c>
      <c r="H5" s="4" t="s">
        <v>106</v>
      </c>
    </row>
    <row r="6" customFormat="false" ht="15" hidden="false" customHeight="false" outlineLevel="0" collapsed="false">
      <c r="A6" s="23" t="n">
        <v>1</v>
      </c>
      <c r="B6" s="23" t="s">
        <v>313</v>
      </c>
      <c r="C6" s="24" t="s">
        <v>23</v>
      </c>
      <c r="D6" s="23" t="s">
        <v>24</v>
      </c>
      <c r="E6" s="25" t="n">
        <f aca="false">SUM(E7:E7)</f>
        <v>211.519</v>
      </c>
      <c r="F6" s="26" t="n">
        <v>347961</v>
      </c>
      <c r="G6" s="27" t="n">
        <f aca="false">E6*F6</f>
        <v>73600362.759</v>
      </c>
      <c r="H6" s="28" t="s">
        <v>314</v>
      </c>
    </row>
    <row r="7" customFormat="false" ht="15" hidden="false" customHeight="false" outlineLevel="1" collapsed="false">
      <c r="A7" s="7"/>
      <c r="B7" s="29" t="s">
        <v>315</v>
      </c>
      <c r="C7" s="30" t="s">
        <v>372</v>
      </c>
      <c r="D7" s="29"/>
      <c r="E7" s="31" t="n">
        <v>211.519</v>
      </c>
      <c r="F7" s="7"/>
      <c r="G7" s="32" t="n">
        <f aca="false">E7*$F$6</f>
        <v>73600362.759</v>
      </c>
      <c r="H7" s="7"/>
    </row>
    <row r="8" customFormat="false" ht="15" hidden="false" customHeight="false" outlineLevel="0" collapsed="false">
      <c r="A8" s="23" t="n">
        <v>2</v>
      </c>
      <c r="B8" s="23" t="s">
        <v>313</v>
      </c>
      <c r="C8" s="24" t="s">
        <v>25</v>
      </c>
      <c r="D8" s="23" t="s">
        <v>24</v>
      </c>
      <c r="E8" s="25" t="n">
        <f aca="false">SUM(E9:E9)</f>
        <v>1930.5648</v>
      </c>
      <c r="F8" s="26" t="n">
        <v>329780</v>
      </c>
      <c r="G8" s="27" t="n">
        <f aca="false">E8*F8</f>
        <v>636661659.744</v>
      </c>
      <c r="H8" s="28" t="s">
        <v>317</v>
      </c>
    </row>
    <row r="9" customFormat="false" ht="15" hidden="false" customHeight="false" outlineLevel="1" collapsed="false">
      <c r="A9" s="7"/>
      <c r="B9" s="29" t="s">
        <v>318</v>
      </c>
      <c r="C9" s="30" t="s">
        <v>319</v>
      </c>
      <c r="D9" s="29"/>
      <c r="E9" s="31" t="n">
        <v>1930.5648</v>
      </c>
      <c r="F9" s="7"/>
      <c r="G9" s="32" t="n">
        <f aca="false">E9*$F$8</f>
        <v>636661659.744</v>
      </c>
      <c r="H9" s="7"/>
    </row>
    <row r="10" customFormat="false" ht="15" hidden="false" customHeight="false" outlineLevel="0" collapsed="false">
      <c r="A10" s="23" t="n">
        <v>3</v>
      </c>
      <c r="B10" s="23" t="s">
        <v>131</v>
      </c>
      <c r="C10" s="24" t="s">
        <v>28</v>
      </c>
      <c r="D10" s="23" t="s">
        <v>24</v>
      </c>
      <c r="E10" s="25" t="n">
        <f aca="false">SUM(E11:E11)</f>
        <v>168.5916925</v>
      </c>
      <c r="F10" s="26" t="n">
        <v>498275</v>
      </c>
      <c r="G10" s="27" t="n">
        <f aca="false">E10*F10</f>
        <v>84005025.5804375</v>
      </c>
      <c r="H10" s="28" t="s">
        <v>132</v>
      </c>
    </row>
    <row r="11" customFormat="false" ht="15" hidden="false" customHeight="false" outlineLevel="1" collapsed="false">
      <c r="A11" s="7"/>
      <c r="B11" s="29" t="s">
        <v>373</v>
      </c>
      <c r="C11" s="30" t="s">
        <v>374</v>
      </c>
      <c r="D11" s="29"/>
      <c r="E11" s="31" t="n">
        <v>168.5916925</v>
      </c>
      <c r="F11" s="7"/>
      <c r="G11" s="32" t="n">
        <f aca="false">E11*$F$10</f>
        <v>84005025.5804375</v>
      </c>
      <c r="H11" s="7"/>
    </row>
    <row r="12" customFormat="false" ht="15" hidden="false" customHeight="false" outlineLevel="0" collapsed="false">
      <c r="A12" s="23" t="n">
        <v>4</v>
      </c>
      <c r="B12" s="23" t="s">
        <v>174</v>
      </c>
      <c r="C12" s="24" t="s">
        <v>37</v>
      </c>
      <c r="D12" s="23" t="s">
        <v>24</v>
      </c>
      <c r="E12" s="25" t="n">
        <f aca="false">SUM(E13:E13)</f>
        <v>273.4356625</v>
      </c>
      <c r="F12" s="26" t="n">
        <v>473574</v>
      </c>
      <c r="G12" s="27" t="n">
        <f aca="false">E12*F12</f>
        <v>129492020.432775</v>
      </c>
      <c r="H12" s="28" t="s">
        <v>175</v>
      </c>
    </row>
    <row r="13" customFormat="false" ht="15" hidden="false" customHeight="false" outlineLevel="1" collapsed="false">
      <c r="A13" s="7"/>
      <c r="B13" s="29" t="s">
        <v>373</v>
      </c>
      <c r="C13" s="30" t="s">
        <v>374</v>
      </c>
      <c r="D13" s="29"/>
      <c r="E13" s="31" t="n">
        <v>273.4356625</v>
      </c>
      <c r="F13" s="7"/>
      <c r="G13" s="32" t="n">
        <f aca="false">E13*$F$12</f>
        <v>129492020.432775</v>
      </c>
      <c r="H13" s="7"/>
    </row>
    <row r="14" customFormat="false" ht="15" hidden="false" customHeight="false" outlineLevel="0" collapsed="false">
      <c r="A14" s="23" t="n">
        <v>5</v>
      </c>
      <c r="B14" s="23" t="s">
        <v>247</v>
      </c>
      <c r="C14" s="24" t="s">
        <v>61</v>
      </c>
      <c r="D14" s="23" t="s">
        <v>52</v>
      </c>
      <c r="E14" s="25" t="n">
        <f aca="false">SUM(E15:E15)</f>
        <v>1736.35</v>
      </c>
      <c r="F14" s="26" t="n">
        <v>14000</v>
      </c>
      <c r="G14" s="27" t="n">
        <f aca="false">E14*F14</f>
        <v>24308900</v>
      </c>
      <c r="H14" s="28" t="s">
        <v>248</v>
      </c>
    </row>
    <row r="15" customFormat="false" ht="15" hidden="false" customHeight="false" outlineLevel="1" collapsed="false">
      <c r="A15" s="7"/>
      <c r="B15" s="29" t="s">
        <v>249</v>
      </c>
      <c r="C15" s="30" t="s">
        <v>375</v>
      </c>
      <c r="D15" s="29"/>
      <c r="E15" s="31" t="n">
        <v>1736.35</v>
      </c>
      <c r="F15" s="7"/>
      <c r="G15" s="32" t="n">
        <f aca="false">E15*$F$14</f>
        <v>24308900</v>
      </c>
      <c r="H15" s="7"/>
    </row>
    <row r="16" customFormat="false" ht="15" hidden="false" customHeight="false" outlineLevel="0" collapsed="false">
      <c r="A16" s="23" t="n">
        <v>6</v>
      </c>
      <c r="B16" s="23" t="s">
        <v>253</v>
      </c>
      <c r="C16" s="24" t="s">
        <v>62</v>
      </c>
      <c r="D16" s="23" t="s">
        <v>46</v>
      </c>
      <c r="E16" s="25" t="n">
        <f aca="false">SUM(E17:E17)</f>
        <v>55981.5025</v>
      </c>
      <c r="F16" s="26" t="n">
        <v>10</v>
      </c>
      <c r="G16" s="27" t="n">
        <f aca="false">E16*F16</f>
        <v>559815.025</v>
      </c>
      <c r="H16" s="28" t="s">
        <v>254</v>
      </c>
    </row>
    <row r="17" customFormat="false" ht="15" hidden="false" customHeight="false" outlineLevel="1" collapsed="false">
      <c r="A17" s="7"/>
      <c r="B17" s="29" t="s">
        <v>373</v>
      </c>
      <c r="C17" s="30" t="s">
        <v>374</v>
      </c>
      <c r="D17" s="29"/>
      <c r="E17" s="31" t="n">
        <v>55981.5025</v>
      </c>
      <c r="F17" s="7"/>
      <c r="G17" s="32" t="n">
        <f aca="false">E17*$F$16</f>
        <v>559815.025</v>
      </c>
      <c r="H17" s="7"/>
    </row>
    <row r="18" customFormat="false" ht="15" hidden="false" customHeight="false" outlineLevel="0" collapsed="false">
      <c r="A18" s="23" t="n">
        <v>7</v>
      </c>
      <c r="B18" s="23" t="s">
        <v>107</v>
      </c>
      <c r="C18" s="24" t="s">
        <v>73</v>
      </c>
      <c r="D18" s="23" t="s">
        <v>20</v>
      </c>
      <c r="E18" s="25" t="n">
        <f aca="false">SUM(E19:E19)</f>
        <v>1.88336</v>
      </c>
      <c r="F18" s="26" t="n">
        <v>25000</v>
      </c>
      <c r="G18" s="27" t="n">
        <f aca="false">E18*F18</f>
        <v>47084</v>
      </c>
      <c r="H18" s="28" t="s">
        <v>108</v>
      </c>
    </row>
    <row r="19" customFormat="false" ht="15" hidden="false" customHeight="false" outlineLevel="1" collapsed="false">
      <c r="A19" s="7"/>
      <c r="B19" s="29" t="s">
        <v>272</v>
      </c>
      <c r="C19" s="30" t="s">
        <v>273</v>
      </c>
      <c r="D19" s="29"/>
      <c r="E19" s="31" t="n">
        <v>1.88336</v>
      </c>
      <c r="F19" s="7"/>
      <c r="G19" s="32" t="n">
        <f aca="false">E19*$F$18</f>
        <v>47084</v>
      </c>
      <c r="H19" s="7"/>
    </row>
    <row r="20" customFormat="false" ht="15" hidden="false" customHeight="false" outlineLevel="0" collapsed="false">
      <c r="A20" s="23" t="n">
        <v>8</v>
      </c>
      <c r="B20" s="23" t="s">
        <v>289</v>
      </c>
      <c r="C20" s="24" t="s">
        <v>80</v>
      </c>
      <c r="D20" s="23" t="s">
        <v>20</v>
      </c>
      <c r="E20" s="25" t="n">
        <f aca="false">SUM(E21:E21)</f>
        <v>37.548</v>
      </c>
      <c r="F20" s="26" t="n">
        <v>14157</v>
      </c>
      <c r="G20" s="27" t="n">
        <f aca="false">E20*F20</f>
        <v>531567.036</v>
      </c>
      <c r="H20" s="28" t="s">
        <v>290</v>
      </c>
    </row>
    <row r="21" customFormat="false" ht="15" hidden="false" customHeight="false" outlineLevel="1" collapsed="false">
      <c r="A21" s="7"/>
      <c r="B21" s="29" t="s">
        <v>272</v>
      </c>
      <c r="C21" s="30" t="s">
        <v>273</v>
      </c>
      <c r="D21" s="29"/>
      <c r="E21" s="31" t="n">
        <v>37.548</v>
      </c>
      <c r="F21" s="7"/>
      <c r="G21" s="32" t="n">
        <f aca="false">E21*$F$20</f>
        <v>531567.036</v>
      </c>
      <c r="H21" s="7"/>
    </row>
    <row r="22" customFormat="false" ht="15" hidden="false" customHeight="false" outlineLevel="0" collapsed="false">
      <c r="A22" s="23" t="n">
        <v>9</v>
      </c>
      <c r="B22" s="23" t="s">
        <v>303</v>
      </c>
      <c r="C22" s="24" t="s">
        <v>88</v>
      </c>
      <c r="D22" s="23" t="s">
        <v>20</v>
      </c>
      <c r="E22" s="25" t="n">
        <f aca="false">SUM(E23:E23)</f>
        <v>104196.785</v>
      </c>
      <c r="F22" s="26" t="n">
        <v>1442</v>
      </c>
      <c r="G22" s="27" t="n">
        <f aca="false">E22*F22</f>
        <v>150251763.97</v>
      </c>
      <c r="H22" s="28" t="s">
        <v>305</v>
      </c>
    </row>
    <row r="23" customFormat="false" ht="15" hidden="false" customHeight="false" outlineLevel="1" collapsed="false">
      <c r="A23" s="7"/>
      <c r="B23" s="29" t="s">
        <v>373</v>
      </c>
      <c r="C23" s="30" t="s">
        <v>374</v>
      </c>
      <c r="D23" s="29"/>
      <c r="E23" s="31" t="n">
        <v>104196.785</v>
      </c>
      <c r="F23" s="7"/>
      <c r="G23" s="32" t="n">
        <f aca="false">E23*$F$22</f>
        <v>150251763.97</v>
      </c>
      <c r="H23" s="7"/>
    </row>
    <row r="24" customFormat="false" ht="15" hidden="false" customHeight="false" outlineLevel="0" collapsed="false">
      <c r="A24" s="23" t="n">
        <v>10</v>
      </c>
      <c r="B24" s="23" t="s">
        <v>306</v>
      </c>
      <c r="C24" s="24" t="s">
        <v>89</v>
      </c>
      <c r="D24" s="23" t="s">
        <v>90</v>
      </c>
      <c r="E24" s="34"/>
      <c r="F24" s="34"/>
      <c r="G24" s="27" t="n">
        <f aca="false">SUM(G25:G27)</f>
        <v>3720636.60188213</v>
      </c>
      <c r="H24" s="28" t="s">
        <v>307</v>
      </c>
    </row>
    <row r="25" customFormat="false" ht="15" hidden="false" customHeight="false" outlineLevel="1" collapsed="false">
      <c r="A25" s="7"/>
      <c r="B25" s="29" t="s">
        <v>249</v>
      </c>
      <c r="C25" s="30" t="s">
        <v>375</v>
      </c>
      <c r="D25" s="29" t="s">
        <v>90</v>
      </c>
      <c r="E25" s="31" t="n">
        <v>0.2</v>
      </c>
      <c r="F25" s="7"/>
      <c r="G25" s="35" t="n">
        <v>48617.8</v>
      </c>
      <c r="H25" s="7"/>
    </row>
    <row r="26" customFormat="false" ht="15" hidden="false" customHeight="false" outlineLevel="1" collapsed="false">
      <c r="A26" s="7"/>
      <c r="B26" s="29" t="s">
        <v>373</v>
      </c>
      <c r="C26" s="30" t="s">
        <v>374</v>
      </c>
      <c r="D26" s="29" t="s">
        <v>90</v>
      </c>
      <c r="E26" s="31" t="n">
        <v>1</v>
      </c>
      <c r="F26" s="7"/>
      <c r="G26" s="35" t="n">
        <v>3643086.25008213</v>
      </c>
      <c r="H26" s="7"/>
    </row>
    <row r="27" customFormat="false" ht="15" hidden="false" customHeight="false" outlineLevel="1" collapsed="false">
      <c r="A27" s="7"/>
      <c r="B27" s="29" t="s">
        <v>272</v>
      </c>
      <c r="C27" s="30" t="s">
        <v>273</v>
      </c>
      <c r="D27" s="29" t="s">
        <v>90</v>
      </c>
      <c r="E27" s="31" t="n">
        <v>5</v>
      </c>
      <c r="F27" s="7"/>
      <c r="G27" s="35" t="n">
        <v>28932.5518</v>
      </c>
      <c r="H27" s="7"/>
    </row>
    <row r="28" customFormat="false" ht="15" hidden="false" customHeight="true" outlineLevel="0" collapsed="false">
      <c r="A28" s="12" t="s">
        <v>91</v>
      </c>
      <c r="B28" s="12"/>
      <c r="C28" s="12"/>
      <c r="D28" s="12"/>
      <c r="E28" s="12"/>
      <c r="F28" s="12"/>
      <c r="G28" s="13" t="n">
        <f aca="false">SUMIFS(G6:G27,H6:H27,"?*")</f>
        <v>1103178835.14909</v>
      </c>
      <c r="H28" s="14"/>
    </row>
    <row r="29" customFormat="false" ht="30" hidden="false" customHeight="true" outlineLevel="0" collapsed="false">
      <c r="A29" s="22" t="s">
        <v>114</v>
      </c>
      <c r="B29" s="22"/>
      <c r="C29" s="22"/>
      <c r="D29" s="22"/>
      <c r="E29" s="22"/>
      <c r="F29" s="22"/>
      <c r="G29" s="22"/>
      <c r="H29" s="22"/>
    </row>
  </sheetData>
  <mergeCells count="5">
    <mergeCell ref="A1:H1"/>
    <mergeCell ref="A2:H2"/>
    <mergeCell ref="A3:H3"/>
    <mergeCell ref="A28:F28"/>
    <mergeCell ref="A29:H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2026-10-13T09:02:24Z</dcterms:created>
  <dc:creator>openpyxl</dc:creator>
  <dc:description/>
  <dc:language>en-US</dc:language>
  <cp:lastModifiedBy/>
  <dcterms:modified xsi:type="dcterms:W3CDTF">2026-10-13T09:02:24Z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